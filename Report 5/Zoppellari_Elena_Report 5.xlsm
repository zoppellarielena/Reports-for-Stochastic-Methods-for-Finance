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C:\Users\Elena Zoppellari\Desktop\PHYSICS OF DATA\Financial\Report 5\"/>
    </mc:Choice>
  </mc:AlternateContent>
  <xr:revisionPtr revIDLastSave="0" documentId="13_ncr:1_{BFDA6810-5F9E-49BE-8E31-3F8700F99395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Sheet1" sheetId="1" r:id="rId1"/>
    <sheet name="info" sheetId="10" r:id="rId2"/>
    <sheet name="volatility table" sheetId="2" r:id="rId3"/>
    <sheet name="box spread for r" sheetId="20" r:id="rId4"/>
    <sheet name="greeks" sheetId="19" r:id="rId5"/>
  </sheets>
  <functionGroups builtInGroupCount="19"/>
  <definedNames>
    <definedName name="DatiEsterni_1" localSheetId="2" hidden="1">'volatility table'!#REF!</definedName>
    <definedName name="DatiEsterni_2" localSheetId="2" hidden="1">'volatility table'!#REF!</definedName>
    <definedName name="DatiEsterni_3" localSheetId="2" hidden="1">'volatility table'!#REF!</definedName>
    <definedName name="DatiEsterni_4" localSheetId="2" hidden="1">'volatility table'!#REF!</definedName>
    <definedName name="DatiEsterni_5" localSheetId="2" hidden="1">'volatility table'!#REF!</definedName>
    <definedName name="DatiEsterni_6" localSheetId="2" hidden="1">'volatility table'!#REF!</definedName>
    <definedName name="DatiEsterni_7" localSheetId="2" hidden="1">'volatility table'!#REF!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" i="20" l="1"/>
  <c r="F31" i="20"/>
  <c r="B31" i="20"/>
  <c r="E31" i="20"/>
  <c r="B29" i="20"/>
  <c r="H31" i="20"/>
  <c r="C27" i="20"/>
  <c r="F27" i="20"/>
  <c r="B27" i="20"/>
  <c r="E27" i="20"/>
  <c r="B25" i="20"/>
  <c r="H27" i="20"/>
  <c r="C23" i="20"/>
  <c r="F23" i="20"/>
  <c r="B23" i="20"/>
  <c r="E23" i="20"/>
  <c r="B21" i="20"/>
  <c r="H23" i="20"/>
  <c r="J3" i="20"/>
  <c r="K3" i="20" s="1"/>
  <c r="C19" i="20"/>
  <c r="F19" i="20"/>
  <c r="B19" i="20"/>
  <c r="E19" i="20"/>
  <c r="B17" i="20"/>
  <c r="H19" i="20"/>
  <c r="C15" i="20"/>
  <c r="F15" i="20"/>
  <c r="B15" i="20"/>
  <c r="E15" i="20"/>
  <c r="B13" i="20"/>
  <c r="H15" i="20"/>
  <c r="C11" i="20"/>
  <c r="F11" i="20"/>
  <c r="E11" i="20"/>
  <c r="B11" i="20"/>
  <c r="B9" i="20"/>
  <c r="H11" i="20"/>
  <c r="E7" i="20"/>
  <c r="F7" i="20"/>
  <c r="C7" i="20"/>
  <c r="B7" i="20"/>
  <c r="B5" i="20"/>
  <c r="H7" i="20"/>
  <c r="G3" i="20"/>
  <c r="B3" i="20"/>
  <c r="C3" i="20"/>
  <c r="B1" i="20"/>
  <c r="F3" i="20"/>
  <c r="E3" i="20"/>
  <c r="H3" i="20"/>
  <c r="P72" i="19" a="1"/>
  <c r="T72" i="19" a="1"/>
  <c r="P73" i="19" a="1"/>
  <c r="T73" i="19" a="1"/>
  <c r="P74" i="19" a="1"/>
  <c r="T74" i="19" a="1"/>
  <c r="P75" i="19" a="1"/>
  <c r="T75" i="19" a="1"/>
  <c r="P76" i="19" a="1"/>
  <c r="T76" i="19" a="1"/>
  <c r="P77" i="19" a="1"/>
  <c r="T77" i="19" a="1"/>
  <c r="P78" i="19" a="1"/>
  <c r="T78" i="19" a="1"/>
  <c r="P79" i="19" a="1"/>
  <c r="T79" i="19" a="1"/>
  <c r="P80" i="19" a="1"/>
  <c r="T80" i="19" a="1"/>
  <c r="P81" i="19" a="1"/>
  <c r="T81" i="19" a="1"/>
  <c r="P82" i="19" a="1"/>
  <c r="T82" i="19" a="1"/>
  <c r="P83" i="19" a="1"/>
  <c r="T83" i="19" a="1"/>
  <c r="P84" i="19" a="1"/>
  <c r="T84" i="19" a="1"/>
  <c r="Q72" i="19" a="1"/>
  <c r="U72" i="19" a="1"/>
  <c r="Q73" i="19" a="1"/>
  <c r="U73" i="19" a="1"/>
  <c r="Q74" i="19" a="1"/>
  <c r="U74" i="19" a="1"/>
  <c r="Q75" i="19" a="1"/>
  <c r="U75" i="19" a="1"/>
  <c r="Q76" i="19" a="1"/>
  <c r="U76" i="19" a="1"/>
  <c r="Q77" i="19" a="1"/>
  <c r="U77" i="19" a="1"/>
  <c r="Q78" i="19" a="1"/>
  <c r="U78" i="19" a="1"/>
  <c r="Q79" i="19" a="1"/>
  <c r="U79" i="19" a="1"/>
  <c r="Q80" i="19" a="1"/>
  <c r="U80" i="19" a="1"/>
  <c r="Q81" i="19" a="1"/>
  <c r="U81" i="19" a="1"/>
  <c r="Q82" i="19" a="1"/>
  <c r="U82" i="19" a="1"/>
  <c r="Q83" i="19" a="1"/>
  <c r="U83" i="19" a="1"/>
  <c r="Q84" i="19" a="1"/>
  <c r="U84" i="19" a="1"/>
  <c r="R72" i="19" a="1"/>
  <c r="V72" i="19" a="1"/>
  <c r="R73" i="19" a="1"/>
  <c r="V73" i="19" a="1"/>
  <c r="R74" i="19" a="1"/>
  <c r="V74" i="19" a="1"/>
  <c r="R75" i="19" a="1"/>
  <c r="V75" i="19" a="1"/>
  <c r="R76" i="19" a="1"/>
  <c r="V76" i="19" a="1"/>
  <c r="R77" i="19" a="1"/>
  <c r="V77" i="19" a="1"/>
  <c r="R78" i="19" a="1"/>
  <c r="V78" i="19" a="1"/>
  <c r="R79" i="19" a="1"/>
  <c r="V79" i="19" a="1"/>
  <c r="R80" i="19" a="1"/>
  <c r="V80" i="19" a="1"/>
  <c r="R81" i="19" a="1"/>
  <c r="V81" i="19" a="1"/>
  <c r="R82" i="19" a="1"/>
  <c r="V82" i="19" a="1"/>
  <c r="R83" i="19" a="1"/>
  <c r="V83" i="19" a="1"/>
  <c r="R84" i="19" a="1"/>
  <c r="V84" i="19" a="1"/>
  <c r="O72" i="19" a="1"/>
  <c r="S72" i="19" a="1"/>
  <c r="O73" i="19" a="1"/>
  <c r="S73" i="19" a="1"/>
  <c r="O74" i="19" a="1"/>
  <c r="S74" i="19" a="1"/>
  <c r="O75" i="19" a="1"/>
  <c r="S75" i="19" a="1"/>
  <c r="O76" i="19" a="1"/>
  <c r="S76" i="19" a="1"/>
  <c r="O77" i="19" a="1"/>
  <c r="S77" i="19" a="1"/>
  <c r="O78" i="19" a="1"/>
  <c r="S78" i="19" a="1"/>
  <c r="O79" i="19" a="1"/>
  <c r="S79" i="19" a="1"/>
  <c r="O80" i="19" a="1"/>
  <c r="S80" i="19" a="1"/>
  <c r="O81" i="19" a="1"/>
  <c r="O83" i="19" a="1"/>
  <c r="S83" i="19" a="1"/>
  <c r="S81" i="19" a="1"/>
  <c r="O82" i="19" a="1"/>
  <c r="O84" i="19" a="1"/>
  <c r="S82" i="19" a="1"/>
  <c r="S84" i="19" a="1"/>
  <c r="V71" i="19" a="1"/>
  <c r="U71" i="19" a="1"/>
  <c r="T71" i="19" a="1"/>
  <c r="S71" i="19" a="1"/>
  <c r="R71" i="19" a="1"/>
  <c r="Q71" i="19" a="1"/>
  <c r="P71" i="19" a="1"/>
  <c r="O71" i="19" a="1"/>
  <c r="O66" i="19" a="1"/>
  <c r="P55" i="19" a="1"/>
  <c r="T55" i="19" a="1"/>
  <c r="P56" i="19" a="1"/>
  <c r="T56" i="19" a="1"/>
  <c r="P57" i="19" a="1"/>
  <c r="T57" i="19" a="1"/>
  <c r="P58" i="19" a="1"/>
  <c r="T58" i="19" a="1"/>
  <c r="P59" i="19" a="1"/>
  <c r="T59" i="19" a="1"/>
  <c r="P60" i="19" a="1"/>
  <c r="T60" i="19" a="1"/>
  <c r="P61" i="19" a="1"/>
  <c r="T61" i="19" a="1"/>
  <c r="P62" i="19" a="1"/>
  <c r="T62" i="19" a="1"/>
  <c r="P63" i="19" a="1"/>
  <c r="T63" i="19" a="1"/>
  <c r="P64" i="19" a="1"/>
  <c r="T64" i="19" a="1"/>
  <c r="P65" i="19" a="1"/>
  <c r="T65" i="19" a="1"/>
  <c r="P66" i="19" a="1"/>
  <c r="T66" i="19" a="1"/>
  <c r="P67" i="19" a="1"/>
  <c r="T67" i="19" a="1"/>
  <c r="S55" i="19" a="1"/>
  <c r="S57" i="19" a="1"/>
  <c r="S58" i="19" a="1"/>
  <c r="S60" i="19" a="1"/>
  <c r="O62" i="19" a="1"/>
  <c r="S63" i="19" a="1"/>
  <c r="O65" i="19" a="1"/>
  <c r="O67" i="19" a="1"/>
  <c r="Q55" i="19" a="1"/>
  <c r="U55" i="19" a="1"/>
  <c r="Q56" i="19" a="1"/>
  <c r="U56" i="19" a="1"/>
  <c r="Q57" i="19" a="1"/>
  <c r="U57" i="19" a="1"/>
  <c r="Q58" i="19" a="1"/>
  <c r="U58" i="19" a="1"/>
  <c r="Q59" i="19" a="1"/>
  <c r="U59" i="19" a="1"/>
  <c r="Q60" i="19" a="1"/>
  <c r="U60" i="19" a="1"/>
  <c r="Q61" i="19" a="1"/>
  <c r="U61" i="19" a="1"/>
  <c r="Q62" i="19" a="1"/>
  <c r="U62" i="19" a="1"/>
  <c r="Q63" i="19" a="1"/>
  <c r="U63" i="19" a="1"/>
  <c r="Q64" i="19" a="1"/>
  <c r="U64" i="19" a="1"/>
  <c r="Q65" i="19" a="1"/>
  <c r="U65" i="19" a="1"/>
  <c r="Q66" i="19" a="1"/>
  <c r="U66" i="19" a="1"/>
  <c r="Q67" i="19" a="1"/>
  <c r="U67" i="19" a="1"/>
  <c r="O56" i="19" a="1"/>
  <c r="S56" i="19" a="1"/>
  <c r="O58" i="19" a="1"/>
  <c r="S59" i="19" a="1"/>
  <c r="O61" i="19" a="1"/>
  <c r="S62" i="19" a="1"/>
  <c r="O64" i="19" a="1"/>
  <c r="S65" i="19" a="1"/>
  <c r="S67" i="19" a="1"/>
  <c r="R55" i="19" a="1"/>
  <c r="V55" i="19" a="1"/>
  <c r="R56" i="19" a="1"/>
  <c r="V56" i="19" a="1"/>
  <c r="R57" i="19" a="1"/>
  <c r="V57" i="19" a="1"/>
  <c r="R58" i="19" a="1"/>
  <c r="V58" i="19" a="1"/>
  <c r="R59" i="19" a="1"/>
  <c r="V59" i="19" a="1"/>
  <c r="R60" i="19" a="1"/>
  <c r="V60" i="19" a="1"/>
  <c r="R61" i="19" a="1"/>
  <c r="V61" i="19" a="1"/>
  <c r="R62" i="19" a="1"/>
  <c r="V62" i="19" a="1"/>
  <c r="R63" i="19" a="1"/>
  <c r="V63" i="19" a="1"/>
  <c r="R64" i="19" a="1"/>
  <c r="V64" i="19" a="1"/>
  <c r="R65" i="19" a="1"/>
  <c r="V65" i="19" a="1"/>
  <c r="R66" i="19" a="1"/>
  <c r="V66" i="19" a="1"/>
  <c r="R67" i="19" a="1"/>
  <c r="V67" i="19" a="1"/>
  <c r="O55" i="19" a="1"/>
  <c r="O57" i="19" a="1"/>
  <c r="O59" i="19" a="1"/>
  <c r="O60" i="19" a="1"/>
  <c r="S61" i="19" a="1"/>
  <c r="O63" i="19" a="1"/>
  <c r="S64" i="19" a="1"/>
  <c r="S66" i="19" a="1"/>
  <c r="V54" i="19" a="1"/>
  <c r="U54" i="19" a="1"/>
  <c r="T54" i="19" a="1"/>
  <c r="S54" i="19" a="1"/>
  <c r="R54" i="19" a="1"/>
  <c r="Q54" i="19" a="1"/>
  <c r="P54" i="19" a="1"/>
  <c r="O54" i="19" a="1"/>
  <c r="P38" i="19" a="1"/>
  <c r="T38" i="19" a="1"/>
  <c r="P39" i="19" a="1"/>
  <c r="T39" i="19" a="1"/>
  <c r="P40" i="19" a="1"/>
  <c r="T40" i="19" a="1"/>
  <c r="P41" i="19" a="1"/>
  <c r="T41" i="19" a="1"/>
  <c r="P42" i="19" a="1"/>
  <c r="T42" i="19" a="1"/>
  <c r="P43" i="19" a="1"/>
  <c r="T43" i="19" a="1"/>
  <c r="P44" i="19" a="1"/>
  <c r="T44" i="19" a="1"/>
  <c r="P45" i="19" a="1"/>
  <c r="T45" i="19" a="1"/>
  <c r="P46" i="19" a="1"/>
  <c r="T46" i="19" a="1"/>
  <c r="P47" i="19" a="1"/>
  <c r="T47" i="19" a="1"/>
  <c r="P48" i="19" a="1"/>
  <c r="T48" i="19" a="1"/>
  <c r="P49" i="19" a="1"/>
  <c r="T49" i="19" a="1"/>
  <c r="P50" i="19" a="1"/>
  <c r="T50" i="19" a="1"/>
  <c r="U38" i="19" a="1"/>
  <c r="Q39" i="19" a="1"/>
  <c r="U39" i="19" a="1"/>
  <c r="Q40" i="19" a="1"/>
  <c r="U40" i="19" a="1"/>
  <c r="Q41" i="19" a="1"/>
  <c r="U41" i="19" a="1"/>
  <c r="Q42" i="19" a="1"/>
  <c r="U42" i="19" a="1"/>
  <c r="Q43" i="19" a="1"/>
  <c r="U43" i="19" a="1"/>
  <c r="Q44" i="19" a="1"/>
  <c r="Q45" i="19" a="1"/>
  <c r="U45" i="19" a="1"/>
  <c r="Q46" i="19" a="1"/>
  <c r="Q47" i="19" a="1"/>
  <c r="U47" i="19" a="1"/>
  <c r="U48" i="19" a="1"/>
  <c r="U49" i="19" a="1"/>
  <c r="U50" i="19" a="1"/>
  <c r="O49" i="19" a="1"/>
  <c r="Q38" i="19" a="1"/>
  <c r="U44" i="19" a="1"/>
  <c r="U46" i="19" a="1"/>
  <c r="Q48" i="19" a="1"/>
  <c r="Q49" i="19" a="1"/>
  <c r="Q50" i="19" a="1"/>
  <c r="O50" i="19" a="1"/>
  <c r="R38" i="19" a="1"/>
  <c r="V38" i="19" a="1"/>
  <c r="R39" i="19" a="1"/>
  <c r="V39" i="19" a="1"/>
  <c r="R40" i="19" a="1"/>
  <c r="V40" i="19" a="1"/>
  <c r="R41" i="19" a="1"/>
  <c r="V41" i="19" a="1"/>
  <c r="R42" i="19" a="1"/>
  <c r="V42" i="19" a="1"/>
  <c r="R43" i="19" a="1"/>
  <c r="V43" i="19" a="1"/>
  <c r="R44" i="19" a="1"/>
  <c r="V44" i="19" a="1"/>
  <c r="R45" i="19" a="1"/>
  <c r="V45" i="19" a="1"/>
  <c r="R46" i="19" a="1"/>
  <c r="V46" i="19" a="1"/>
  <c r="R47" i="19" a="1"/>
  <c r="V47" i="19" a="1"/>
  <c r="R48" i="19" a="1"/>
  <c r="V48" i="19" a="1"/>
  <c r="R49" i="19" a="1"/>
  <c r="V49" i="19" a="1"/>
  <c r="R50" i="19" a="1"/>
  <c r="V50" i="19" a="1"/>
  <c r="O38" i="19" a="1"/>
  <c r="S38" i="19" a="1"/>
  <c r="O39" i="19" a="1"/>
  <c r="S39" i="19" a="1"/>
  <c r="O40" i="19" a="1"/>
  <c r="S40" i="19" a="1"/>
  <c r="O41" i="19" a="1"/>
  <c r="S41" i="19" a="1"/>
  <c r="O42" i="19" a="1"/>
  <c r="S42" i="19" a="1"/>
  <c r="O43" i="19" a="1"/>
  <c r="S43" i="19" a="1"/>
  <c r="O44" i="19" a="1"/>
  <c r="S44" i="19" a="1"/>
  <c r="O45" i="19" a="1"/>
  <c r="S45" i="19" a="1"/>
  <c r="O46" i="19" a="1"/>
  <c r="S46" i="19" a="1"/>
  <c r="O47" i="19" a="1"/>
  <c r="S47" i="19" a="1"/>
  <c r="O48" i="19" a="1"/>
  <c r="S48" i="19" a="1"/>
  <c r="S49" i="19" a="1"/>
  <c r="S50" i="19" a="1"/>
  <c r="V37" i="19" a="1"/>
  <c r="U37" i="19" a="1"/>
  <c r="T37" i="19" a="1"/>
  <c r="S37" i="19" a="1"/>
  <c r="R37" i="19" a="1"/>
  <c r="Q37" i="19" a="1"/>
  <c r="P37" i="19" a="1"/>
  <c r="O37" i="19" a="1"/>
  <c r="U21" i="19" a="1"/>
  <c r="Q22" i="19" a="1"/>
  <c r="U22" i="19" a="1"/>
  <c r="Q23" i="19" a="1"/>
  <c r="U23" i="19" a="1"/>
  <c r="U24" i="19" a="1"/>
  <c r="Q25" i="19" a="1"/>
  <c r="U25" i="19" a="1"/>
  <c r="Q26" i="19" a="1"/>
  <c r="Q27" i="19" a="1"/>
  <c r="U27" i="19" a="1"/>
  <c r="U28" i="19" a="1"/>
  <c r="U29" i="19" a="1"/>
  <c r="Q30" i="19" a="1"/>
  <c r="Q31" i="19" a="1"/>
  <c r="U31" i="19" a="1"/>
  <c r="U32" i="19" a="1"/>
  <c r="U33" i="19" a="1"/>
  <c r="S25" i="19" a="1"/>
  <c r="O27" i="19" a="1"/>
  <c r="S28" i="19" a="1"/>
  <c r="O30" i="19" a="1"/>
  <c r="S31" i="19" a="1"/>
  <c r="O33" i="19" a="1"/>
  <c r="T21" i="19" a="1"/>
  <c r="T22" i="19" a="1"/>
  <c r="P24" i="19" a="1"/>
  <c r="T25" i="19" a="1"/>
  <c r="P27" i="19" a="1"/>
  <c r="P29" i="19" a="1"/>
  <c r="T30" i="19" a="1"/>
  <c r="P32" i="19" a="1"/>
  <c r="T33" i="19" a="1"/>
  <c r="Q21" i="19" a="1"/>
  <c r="Q24" i="19" a="1"/>
  <c r="U26" i="19" a="1"/>
  <c r="Q28" i="19" a="1"/>
  <c r="Q29" i="19" a="1"/>
  <c r="U30" i="19" a="1"/>
  <c r="Q32" i="19" a="1"/>
  <c r="Q33" i="19" a="1"/>
  <c r="O26" i="19" a="1"/>
  <c r="S27" i="19" a="1"/>
  <c r="O29" i="19" a="1"/>
  <c r="S30" i="19" a="1"/>
  <c r="O32" i="19" a="1"/>
  <c r="S33" i="19" a="1"/>
  <c r="P22" i="19" a="1"/>
  <c r="T23" i="19" a="1"/>
  <c r="P25" i="19" a="1"/>
  <c r="T26" i="19" a="1"/>
  <c r="P28" i="19" a="1"/>
  <c r="T29" i="19" a="1"/>
  <c r="P31" i="19" a="1"/>
  <c r="T32" i="19" a="1"/>
  <c r="R21" i="19" a="1"/>
  <c r="V21" i="19" a="1"/>
  <c r="R22" i="19" a="1"/>
  <c r="V22" i="19" a="1"/>
  <c r="R23" i="19" a="1"/>
  <c r="V23" i="19" a="1"/>
  <c r="R24" i="19" a="1"/>
  <c r="V24" i="19" a="1"/>
  <c r="R25" i="19" a="1"/>
  <c r="V25" i="19" a="1"/>
  <c r="R26" i="19" a="1"/>
  <c r="V26" i="19" a="1"/>
  <c r="R27" i="19" a="1"/>
  <c r="V27" i="19" a="1"/>
  <c r="R28" i="19" a="1"/>
  <c r="V28" i="19" a="1"/>
  <c r="R29" i="19" a="1"/>
  <c r="V29" i="19" a="1"/>
  <c r="R30" i="19" a="1"/>
  <c r="V30" i="19" a="1"/>
  <c r="R31" i="19" a="1"/>
  <c r="V31" i="19" a="1"/>
  <c r="R32" i="19" a="1"/>
  <c r="V32" i="19" a="1"/>
  <c r="R33" i="19" a="1"/>
  <c r="V33" i="19" a="1"/>
  <c r="O21" i="19" a="1"/>
  <c r="S21" i="19" a="1"/>
  <c r="O22" i="19" a="1"/>
  <c r="S22" i="19" a="1"/>
  <c r="O23" i="19" a="1"/>
  <c r="S23" i="19" a="1"/>
  <c r="O24" i="19" a="1"/>
  <c r="S24" i="19" a="1"/>
  <c r="O25" i="19" a="1"/>
  <c r="S26" i="19" a="1"/>
  <c r="O28" i="19" a="1"/>
  <c r="S29" i="19" a="1"/>
  <c r="O31" i="19" a="1"/>
  <c r="S32" i="19" a="1"/>
  <c r="P21" i="19" a="1"/>
  <c r="P23" i="19" a="1"/>
  <c r="T24" i="19" a="1"/>
  <c r="P26" i="19" a="1"/>
  <c r="T27" i="19" a="1"/>
  <c r="T28" i="19" a="1"/>
  <c r="P30" i="19" a="1"/>
  <c r="T31" i="19" a="1"/>
  <c r="P33" i="19" a="1"/>
  <c r="V20" i="19" a="1"/>
  <c r="U20" i="19" a="1"/>
  <c r="T20" i="19" a="1"/>
  <c r="S20" i="19" a="1"/>
  <c r="R20" i="19" a="1"/>
  <c r="Q20" i="19" a="1"/>
  <c r="P20" i="19" a="1"/>
  <c r="O20" i="19" a="1"/>
  <c r="V4" i="19" a="1"/>
  <c r="V8" i="19" a="1"/>
  <c r="V12" i="19" a="1"/>
  <c r="V16" i="19" a="1"/>
  <c r="V15" i="19" a="1"/>
  <c r="V9" i="19" a="1"/>
  <c r="V5" i="19" a="1"/>
  <c r="V13" i="19" a="1"/>
  <c r="V11" i="19" a="1"/>
  <c r="V6" i="19" a="1"/>
  <c r="V10" i="19" a="1"/>
  <c r="V14" i="19" a="1"/>
  <c r="V7" i="19" a="1"/>
  <c r="V3" i="19" a="1"/>
  <c r="U5" i="19" a="1"/>
  <c r="U9" i="19" a="1"/>
  <c r="U13" i="19" a="1"/>
  <c r="U12" i="19" a="1"/>
  <c r="U6" i="19" a="1"/>
  <c r="U10" i="19" a="1"/>
  <c r="U14" i="19" a="1"/>
  <c r="U8" i="19" a="1"/>
  <c r="U16" i="19" a="1"/>
  <c r="U7" i="19" a="1"/>
  <c r="U11" i="19" a="1"/>
  <c r="U15" i="19" a="1"/>
  <c r="U4" i="19" a="1"/>
  <c r="U3" i="19" a="1"/>
  <c r="T16" i="19" a="1"/>
  <c r="T5" i="19" a="1"/>
  <c r="T9" i="19" a="1"/>
  <c r="T13" i="19" a="1"/>
  <c r="T12" i="19" a="1"/>
  <c r="T10" i="19" a="1"/>
  <c r="T14" i="19" a="1"/>
  <c r="T8" i="19" a="1"/>
  <c r="T6" i="19" a="1"/>
  <c r="T15" i="19" a="1"/>
  <c r="T7" i="19" a="1"/>
  <c r="T11" i="19" a="1"/>
  <c r="T4" i="19" a="1"/>
  <c r="T3" i="19" a="1"/>
  <c r="S5" i="19" a="1"/>
  <c r="S9" i="19" a="1"/>
  <c r="S13" i="19" a="1"/>
  <c r="S10" i="19" a="1"/>
  <c r="S14" i="19" a="1"/>
  <c r="S16" i="19" a="1"/>
  <c r="S6" i="19" a="1"/>
  <c r="S8" i="19" a="1"/>
  <c r="S11" i="19" a="1"/>
  <c r="S15" i="19" a="1"/>
  <c r="S4" i="19" a="1"/>
  <c r="S7" i="19" a="1"/>
  <c r="S12" i="19" a="1"/>
  <c r="S3" i="19" a="1"/>
  <c r="R4" i="19" a="1"/>
  <c r="R8" i="19" a="1"/>
  <c r="R12" i="19" a="1"/>
  <c r="R16" i="19" a="1"/>
  <c r="R9" i="19" a="1"/>
  <c r="R13" i="19" a="1"/>
  <c r="R5" i="19" a="1"/>
  <c r="R10" i="19" a="1"/>
  <c r="R6" i="19" a="1"/>
  <c r="R14" i="19" a="1"/>
  <c r="R7" i="19" a="1"/>
  <c r="R11" i="19" a="1"/>
  <c r="R15" i="19" a="1"/>
  <c r="R3" i="19" a="1"/>
  <c r="Q5" i="19" a="1"/>
  <c r="Q9" i="19" a="1"/>
  <c r="Q13" i="19" a="1"/>
  <c r="Q10" i="19" a="1"/>
  <c r="Q14" i="19" a="1"/>
  <c r="Q11" i="19" a="1"/>
  <c r="Q15" i="19" a="1"/>
  <c r="Q4" i="19" a="1"/>
  <c r="Q16" i="19" a="1"/>
  <c r="Q8" i="19" a="1"/>
  <c r="Q6" i="19" a="1"/>
  <c r="Q12" i="19" a="1"/>
  <c r="Q7" i="19" a="1"/>
  <c r="Q3" i="19" a="1"/>
  <c r="P4" i="19" a="1"/>
  <c r="P8" i="19" a="1"/>
  <c r="P12" i="19" a="1"/>
  <c r="P16" i="19" a="1"/>
  <c r="P5" i="19" a="1"/>
  <c r="P9" i="19" a="1"/>
  <c r="P13" i="19" a="1"/>
  <c r="P10" i="19" a="1"/>
  <c r="P14" i="19" a="1"/>
  <c r="P6" i="19" a="1"/>
  <c r="P7" i="19" a="1"/>
  <c r="P11" i="19" a="1"/>
  <c r="P15" i="19" a="1"/>
  <c r="P3" i="19" a="1"/>
  <c r="O16" i="19" a="1"/>
  <c r="O9" i="19" a="1"/>
  <c r="O13" i="19" a="1"/>
  <c r="O11" i="19" a="1"/>
  <c r="O4" i="19" a="1"/>
  <c r="O5" i="19" a="1"/>
  <c r="O12" i="19" a="1"/>
  <c r="O6" i="19" a="1"/>
  <c r="O10" i="19" a="1"/>
  <c r="O14" i="19" a="1"/>
  <c r="O7" i="19" a="1"/>
  <c r="O15" i="19" a="1"/>
  <c r="O8" i="19" a="1"/>
  <c r="O3" i="19" a="1"/>
  <c r="S84" i="19" l="1"/>
  <c r="S82" i="19"/>
  <c r="O84" i="19"/>
  <c r="O82" i="19"/>
  <c r="S81" i="19"/>
  <c r="S83" i="19"/>
  <c r="O83" i="19"/>
  <c r="O81" i="19"/>
  <c r="S80" i="19"/>
  <c r="O80" i="19"/>
  <c r="S79" i="19"/>
  <c r="O79" i="19"/>
  <c r="S78" i="19"/>
  <c r="O78" i="19"/>
  <c r="S77" i="19"/>
  <c r="O77" i="19"/>
  <c r="S76" i="19"/>
  <c r="O76" i="19"/>
  <c r="S75" i="19"/>
  <c r="O75" i="19"/>
  <c r="S74" i="19"/>
  <c r="O74" i="19"/>
  <c r="S73" i="19"/>
  <c r="O73" i="19"/>
  <c r="S72" i="19"/>
  <c r="O72" i="19"/>
  <c r="V84" i="19"/>
  <c r="R84" i="19"/>
  <c r="V83" i="19"/>
  <c r="R83" i="19"/>
  <c r="V82" i="19"/>
  <c r="R82" i="19"/>
  <c r="V81" i="19"/>
  <c r="R81" i="19"/>
  <c r="V80" i="19"/>
  <c r="R80" i="19"/>
  <c r="V79" i="19"/>
  <c r="R79" i="19"/>
  <c r="V78" i="19"/>
  <c r="R78" i="19"/>
  <c r="V77" i="19"/>
  <c r="R77" i="19"/>
  <c r="V76" i="19"/>
  <c r="R76" i="19"/>
  <c r="V75" i="19"/>
  <c r="R75" i="19"/>
  <c r="V74" i="19"/>
  <c r="R74" i="19"/>
  <c r="V73" i="19"/>
  <c r="R73" i="19"/>
  <c r="V72" i="19"/>
  <c r="R72" i="19"/>
  <c r="U84" i="19"/>
  <c r="Q84" i="19"/>
  <c r="U83" i="19"/>
  <c r="Q83" i="19"/>
  <c r="U82" i="19"/>
  <c r="Q82" i="19"/>
  <c r="U81" i="19"/>
  <c r="Q81" i="19"/>
  <c r="U80" i="19"/>
  <c r="Q80" i="19"/>
  <c r="U79" i="19"/>
  <c r="Q79" i="19"/>
  <c r="U78" i="19"/>
  <c r="Q78" i="19"/>
  <c r="U77" i="19"/>
  <c r="Q77" i="19"/>
  <c r="U76" i="19"/>
  <c r="Q76" i="19"/>
  <c r="U75" i="19"/>
  <c r="Q75" i="19"/>
  <c r="U74" i="19"/>
  <c r="Q74" i="19"/>
  <c r="U73" i="19"/>
  <c r="Q73" i="19"/>
  <c r="U72" i="19"/>
  <c r="Q72" i="19"/>
  <c r="T84" i="19"/>
  <c r="P84" i="19"/>
  <c r="T83" i="19"/>
  <c r="P83" i="19"/>
  <c r="T82" i="19"/>
  <c r="P82" i="19"/>
  <c r="T81" i="19"/>
  <c r="P81" i="19"/>
  <c r="T80" i="19"/>
  <c r="P80" i="19"/>
  <c r="T79" i="19"/>
  <c r="P79" i="19"/>
  <c r="T78" i="19"/>
  <c r="P78" i="19"/>
  <c r="T77" i="19"/>
  <c r="P77" i="19"/>
  <c r="T76" i="19"/>
  <c r="P76" i="19"/>
  <c r="T75" i="19"/>
  <c r="P75" i="19"/>
  <c r="T74" i="19"/>
  <c r="P74" i="19"/>
  <c r="T73" i="19"/>
  <c r="P73" i="19"/>
  <c r="T72" i="19"/>
  <c r="P72" i="19"/>
  <c r="V71" i="19"/>
  <c r="U71" i="19"/>
  <c r="T71" i="19"/>
  <c r="S71" i="19"/>
  <c r="R71" i="19"/>
  <c r="Q71" i="19"/>
  <c r="P71" i="19"/>
  <c r="O71" i="19"/>
  <c r="S66" i="19"/>
  <c r="S64" i="19"/>
  <c r="O63" i="19"/>
  <c r="S61" i="19"/>
  <c r="O60" i="19"/>
  <c r="O59" i="19"/>
  <c r="O57" i="19"/>
  <c r="O55" i="19"/>
  <c r="V67" i="19"/>
  <c r="R67" i="19"/>
  <c r="V66" i="19"/>
  <c r="R66" i="19"/>
  <c r="V65" i="19"/>
  <c r="R65" i="19"/>
  <c r="V64" i="19"/>
  <c r="R64" i="19"/>
  <c r="V63" i="19"/>
  <c r="R63" i="19"/>
  <c r="V62" i="19"/>
  <c r="R62" i="19"/>
  <c r="V61" i="19"/>
  <c r="R61" i="19"/>
  <c r="V60" i="19"/>
  <c r="R60" i="19"/>
  <c r="V59" i="19"/>
  <c r="R59" i="19"/>
  <c r="V58" i="19"/>
  <c r="R58" i="19"/>
  <c r="V57" i="19"/>
  <c r="R57" i="19"/>
  <c r="V56" i="19"/>
  <c r="R56" i="19"/>
  <c r="V55" i="19"/>
  <c r="R55" i="19"/>
  <c r="S67" i="19"/>
  <c r="S65" i="19"/>
  <c r="O64" i="19"/>
  <c r="S62" i="19"/>
  <c r="O61" i="19"/>
  <c r="S59" i="19"/>
  <c r="O58" i="19"/>
  <c r="S56" i="19"/>
  <c r="O56" i="19"/>
  <c r="U67" i="19"/>
  <c r="Q67" i="19"/>
  <c r="U66" i="19"/>
  <c r="Q66" i="19"/>
  <c r="U65" i="19"/>
  <c r="Q65" i="19"/>
  <c r="U64" i="19"/>
  <c r="Q64" i="19"/>
  <c r="U63" i="19"/>
  <c r="Q63" i="19"/>
  <c r="U62" i="19"/>
  <c r="Q62" i="19"/>
  <c r="U61" i="19"/>
  <c r="Q61" i="19"/>
  <c r="U60" i="19"/>
  <c r="Q60" i="19"/>
  <c r="U59" i="19"/>
  <c r="Q59" i="19"/>
  <c r="U58" i="19"/>
  <c r="Q58" i="19"/>
  <c r="U57" i="19"/>
  <c r="Q57" i="19"/>
  <c r="U56" i="19"/>
  <c r="Q56" i="19"/>
  <c r="U55" i="19"/>
  <c r="Q55" i="19"/>
  <c r="O67" i="19"/>
  <c r="O65" i="19"/>
  <c r="S63" i="19"/>
  <c r="O62" i="19"/>
  <c r="S60" i="19"/>
  <c r="S58" i="19"/>
  <c r="S57" i="19"/>
  <c r="S55" i="19"/>
  <c r="T67" i="19"/>
  <c r="P67" i="19"/>
  <c r="T66" i="19"/>
  <c r="P66" i="19"/>
  <c r="T65" i="19"/>
  <c r="P65" i="19"/>
  <c r="T64" i="19"/>
  <c r="P64" i="19"/>
  <c r="T63" i="19"/>
  <c r="P63" i="19"/>
  <c r="T62" i="19"/>
  <c r="P62" i="19"/>
  <c r="T61" i="19"/>
  <c r="P61" i="19"/>
  <c r="T60" i="19"/>
  <c r="P60" i="19"/>
  <c r="T59" i="19"/>
  <c r="P59" i="19"/>
  <c r="T58" i="19"/>
  <c r="P58" i="19"/>
  <c r="T57" i="19"/>
  <c r="P57" i="19"/>
  <c r="T56" i="19"/>
  <c r="P56" i="19"/>
  <c r="T55" i="19"/>
  <c r="P55" i="19"/>
  <c r="O66" i="19"/>
  <c r="V54" i="19"/>
  <c r="U54" i="19"/>
  <c r="T54" i="19"/>
  <c r="S54" i="19"/>
  <c r="R54" i="19"/>
  <c r="Q54" i="19"/>
  <c r="P54" i="19"/>
  <c r="O54" i="19"/>
  <c r="S50" i="19"/>
  <c r="S49" i="19"/>
  <c r="S48" i="19"/>
  <c r="O48" i="19"/>
  <c r="S47" i="19"/>
  <c r="O47" i="19"/>
  <c r="S46" i="19"/>
  <c r="O46" i="19"/>
  <c r="S45" i="19"/>
  <c r="O45" i="19"/>
  <c r="S44" i="19"/>
  <c r="O44" i="19"/>
  <c r="S43" i="19"/>
  <c r="O43" i="19"/>
  <c r="S42" i="19"/>
  <c r="O42" i="19"/>
  <c r="S41" i="19"/>
  <c r="O41" i="19"/>
  <c r="S40" i="19"/>
  <c r="O40" i="19"/>
  <c r="S39" i="19"/>
  <c r="O39" i="19"/>
  <c r="S38" i="19"/>
  <c r="O38" i="19"/>
  <c r="V50" i="19"/>
  <c r="R50" i="19"/>
  <c r="V49" i="19"/>
  <c r="R49" i="19"/>
  <c r="V48" i="19"/>
  <c r="R48" i="19"/>
  <c r="V47" i="19"/>
  <c r="R47" i="19"/>
  <c r="V46" i="19"/>
  <c r="R46" i="19"/>
  <c r="V45" i="19"/>
  <c r="R45" i="19"/>
  <c r="V44" i="19"/>
  <c r="R44" i="19"/>
  <c r="V43" i="19"/>
  <c r="R43" i="19"/>
  <c r="V42" i="19"/>
  <c r="R42" i="19"/>
  <c r="V41" i="19"/>
  <c r="R41" i="19"/>
  <c r="V40" i="19"/>
  <c r="R40" i="19"/>
  <c r="V39" i="19"/>
  <c r="R39" i="19"/>
  <c r="V38" i="19"/>
  <c r="R38" i="19"/>
  <c r="O50" i="19"/>
  <c r="Q50" i="19"/>
  <c r="Q49" i="19"/>
  <c r="Q48" i="19"/>
  <c r="U46" i="19"/>
  <c r="U44" i="19"/>
  <c r="Q38" i="19"/>
  <c r="O49" i="19"/>
  <c r="U50" i="19"/>
  <c r="U49" i="19"/>
  <c r="U48" i="19"/>
  <c r="U47" i="19"/>
  <c r="Q47" i="19"/>
  <c r="Q46" i="19"/>
  <c r="U45" i="19"/>
  <c r="Q45" i="19"/>
  <c r="Q44" i="19"/>
  <c r="U43" i="19"/>
  <c r="Q43" i="19"/>
  <c r="U42" i="19"/>
  <c r="Q42" i="19"/>
  <c r="U41" i="19"/>
  <c r="Q41" i="19"/>
  <c r="U40" i="19"/>
  <c r="Q40" i="19"/>
  <c r="U39" i="19"/>
  <c r="Q39" i="19"/>
  <c r="U38" i="19"/>
  <c r="T50" i="19"/>
  <c r="P50" i="19"/>
  <c r="T49" i="19"/>
  <c r="P49" i="19"/>
  <c r="T48" i="19"/>
  <c r="P48" i="19"/>
  <c r="T47" i="19"/>
  <c r="P47" i="19"/>
  <c r="T46" i="19"/>
  <c r="P46" i="19"/>
  <c r="T45" i="19"/>
  <c r="P45" i="19"/>
  <c r="T44" i="19"/>
  <c r="P44" i="19"/>
  <c r="T43" i="19"/>
  <c r="P43" i="19"/>
  <c r="T42" i="19"/>
  <c r="P42" i="19"/>
  <c r="T41" i="19"/>
  <c r="P41" i="19"/>
  <c r="T40" i="19"/>
  <c r="P40" i="19"/>
  <c r="T39" i="19"/>
  <c r="P39" i="19"/>
  <c r="T38" i="19"/>
  <c r="P38" i="19"/>
  <c r="V37" i="19"/>
  <c r="U37" i="19"/>
  <c r="T37" i="19"/>
  <c r="S37" i="19"/>
  <c r="R37" i="19"/>
  <c r="Q37" i="19"/>
  <c r="P37" i="19"/>
  <c r="O37" i="19"/>
  <c r="P33" i="19"/>
  <c r="T31" i="19"/>
  <c r="P30" i="19"/>
  <c r="T28" i="19"/>
  <c r="T27" i="19"/>
  <c r="P26" i="19"/>
  <c r="T24" i="19"/>
  <c r="P23" i="19"/>
  <c r="P21" i="19"/>
  <c r="S32" i="19"/>
  <c r="O31" i="19"/>
  <c r="S29" i="19"/>
  <c r="O28" i="19"/>
  <c r="S26" i="19"/>
  <c r="O25" i="19"/>
  <c r="S24" i="19"/>
  <c r="O24" i="19"/>
  <c r="S23" i="19"/>
  <c r="O23" i="19"/>
  <c r="S22" i="19"/>
  <c r="O22" i="19"/>
  <c r="S21" i="19"/>
  <c r="O21" i="19"/>
  <c r="V33" i="19"/>
  <c r="R33" i="19"/>
  <c r="V32" i="19"/>
  <c r="R32" i="19"/>
  <c r="V31" i="19"/>
  <c r="R31" i="19"/>
  <c r="V30" i="19"/>
  <c r="R30" i="19"/>
  <c r="V29" i="19"/>
  <c r="R29" i="19"/>
  <c r="V28" i="19"/>
  <c r="R28" i="19"/>
  <c r="V27" i="19"/>
  <c r="R27" i="19"/>
  <c r="V26" i="19"/>
  <c r="R26" i="19"/>
  <c r="V25" i="19"/>
  <c r="R25" i="19"/>
  <c r="V24" i="19"/>
  <c r="R24" i="19"/>
  <c r="V23" i="19"/>
  <c r="R23" i="19"/>
  <c r="V22" i="19"/>
  <c r="R22" i="19"/>
  <c r="V21" i="19"/>
  <c r="R21" i="19"/>
  <c r="T32" i="19"/>
  <c r="P31" i="19"/>
  <c r="T29" i="19"/>
  <c r="P28" i="19"/>
  <c r="T26" i="19"/>
  <c r="P25" i="19"/>
  <c r="T23" i="19"/>
  <c r="P22" i="19"/>
  <c r="S33" i="19"/>
  <c r="O32" i="19"/>
  <c r="S30" i="19"/>
  <c r="O29" i="19"/>
  <c r="S27" i="19"/>
  <c r="O26" i="19"/>
  <c r="Q33" i="19"/>
  <c r="Q32" i="19"/>
  <c r="U30" i="19"/>
  <c r="Q29" i="19"/>
  <c r="Q28" i="19"/>
  <c r="U26" i="19"/>
  <c r="Q24" i="19"/>
  <c r="Q21" i="19"/>
  <c r="T33" i="19"/>
  <c r="P32" i="19"/>
  <c r="T30" i="19"/>
  <c r="P29" i="19"/>
  <c r="P27" i="19"/>
  <c r="T25" i="19"/>
  <c r="P24" i="19"/>
  <c r="T22" i="19"/>
  <c r="T21" i="19"/>
  <c r="O33" i="19"/>
  <c r="S31" i="19"/>
  <c r="O30" i="19"/>
  <c r="S28" i="19"/>
  <c r="O27" i="19"/>
  <c r="S25" i="19"/>
  <c r="U33" i="19"/>
  <c r="U32" i="19"/>
  <c r="U31" i="19"/>
  <c r="Q31" i="19"/>
  <c r="Q30" i="19"/>
  <c r="U29" i="19"/>
  <c r="U28" i="19"/>
  <c r="U27" i="19"/>
  <c r="Q27" i="19"/>
  <c r="Q26" i="19"/>
  <c r="U25" i="19"/>
  <c r="Q25" i="19"/>
  <c r="U24" i="19"/>
  <c r="U23" i="19"/>
  <c r="Q23" i="19"/>
  <c r="U22" i="19"/>
  <c r="Q22" i="19"/>
  <c r="U21" i="19"/>
  <c r="V20" i="19"/>
  <c r="U20" i="19"/>
  <c r="T20" i="19"/>
  <c r="S20" i="19"/>
  <c r="R20" i="19"/>
  <c r="Q20" i="19"/>
  <c r="P20" i="19"/>
  <c r="O20" i="19"/>
  <c r="V7" i="19"/>
  <c r="V14" i="19"/>
  <c r="V10" i="19"/>
  <c r="V6" i="19"/>
  <c r="V11" i="19"/>
  <c r="V13" i="19"/>
  <c r="V5" i="19"/>
  <c r="V9" i="19"/>
  <c r="V15" i="19"/>
  <c r="V16" i="19"/>
  <c r="V12" i="19"/>
  <c r="V8" i="19"/>
  <c r="V4" i="19"/>
  <c r="V3" i="19"/>
  <c r="U4" i="19"/>
  <c r="U15" i="19"/>
  <c r="U11" i="19"/>
  <c r="U7" i="19"/>
  <c r="U16" i="19"/>
  <c r="U8" i="19"/>
  <c r="U14" i="19"/>
  <c r="U10" i="19"/>
  <c r="U6" i="19"/>
  <c r="U12" i="19"/>
  <c r="U13" i="19"/>
  <c r="U9" i="19"/>
  <c r="U5" i="19"/>
  <c r="U3" i="19"/>
  <c r="T16" i="19"/>
  <c r="T4" i="19"/>
  <c r="T11" i="19"/>
  <c r="T7" i="19"/>
  <c r="T15" i="19"/>
  <c r="T6" i="19"/>
  <c r="T8" i="19"/>
  <c r="T14" i="19"/>
  <c r="T10" i="19"/>
  <c r="T12" i="19"/>
  <c r="T13" i="19"/>
  <c r="T9" i="19"/>
  <c r="T5" i="19"/>
  <c r="T3" i="19"/>
  <c r="S12" i="19"/>
  <c r="S7" i="19"/>
  <c r="S4" i="19"/>
  <c r="S15" i="19"/>
  <c r="S11" i="19"/>
  <c r="S8" i="19"/>
  <c r="S6" i="19"/>
  <c r="S16" i="19"/>
  <c r="S14" i="19"/>
  <c r="S10" i="19"/>
  <c r="S13" i="19"/>
  <c r="S9" i="19"/>
  <c r="S5" i="19"/>
  <c r="S3" i="19"/>
  <c r="R15" i="19"/>
  <c r="R11" i="19"/>
  <c r="R7" i="19"/>
  <c r="R14" i="19"/>
  <c r="R6" i="19"/>
  <c r="R10" i="19"/>
  <c r="R5" i="19"/>
  <c r="R13" i="19"/>
  <c r="R9" i="19"/>
  <c r="R16" i="19"/>
  <c r="R12" i="19"/>
  <c r="R8" i="19"/>
  <c r="R4" i="19"/>
  <c r="R3" i="19"/>
  <c r="Q7" i="19"/>
  <c r="Q12" i="19"/>
  <c r="Q6" i="19"/>
  <c r="Q8" i="19"/>
  <c r="Q16" i="19"/>
  <c r="Q4" i="19"/>
  <c r="Q15" i="19"/>
  <c r="Q11" i="19"/>
  <c r="Q14" i="19"/>
  <c r="Q10" i="19"/>
  <c r="Q13" i="19"/>
  <c r="Q9" i="19"/>
  <c r="Q5" i="19"/>
  <c r="Q3" i="19"/>
  <c r="P15" i="19"/>
  <c r="P11" i="19"/>
  <c r="P7" i="19"/>
  <c r="P6" i="19"/>
  <c r="P14" i="19"/>
  <c r="P10" i="19"/>
  <c r="P13" i="19"/>
  <c r="P9" i="19"/>
  <c r="P5" i="19"/>
  <c r="P16" i="19"/>
  <c r="P12" i="19"/>
  <c r="P8" i="19"/>
  <c r="P4" i="19"/>
  <c r="P3" i="19"/>
  <c r="O16" i="19"/>
  <c r="O8" i="19"/>
  <c r="O15" i="19"/>
  <c r="O7" i="19"/>
  <c r="O14" i="19"/>
  <c r="O10" i="19"/>
  <c r="O6" i="19"/>
  <c r="O12" i="19"/>
  <c r="O5" i="19"/>
  <c r="O4" i="19"/>
  <c r="O11" i="19"/>
  <c r="O13" i="19"/>
  <c r="O9" i="19"/>
  <c r="O3" i="19"/>
  <c r="G31" i="20"/>
  <c r="I31" i="20" s="1"/>
  <c r="J31" i="20" s="1"/>
  <c r="K31" i="20" s="1"/>
  <c r="G27" i="20"/>
  <c r="I27" i="20" s="1"/>
  <c r="J27" i="20" s="1"/>
  <c r="K27" i="20" s="1"/>
  <c r="G23" i="20"/>
  <c r="I23" i="20" s="1"/>
  <c r="J23" i="20" s="1"/>
  <c r="K23" i="20" s="1"/>
  <c r="G19" i="20"/>
  <c r="I19" i="20" s="1"/>
  <c r="J19" i="20" s="1"/>
  <c r="K19" i="20" s="1"/>
  <c r="G15" i="20"/>
  <c r="I15" i="20" s="1"/>
  <c r="J15" i="20" s="1"/>
  <c r="K15" i="20" s="1"/>
  <c r="G11" i="20"/>
  <c r="I11" i="20" s="1"/>
  <c r="J11" i="20" s="1"/>
  <c r="K11" i="20" s="1"/>
  <c r="G7" i="20"/>
  <c r="I7" i="20" s="1"/>
  <c r="J7" i="20"/>
  <c r="K7" i="20" s="1"/>
  <c r="I3" i="2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11ACEF-DD0A-49D0-A538-E971019C1CDF}" keepAlive="1" name="Query - Tabella1" description="Connessione alla query 'Tabella1' nella cartella di lavoro." type="5" refreshedVersion="8" background="1" saveData="1">
    <dbPr connection="Provider=Microsoft.Mashup.OleDb.1;Data Source=$Workbook$;Location=Tabella1;Extended Properties=&quot;&quot;" command="SELECT * FROM [Tabella1]"/>
  </connection>
  <connection id="2" xr16:uid="{F3697D77-3403-4900-A740-FC4D8055106F}" keepAlive="1" name="Query - Tabella10" description="Connessione alla query 'Tabella10' nella cartella di lavoro." type="5" refreshedVersion="8" background="1" saveData="1">
    <dbPr connection="Provider=Microsoft.Mashup.OleDb.1;Data Source=$Workbook$;Location=Tabella10;Extended Properties=&quot;&quot;" command="SELECT * FROM [Tabella10]"/>
  </connection>
  <connection id="3" xr16:uid="{5B717FAC-ADE4-4F5D-94FA-366428952102}" keepAlive="1" name="Query - Tabella12" description="Connessione alla query 'Tabella12' nella cartella di lavoro." type="5" refreshedVersion="0" background="1">
    <dbPr connection="Provider=Microsoft.Mashup.OleDb.1;Data Source=$Workbook$;Location=Tabella12;Extended Properties=&quot;&quot;" command="SELECT * FROM [Tabella12]"/>
  </connection>
  <connection id="4" xr16:uid="{BDCB9F5A-6D68-41E9-BF17-EDD6548430F8}" keepAlive="1" name="Query - Tabella14" description="Connessione alla query 'Tabella14' nella cartella di lavoro." type="5" refreshedVersion="8" background="1" saveData="1">
    <dbPr connection="Provider=Microsoft.Mashup.OleDb.1;Data Source=$Workbook$;Location=Tabella14;Extended Properties=&quot;&quot;" command="SELECT * FROM [Tabella14]"/>
  </connection>
  <connection id="5" xr16:uid="{9478C8E4-B579-44F9-B078-142A6153EF4E}" keepAlive="1" name="Query - Tabella16" description="Connessione alla query 'Tabella16' nella cartella di lavoro." type="5" refreshedVersion="8" background="1" saveData="1">
    <dbPr connection="Provider=Microsoft.Mashup.OleDb.1;Data Source=$Workbook$;Location=Tabella16;Extended Properties=&quot;&quot;" command="SELECT * FROM [Tabella16]"/>
  </connection>
  <connection id="6" xr16:uid="{0F41635B-A038-4E64-860F-BB4A02B89766}" keepAlive="1" name="Query - Tabella4" description="Connessione alla query 'Tabella4' nella cartella di lavoro." type="5" refreshedVersion="8" background="1" saveData="1">
    <dbPr connection="Provider=Microsoft.Mashup.OleDb.1;Data Source=$Workbook$;Location=Tabella4;Extended Properties=&quot;&quot;" command="SELECT * FROM [Tabella4]"/>
  </connection>
  <connection id="7" xr16:uid="{74A7DC37-3401-41F3-B771-2931C1AFE4C8}" keepAlive="1" name="Query - Tabella6" description="Connessione alla query 'Tabella6' nella cartella di lavoro." type="5" refreshedVersion="8" background="1" saveData="1">
    <dbPr connection="Provider=Microsoft.Mashup.OleDb.1;Data Source=$Workbook$;Location=Tabella6;Extended Properties=&quot;&quot;" command="SELECT * FROM [Tabella6]"/>
  </connection>
  <connection id="8" xr16:uid="{718F5AF8-586C-408B-8FA4-682F4A1BAE7A}" keepAlive="1" name="Query - Tabella8" description="Connessione alla query 'Tabella8' nella cartella di lavoro." type="5" refreshedVersion="8" background="1" saveData="1">
    <dbPr connection="Provider=Microsoft.Mashup.OleDb.1;Data Source=$Workbook$;Location=Tabella8;Extended Properties=&quot;&quot;" command="SELECT * FROM [Tabella8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<sst xmlns="http://schemas.openxmlformats.org/spreadsheetml/2006/main" count="202" uniqueCount="74">
  <si>
    <t xml:space="preserve">1) </t>
  </si>
  <si>
    <t xml:space="preserve">2) </t>
  </si>
  <si>
    <t>visualize in a 3D picture the implied volatility surface (as a function of the strikes and time to maturities) using the Call prices</t>
  </si>
  <si>
    <t xml:space="preserve">3) </t>
  </si>
  <si>
    <t>check the presence of the implied volatility smile/skew</t>
  </si>
  <si>
    <t xml:space="preserve">4) </t>
  </si>
  <si>
    <t>check the smoothness of the Greeks as time to maturity increases</t>
  </si>
  <si>
    <t>REPORT n5</t>
  </si>
  <si>
    <t>(provide PDF and Excel with macros)</t>
  </si>
  <si>
    <t>DEADLINE  April 28 (same as for Report 4 but please send separate PDF files)</t>
  </si>
  <si>
    <t>choose in Yahoo an asset on which there is a book of Europeanstyle options</t>
  </si>
  <si>
    <t>S</t>
  </si>
  <si>
    <t>On April 28, 2023:</t>
  </si>
  <si>
    <t>Airbnb, Inc. (ABNB) Options Chain - Yahoo Finance</t>
  </si>
  <si>
    <t>Interest rates from global-rates.com:</t>
  </si>
  <si>
    <t> USD LIBOR - overnight</t>
  </si>
  <si>
    <t>4.81014 %</t>
  </si>
  <si>
    <t> USD LIBOR - 1 month</t>
  </si>
  <si>
    <t>5.03414 %</t>
  </si>
  <si>
    <t> USD LIBOR - 3 months</t>
  </si>
  <si>
    <t>5.29914 %</t>
  </si>
  <si>
    <t> USD LIBOR - 6 months</t>
  </si>
  <si>
    <t>5.38686 %</t>
  </si>
  <si>
    <t> USD LIBOR - 12 months</t>
  </si>
  <si>
    <t>5.32143 %</t>
  </si>
  <si>
    <t xml:space="preserve"> May 26, 2023</t>
  </si>
  <si>
    <t>1 month</t>
  </si>
  <si>
    <t>T</t>
  </si>
  <si>
    <t>Specific Date</t>
  </si>
  <si>
    <t>2 months</t>
  </si>
  <si>
    <t xml:space="preserve"> June 16, 2023</t>
  </si>
  <si>
    <t>1</t>
  </si>
  <si>
    <t>2</t>
  </si>
  <si>
    <t>3 months</t>
  </si>
  <si>
    <t>July 21, 2023</t>
  </si>
  <si>
    <t>3</t>
  </si>
  <si>
    <t>4 months</t>
  </si>
  <si>
    <t>August 18, 2023</t>
  </si>
  <si>
    <t>4</t>
  </si>
  <si>
    <t>6 months</t>
  </si>
  <si>
    <t>October 20, 2023</t>
  </si>
  <si>
    <t>6</t>
  </si>
  <si>
    <t>9 months</t>
  </si>
  <si>
    <t>January 19, 2024</t>
  </si>
  <si>
    <t>9</t>
  </si>
  <si>
    <t>14 months</t>
  </si>
  <si>
    <t xml:space="preserve"> June 21, 2024</t>
  </si>
  <si>
    <t>14</t>
  </si>
  <si>
    <t>21 months</t>
  </si>
  <si>
    <t>January 17, 2025</t>
  </si>
  <si>
    <t>21</t>
  </si>
  <si>
    <t>T=2</t>
  </si>
  <si>
    <t>K+</t>
  </si>
  <si>
    <t>call price</t>
  </si>
  <si>
    <t>put price</t>
  </si>
  <si>
    <t>K-</t>
  </si>
  <si>
    <t>diff 1</t>
  </si>
  <si>
    <t>&lt; diff 2</t>
  </si>
  <si>
    <t>rate</t>
  </si>
  <si>
    <t>r</t>
  </si>
  <si>
    <t>r %</t>
  </si>
  <si>
    <t>T=4</t>
  </si>
  <si>
    <t>T=9</t>
  </si>
  <si>
    <t>T=14</t>
  </si>
  <si>
    <t>T=21</t>
  </si>
  <si>
    <t>DELTA</t>
  </si>
  <si>
    <t>q</t>
  </si>
  <si>
    <t>T=1</t>
  </si>
  <si>
    <t>T=3</t>
  </si>
  <si>
    <t>T=6</t>
  </si>
  <si>
    <t>THETA</t>
  </si>
  <si>
    <t>GAMMA</t>
  </si>
  <si>
    <t>VEGA</t>
  </si>
  <si>
    <t>RHO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</si>
</sst>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666666"/>
      <name val="Arial"/>
      <family val="2"/>
    </font>
    <font>
      <sz val="8"/>
      <name val="Calibri"/>
      <family val="2"/>
      <scheme val="minor"/>
    </font>
    <font>
      <sz val="11"/>
      <color theme="4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 style="medium">
        <color rgb="FFCCCCCC"/>
      </left>
      <right/>
      <top/>
      <bottom/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/>
      <top/>
      <bottom style="medium">
        <color rgb="FFCCCCCC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2" fillId="0" borderId="0" xfId="1"/>
    <xf numFmtId="0" fontId="3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2" fillId="2" borderId="1" xfId="1" applyFill="1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2" fillId="3" borderId="3" xfId="1" applyFill="1" applyBorder="1" applyAlignment="1">
      <alignment vertical="center" wrapText="1"/>
    </xf>
    <xf numFmtId="0" fontId="2" fillId="2" borderId="3" xfId="1" applyFill="1" applyBorder="1" applyAlignment="1">
      <alignment vertical="center" wrapText="1"/>
    </xf>
    <xf numFmtId="0" fontId="2" fillId="2" borderId="4" xfId="1" applyFill="1" applyBorder="1" applyAlignment="1">
      <alignment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Fill="1"/>
    <xf numFmtId="0" fontId="5" fillId="0" borderId="0" xfId="0" applyFont="1"/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50440531033206"/>
          <c:y val="0.10892804698972101"/>
          <c:w val="0.87583423182060749"/>
          <c:h val="0.70684958433059308"/>
        </c:manualLayout>
      </c:layout>
      <c:surface3DChart>
        <c:wireframe val="0"/>
        <c:ser>
          <c:idx val="0"/>
          <c:order val="0"/>
          <c:tx>
            <c:strRef>
              <c:f>'volatility table'!$B$1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5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45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4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4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45000"/>
                  <a:shade val="95000"/>
                </a:schemeClr>
              </a:contourClr>
            </a:sp3d>
          </c:spPr>
          <c:cat>
            <c:numRef>
              <c:f>'volatility table'!$A$2:$A$15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'volatility table'!$B$2:$B$15</c:f>
              <c:numCache>
                <c:formatCode>General</c:formatCode>
                <c:ptCount val="14"/>
                <c:pt idx="0">
                  <c:v>0.69310000000000005</c:v>
                </c:pt>
                <c:pt idx="1">
                  <c:v>0.60819999999999996</c:v>
                </c:pt>
                <c:pt idx="2">
                  <c:v>0.59199999999999997</c:v>
                </c:pt>
                <c:pt idx="3">
                  <c:v>0.56469999999999998</c:v>
                </c:pt>
                <c:pt idx="4">
                  <c:v>0.52580000000000005</c:v>
                </c:pt>
                <c:pt idx="5">
                  <c:v>0.50649999999999995</c:v>
                </c:pt>
                <c:pt idx="6">
                  <c:v>0.49120000000000003</c:v>
                </c:pt>
                <c:pt idx="7">
                  <c:v>0.47360000000000002</c:v>
                </c:pt>
                <c:pt idx="8">
                  <c:v>0.47</c:v>
                </c:pt>
                <c:pt idx="9">
                  <c:v>0.46800000000000003</c:v>
                </c:pt>
                <c:pt idx="10">
                  <c:v>0.46439999999999998</c:v>
                </c:pt>
                <c:pt idx="11">
                  <c:v>0.51900000000000002</c:v>
                </c:pt>
                <c:pt idx="12">
                  <c:v>0.51270000000000004</c:v>
                </c:pt>
                <c:pt idx="13">
                  <c:v>0.52249999999999996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0-42A1-9A3A-C0727986FD81}"/>
            </c:ext>
          </c:extLst>
        </c:ser>
        <c:ser>
          <c:idx val="1"/>
          <c:order val="1"/>
          <c:tx>
            <c:strRef>
              <c:f>'volatility table'!$C$1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1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61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61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61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61000"/>
                  <a:shade val="95000"/>
                </a:schemeClr>
              </a:contourClr>
            </a:sp3d>
          </c:spPr>
          <c:cat>
            <c:numRef>
              <c:f>'volatility table'!$A$2:$A$15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'volatility table'!$C$2:$C$15</c:f>
              <c:numCache>
                <c:formatCode>General</c:formatCode>
                <c:ptCount val="14"/>
                <c:pt idx="0">
                  <c:v>0.60599999999999998</c:v>
                </c:pt>
                <c:pt idx="1">
                  <c:v>0.57520000000000004</c:v>
                </c:pt>
                <c:pt idx="2">
                  <c:v>0.54530000000000001</c:v>
                </c:pt>
                <c:pt idx="3">
                  <c:v>0.52649999999999997</c:v>
                </c:pt>
                <c:pt idx="4">
                  <c:v>0.50390000000000001</c:v>
                </c:pt>
                <c:pt idx="5">
                  <c:v>0.47689999999999999</c:v>
                </c:pt>
                <c:pt idx="6">
                  <c:v>0.46400000000000002</c:v>
                </c:pt>
                <c:pt idx="7">
                  <c:v>0.44800000000000001</c:v>
                </c:pt>
                <c:pt idx="8">
                  <c:v>0.43990000000000001</c:v>
                </c:pt>
                <c:pt idx="9">
                  <c:v>0.43730000000000002</c:v>
                </c:pt>
                <c:pt idx="10">
                  <c:v>0.436</c:v>
                </c:pt>
                <c:pt idx="11">
                  <c:v>0.43730000000000002</c:v>
                </c:pt>
                <c:pt idx="12">
                  <c:v>0.44429999999999997</c:v>
                </c:pt>
                <c:pt idx="13">
                  <c:v>0.44969999999999999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20-42A1-9A3A-C0727986FD81}"/>
            </c:ext>
          </c:extLst>
        </c:ser>
        <c:ser>
          <c:idx val="2"/>
          <c:order val="2"/>
          <c:tx>
            <c:strRef>
              <c:f>'volatility table'!$D$1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76000"/>
                  <a:shade val="95000"/>
                </a:schemeClr>
              </a:contourClr>
            </a:sp3d>
          </c:spPr>
          <c:cat>
            <c:numRef>
              <c:f>'volatility table'!$A$2:$A$15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'volatility table'!$D$2:$D$15</c:f>
              <c:numCache>
                <c:formatCode>General</c:formatCode>
                <c:ptCount val="14"/>
                <c:pt idx="0">
                  <c:v>0.57430000000000003</c:v>
                </c:pt>
                <c:pt idx="1">
                  <c:v>0.54249999999999998</c:v>
                </c:pt>
                <c:pt idx="2">
                  <c:v>0.52280000000000004</c:v>
                </c:pt>
                <c:pt idx="3">
                  <c:v>0.50529999999999997</c:v>
                </c:pt>
                <c:pt idx="4">
                  <c:v>0.48609999999999998</c:v>
                </c:pt>
                <c:pt idx="5">
                  <c:v>0.46529999999999999</c:v>
                </c:pt>
                <c:pt idx="6">
                  <c:v>0.45090000000000002</c:v>
                </c:pt>
                <c:pt idx="7">
                  <c:v>0.4385</c:v>
                </c:pt>
                <c:pt idx="8">
                  <c:v>0.4289</c:v>
                </c:pt>
                <c:pt idx="9">
                  <c:v>0.42430000000000001</c:v>
                </c:pt>
                <c:pt idx="10">
                  <c:v>0.41699999999999998</c:v>
                </c:pt>
                <c:pt idx="11">
                  <c:v>0.4158</c:v>
                </c:pt>
                <c:pt idx="12">
                  <c:v>0.4128</c:v>
                </c:pt>
                <c:pt idx="13">
                  <c:v>0.41110000000000002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20-42A1-9A3A-C0727986FD81}"/>
            </c:ext>
          </c:extLst>
        </c:ser>
        <c:ser>
          <c:idx val="3"/>
          <c:order val="3"/>
          <c:tx>
            <c:strRef>
              <c:f>'volatility table'!$E$1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2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92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92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2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2000"/>
                  <a:shade val="95000"/>
                </a:schemeClr>
              </a:contourClr>
            </a:sp3d>
          </c:spPr>
          <c:cat>
            <c:numRef>
              <c:f>'volatility table'!$A$2:$A$15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'volatility table'!$E$2:$E$15</c:f>
              <c:numCache>
                <c:formatCode>General</c:formatCode>
                <c:ptCount val="14"/>
                <c:pt idx="0">
                  <c:v>0.59419999999999995</c:v>
                </c:pt>
                <c:pt idx="1">
                  <c:v>0.56950000000000001</c:v>
                </c:pt>
                <c:pt idx="2">
                  <c:v>0.53939999999999999</c:v>
                </c:pt>
                <c:pt idx="3">
                  <c:v>0.52490000000000003</c:v>
                </c:pt>
                <c:pt idx="4">
                  <c:v>0.50870000000000004</c:v>
                </c:pt>
                <c:pt idx="5">
                  <c:v>0.49719999999999998</c:v>
                </c:pt>
                <c:pt idx="6">
                  <c:v>0.48709999999999998</c:v>
                </c:pt>
                <c:pt idx="7">
                  <c:v>0.4698</c:v>
                </c:pt>
                <c:pt idx="8">
                  <c:v>0.4612</c:v>
                </c:pt>
                <c:pt idx="9">
                  <c:v>0.45469999999999999</c:v>
                </c:pt>
                <c:pt idx="10">
                  <c:v>0.44679999999999997</c:v>
                </c:pt>
                <c:pt idx="11">
                  <c:v>0.4385</c:v>
                </c:pt>
                <c:pt idx="12">
                  <c:v>0.43259999999999998</c:v>
                </c:pt>
                <c:pt idx="13">
                  <c:v>0.42859999999999998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20-42A1-9A3A-C0727986FD81}"/>
            </c:ext>
          </c:extLst>
        </c:ser>
        <c:ser>
          <c:idx val="4"/>
          <c:order val="4"/>
          <c:tx>
            <c:strRef>
              <c:f>'volatility table'!$F$1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3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93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9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93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93000"/>
                  <a:shade val="95000"/>
                </a:schemeClr>
              </a:contourClr>
            </a:sp3d>
          </c:spPr>
          <c:cat>
            <c:numRef>
              <c:f>'volatility table'!$A$2:$A$15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'volatility table'!$F$2:$F$15</c:f>
              <c:numCache>
                <c:formatCode>General</c:formatCode>
                <c:ptCount val="14"/>
                <c:pt idx="0">
                  <c:v>0.56869999999999998</c:v>
                </c:pt>
                <c:pt idx="1">
                  <c:v>0.54910000000000003</c:v>
                </c:pt>
                <c:pt idx="2">
                  <c:v>0.53480000000000005</c:v>
                </c:pt>
                <c:pt idx="3">
                  <c:v>0.50980000000000003</c:v>
                </c:pt>
                <c:pt idx="4">
                  <c:v>0.50019999999999998</c:v>
                </c:pt>
                <c:pt idx="5">
                  <c:v>0.49370000000000003</c:v>
                </c:pt>
                <c:pt idx="6">
                  <c:v>0.47920000000000001</c:v>
                </c:pt>
                <c:pt idx="7">
                  <c:v>0.46860000000000002</c:v>
                </c:pt>
                <c:pt idx="8">
                  <c:v>0.46039999999999998</c:v>
                </c:pt>
                <c:pt idx="9">
                  <c:v>0.4486</c:v>
                </c:pt>
                <c:pt idx="10">
                  <c:v>0.4451</c:v>
                </c:pt>
                <c:pt idx="11">
                  <c:v>0.439</c:v>
                </c:pt>
                <c:pt idx="12">
                  <c:v>0.43230000000000002</c:v>
                </c:pt>
                <c:pt idx="13">
                  <c:v>0.42799999999999999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20-42A1-9A3A-C0727986FD81}"/>
            </c:ext>
          </c:extLst>
        </c:ser>
        <c:ser>
          <c:idx val="5"/>
          <c:order val="5"/>
          <c:tx>
            <c:strRef>
              <c:f>'volatility table'!$G$1</c:f>
              <c:strCache>
                <c:ptCount val="1"/>
                <c:pt idx="0">
                  <c:v>9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77000"/>
                  <a:shade val="95000"/>
                </a:schemeClr>
              </a:contourClr>
            </a:sp3d>
          </c:spPr>
          <c:cat>
            <c:numRef>
              <c:f>'volatility table'!$A$2:$A$15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'volatility table'!$G$2:$G$15</c:f>
              <c:numCache>
                <c:formatCode>General</c:formatCode>
                <c:ptCount val="14"/>
                <c:pt idx="0">
                  <c:v>0.57099999999999995</c:v>
                </c:pt>
                <c:pt idx="1">
                  <c:v>0.55489999999999995</c:v>
                </c:pt>
                <c:pt idx="2">
                  <c:v>0.54369999999999996</c:v>
                </c:pt>
                <c:pt idx="3">
                  <c:v>0.52749999999999997</c:v>
                </c:pt>
                <c:pt idx="4">
                  <c:v>0.51759999999999995</c:v>
                </c:pt>
                <c:pt idx="5">
                  <c:v>0.50280000000000002</c:v>
                </c:pt>
                <c:pt idx="6">
                  <c:v>0.49630000000000002</c:v>
                </c:pt>
                <c:pt idx="7">
                  <c:v>0.48920000000000002</c:v>
                </c:pt>
                <c:pt idx="8">
                  <c:v>0.4778</c:v>
                </c:pt>
                <c:pt idx="9">
                  <c:v>0.46989999999999998</c:v>
                </c:pt>
                <c:pt idx="10">
                  <c:v>0.46710000000000002</c:v>
                </c:pt>
                <c:pt idx="11">
                  <c:v>0.45910000000000001</c:v>
                </c:pt>
                <c:pt idx="12">
                  <c:v>0.45550000000000002</c:v>
                </c:pt>
                <c:pt idx="13">
                  <c:v>0.44829999999999998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20-42A1-9A3A-C0727986FD81}"/>
            </c:ext>
          </c:extLst>
        </c:ser>
        <c:ser>
          <c:idx val="6"/>
          <c:order val="6"/>
          <c:tx>
            <c:strRef>
              <c:f>'volatility table'!$H$1</c:f>
              <c:strCache>
                <c:ptCount val="1"/>
                <c:pt idx="0">
                  <c:v>14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2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62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62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62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62000"/>
                  <a:shade val="95000"/>
                </a:schemeClr>
              </a:contourClr>
            </a:sp3d>
          </c:spPr>
          <c:cat>
            <c:numRef>
              <c:f>'volatility table'!$A$2:$A$15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'volatility table'!$H$2:$H$15</c:f>
              <c:numCache>
                <c:formatCode>General</c:formatCode>
                <c:ptCount val="14"/>
                <c:pt idx="0">
                  <c:v>0.44130000000000003</c:v>
                </c:pt>
                <c:pt idx="1">
                  <c:v>0.55330000000000001</c:v>
                </c:pt>
                <c:pt idx="2">
                  <c:v>0.53969999999999996</c:v>
                </c:pt>
                <c:pt idx="3">
                  <c:v>0.53129999999999999</c:v>
                </c:pt>
                <c:pt idx="4">
                  <c:v>0.52110000000000001</c:v>
                </c:pt>
                <c:pt idx="5">
                  <c:v>0.51200000000000001</c:v>
                </c:pt>
                <c:pt idx="6">
                  <c:v>0.50070000000000003</c:v>
                </c:pt>
                <c:pt idx="7">
                  <c:v>0.497</c:v>
                </c:pt>
                <c:pt idx="8">
                  <c:v>0.49030000000000001</c:v>
                </c:pt>
                <c:pt idx="9">
                  <c:v>0.48309999999999997</c:v>
                </c:pt>
                <c:pt idx="10">
                  <c:v>0.47549999999999998</c:v>
                </c:pt>
                <c:pt idx="11">
                  <c:v>0.46960000000000002</c:v>
                </c:pt>
                <c:pt idx="12">
                  <c:v>0.46360000000000001</c:v>
                </c:pt>
                <c:pt idx="13">
                  <c:v>0.45950000000000002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20-42A1-9A3A-C0727986FD81}"/>
            </c:ext>
          </c:extLst>
        </c:ser>
        <c:ser>
          <c:idx val="7"/>
          <c:order val="7"/>
          <c:tx>
            <c:strRef>
              <c:f>'volatility table'!$I$1</c:f>
              <c:strCache>
                <c:ptCount val="1"/>
                <c:pt idx="0">
                  <c:v>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4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4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4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46000"/>
                  <a:shade val="95000"/>
                </a:schemeClr>
              </a:contourClr>
            </a:sp3d>
          </c:spPr>
          <c:cat>
            <c:numRef>
              <c:f>'volatility table'!$A$2:$A$15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'volatility table'!$I$2:$I$15</c:f>
              <c:numCache>
                <c:formatCode>General</c:formatCode>
                <c:ptCount val="14"/>
                <c:pt idx="0">
                  <c:v>0.56079999999999997</c:v>
                </c:pt>
                <c:pt idx="1">
                  <c:v>0.55300000000000005</c:v>
                </c:pt>
                <c:pt idx="2">
                  <c:v>0.54669999999999996</c:v>
                </c:pt>
                <c:pt idx="3">
                  <c:v>0.53569999999999995</c:v>
                </c:pt>
                <c:pt idx="4">
                  <c:v>0.52969999999999995</c:v>
                </c:pt>
                <c:pt idx="5">
                  <c:v>0.52200000000000002</c:v>
                </c:pt>
                <c:pt idx="6">
                  <c:v>0.51190000000000002</c:v>
                </c:pt>
                <c:pt idx="7">
                  <c:v>0.50449999999999995</c:v>
                </c:pt>
                <c:pt idx="8">
                  <c:v>0.50449999999999995</c:v>
                </c:pt>
                <c:pt idx="9">
                  <c:v>0.49919999999999998</c:v>
                </c:pt>
                <c:pt idx="10">
                  <c:v>0.49259999999999998</c:v>
                </c:pt>
                <c:pt idx="11">
                  <c:v>0.4854</c:v>
                </c:pt>
                <c:pt idx="12">
                  <c:v>0.48159999999999997</c:v>
                </c:pt>
                <c:pt idx="13">
                  <c:v>0.47570000000000001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820-42A1-9A3A-C0727986FD8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45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61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61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61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61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61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76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shade val="92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92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92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2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2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tint val="9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9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9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9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93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77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62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62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62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62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62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4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4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4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4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46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3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1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1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1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1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15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99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99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99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99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99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84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68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68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68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68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68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53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37000"/>
                    <a:shade val="95000"/>
                  </a:schemeClr>
                </a:contourClr>
              </a:sp3d>
            </c:spPr>
          </c:bandFmt>
        </c:bandFmts>
        <c:axId val="943640559"/>
        <c:axId val="943641519"/>
        <c:axId val="949346383"/>
      </c:surface3DChart>
      <c:catAx>
        <c:axId val="9436405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3641519"/>
        <c:crosses val="autoZero"/>
        <c:auto val="1"/>
        <c:lblAlgn val="ctr"/>
        <c:lblOffset val="100"/>
        <c:noMultiLvlLbl val="0"/>
      </c:catAx>
      <c:valAx>
        <c:axId val="94364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3640559"/>
        <c:crosses val="autoZero"/>
        <c:crossBetween val="midCat"/>
      </c:valAx>
      <c:serAx>
        <c:axId val="9493463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(months)</a:t>
                </a:r>
              </a:p>
            </c:rich>
          </c:tx>
          <c:layout>
            <c:manualLayout>
              <c:xMode val="edge"/>
              <c:yMode val="edge"/>
              <c:x val="0.67688791235120505"/>
              <c:y val="0.821251055071860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364151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greeks!$O$2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45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45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4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4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45000"/>
                  <a:shade val="95000"/>
                </a:schemeClr>
              </a:contourClr>
            </a:sp3d>
          </c:spPr>
          <c:cat>
            <c:numRef>
              <c:f>greeks!$N$3:$N$16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greeks!$O$3:$O$16</c:f>
              <c:numCache>
                <c:formatCode>General</c:formatCode>
                <c:ptCount val="14"/>
                <c:pt idx="0">
                  <c:v>0.8857194036587378</c:v>
                </c:pt>
                <c:pt idx="1">
                  <c:v>0.85400795628168635</c:v>
                </c:pt>
                <c:pt idx="2">
                  <c:v>0.78592829321209967</c:v>
                </c:pt>
                <c:pt idx="3">
                  <c:v>0.70444548030081588</c:v>
                </c:pt>
                <c:pt idx="4">
                  <c:v>0.6073678992971453</c:v>
                </c:pt>
                <c:pt idx="5">
                  <c:v>0.49444955454382694</c:v>
                </c:pt>
                <c:pt idx="6">
                  <c:v>0.37952526484384708</c:v>
                </c:pt>
                <c:pt idx="7">
                  <c:v>0.27087017149941678</c:v>
                </c:pt>
                <c:pt idx="8">
                  <c:v>0.18564268052856178</c:v>
                </c:pt>
                <c:pt idx="9">
                  <c:v>0.12147122866570513</c:v>
                </c:pt>
                <c:pt idx="10">
                  <c:v>7.500152708555223E-2</c:v>
                </c:pt>
                <c:pt idx="11">
                  <c:v>6.6881020493249663E-2</c:v>
                </c:pt>
                <c:pt idx="12">
                  <c:v>4.0821057380795236E-2</c:v>
                </c:pt>
                <c:pt idx="13">
                  <c:v>2.7665420376977733E-2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9-4AE0-8FCC-D08C169E204B}"/>
            </c:ext>
          </c:extLst>
        </c:ser>
        <c:ser>
          <c:idx val="1"/>
          <c:order val="1"/>
          <c:tx>
            <c:strRef>
              <c:f>greeks!$P$2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61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61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61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61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61000"/>
                  <a:shade val="95000"/>
                </a:schemeClr>
              </a:contourClr>
            </a:sp3d>
          </c:spPr>
          <c:cat>
            <c:numRef>
              <c:f>greeks!$N$3:$N$16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greeks!$P$3:$P$16</c:f>
              <c:numCache>
                <c:formatCode>General</c:formatCode>
                <c:ptCount val="14"/>
                <c:pt idx="0">
                  <c:v>0.84240547415153189</c:v>
                </c:pt>
                <c:pt idx="1">
                  <c:v>0.79583383154687382</c:v>
                </c:pt>
                <c:pt idx="2">
                  <c:v>0.73906385673409714</c:v>
                </c:pt>
                <c:pt idx="3">
                  <c:v>0.66970159779723493</c:v>
                </c:pt>
                <c:pt idx="4">
                  <c:v>0.59222272068585513</c:v>
                </c:pt>
                <c:pt idx="5">
                  <c:v>0.50659829921434807</c:v>
                </c:pt>
                <c:pt idx="6">
                  <c:v>0.41923854562874874</c:v>
                </c:pt>
                <c:pt idx="7">
                  <c:v>0.33279288002099261</c:v>
                </c:pt>
                <c:pt idx="8">
                  <c:v>0.25666577769745613</c:v>
                </c:pt>
                <c:pt idx="9">
                  <c:v>0.19425586619886318</c:v>
                </c:pt>
                <c:pt idx="10">
                  <c:v>0.1439888232331436</c:v>
                </c:pt>
                <c:pt idx="11">
                  <c:v>0.1058735358572845</c:v>
                </c:pt>
                <c:pt idx="12">
                  <c:v>7.9707609056768269E-2</c:v>
                </c:pt>
                <c:pt idx="13">
                  <c:v>5.9275168375104256E-2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19-4AE0-8FCC-D08C169E204B}"/>
            </c:ext>
          </c:extLst>
        </c:ser>
        <c:ser>
          <c:idx val="2"/>
          <c:order val="2"/>
          <c:tx>
            <c:strRef>
              <c:f>greeks!$Q$2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76000"/>
                  <a:shade val="95000"/>
                </a:schemeClr>
              </a:contourClr>
            </a:sp3d>
          </c:spPr>
          <c:cat>
            <c:numRef>
              <c:f>greeks!$N$3:$N$16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greeks!$Q$3:$Q$16</c:f>
              <c:numCache>
                <c:formatCode>General</c:formatCode>
                <c:ptCount val="14"/>
                <c:pt idx="0">
                  <c:v>0.82742429519158045</c:v>
                </c:pt>
                <c:pt idx="1">
                  <c:v>0.7843085619180985</c:v>
                </c:pt>
                <c:pt idx="2">
                  <c:v>0.72991753390627978</c:v>
                </c:pt>
                <c:pt idx="3">
                  <c:v>0.6677029941892193</c:v>
                </c:pt>
                <c:pt idx="4">
                  <c:v>0.59906963941600799</c:v>
                </c:pt>
                <c:pt idx="5">
                  <c:v>0.52453464556153373</c:v>
                </c:pt>
                <c:pt idx="6">
                  <c:v>0.44749717547114293</c:v>
                </c:pt>
                <c:pt idx="7">
                  <c:v>0.37147436356004737</c:v>
                </c:pt>
                <c:pt idx="8">
                  <c:v>0.30044275989667429</c:v>
                </c:pt>
                <c:pt idx="9">
                  <c:v>0.23902426568822183</c:v>
                </c:pt>
                <c:pt idx="10">
                  <c:v>0.18390639420141366</c:v>
                </c:pt>
                <c:pt idx="11">
                  <c:v>0.1415280211968907</c:v>
                </c:pt>
                <c:pt idx="12">
                  <c:v>0.10600092292857845</c:v>
                </c:pt>
                <c:pt idx="13">
                  <c:v>7.8560116276456121E-2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19-4AE0-8FCC-D08C169E204B}"/>
            </c:ext>
          </c:extLst>
        </c:ser>
        <c:ser>
          <c:idx val="3"/>
          <c:order val="3"/>
          <c:tx>
            <c:strRef>
              <c:f>greeks!$R$2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92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92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92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2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2000"/>
                  <a:shade val="95000"/>
                </a:schemeClr>
              </a:contourClr>
            </a:sp3d>
          </c:spPr>
          <c:cat>
            <c:numRef>
              <c:f>greeks!$N$3:$N$16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greeks!$R$3:$R$16</c:f>
              <c:numCache>
                <c:formatCode>General</c:formatCode>
                <c:ptCount val="14"/>
                <c:pt idx="0">
                  <c:v>0.79425614096162933</c:v>
                </c:pt>
                <c:pt idx="1">
                  <c:v>0.75374667750394619</c:v>
                </c:pt>
                <c:pt idx="2">
                  <c:v>0.70887275867520472</c:v>
                </c:pt>
                <c:pt idx="3">
                  <c:v>0.65663542954124865</c:v>
                </c:pt>
                <c:pt idx="4">
                  <c:v>0.60074936793145783</c:v>
                </c:pt>
                <c:pt idx="5">
                  <c:v>0.54229388704631154</c:v>
                </c:pt>
                <c:pt idx="6">
                  <c:v>0.48299761776036138</c:v>
                </c:pt>
                <c:pt idx="7">
                  <c:v>0.42114238805955651</c:v>
                </c:pt>
                <c:pt idx="8">
                  <c:v>0.36338378144574845</c:v>
                </c:pt>
                <c:pt idx="9">
                  <c:v>0.30968774429408119</c:v>
                </c:pt>
                <c:pt idx="10">
                  <c:v>0.25908983805494434</c:v>
                </c:pt>
                <c:pt idx="11">
                  <c:v>0.21268744401059886</c:v>
                </c:pt>
                <c:pt idx="12">
                  <c:v>0.17291287982452899</c:v>
                </c:pt>
                <c:pt idx="13">
                  <c:v>0.13959572566815076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19-4AE0-8FCC-D08C169E204B}"/>
            </c:ext>
          </c:extLst>
        </c:ser>
        <c:ser>
          <c:idx val="4"/>
          <c:order val="4"/>
          <c:tx>
            <c:strRef>
              <c:f>greeks!$S$2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3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93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9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93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93000"/>
                  <a:shade val="95000"/>
                </a:schemeClr>
              </a:contourClr>
            </a:sp3d>
          </c:spPr>
          <c:cat>
            <c:numRef>
              <c:f>greeks!$N$3:$N$16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greeks!$S$3:$S$16</c:f>
              <c:numCache>
                <c:formatCode>General</c:formatCode>
                <c:ptCount val="14"/>
                <c:pt idx="0">
                  <c:v>0.77997713382443568</c:v>
                </c:pt>
                <c:pt idx="1">
                  <c:v>0.74327119918267215</c:v>
                </c:pt>
                <c:pt idx="2">
                  <c:v>0.70252265383583057</c:v>
                </c:pt>
                <c:pt idx="3">
                  <c:v>0.65931049411613796</c:v>
                </c:pt>
                <c:pt idx="4">
                  <c:v>0.61253429681986571</c:v>
                </c:pt>
                <c:pt idx="5">
                  <c:v>0.56480205318635979</c:v>
                </c:pt>
                <c:pt idx="6">
                  <c:v>0.51484146108459461</c:v>
                </c:pt>
                <c:pt idx="7">
                  <c:v>0.46498042127300471</c:v>
                </c:pt>
                <c:pt idx="8">
                  <c:v>0.41635130132367654</c:v>
                </c:pt>
                <c:pt idx="9">
                  <c:v>0.36696749639108039</c:v>
                </c:pt>
                <c:pt idx="10">
                  <c:v>0.32399776890133675</c:v>
                </c:pt>
                <c:pt idx="11">
                  <c:v>0.28215631425423282</c:v>
                </c:pt>
                <c:pt idx="12">
                  <c:v>0.24276882419824847</c:v>
                </c:pt>
                <c:pt idx="13">
                  <c:v>0.20828347253758364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19-4AE0-8FCC-D08C169E204B}"/>
            </c:ext>
          </c:extLst>
        </c:ser>
        <c:ser>
          <c:idx val="5"/>
          <c:order val="5"/>
          <c:tx>
            <c:strRef>
              <c:f>greeks!$T$2</c:f>
              <c:strCache>
                <c:ptCount val="1"/>
                <c:pt idx="0">
                  <c:v>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77000"/>
                  <a:shade val="95000"/>
                </a:schemeClr>
              </a:contourClr>
            </a:sp3d>
          </c:spPr>
          <c:cat>
            <c:numRef>
              <c:f>greeks!$N$3:$N$16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greeks!$T$3:$T$16</c:f>
              <c:numCache>
                <c:formatCode>General</c:formatCode>
                <c:ptCount val="14"/>
                <c:pt idx="0">
                  <c:v>0.76376790275339279</c:v>
                </c:pt>
                <c:pt idx="1">
                  <c:v>0.73185703491926546</c:v>
                </c:pt>
                <c:pt idx="2">
                  <c:v>0.69768699974926851</c:v>
                </c:pt>
                <c:pt idx="3">
                  <c:v>0.66187393152831131</c:v>
                </c:pt>
                <c:pt idx="4">
                  <c:v>0.62466191701018658</c:v>
                </c:pt>
                <c:pt idx="5">
                  <c:v>0.58564455073192123</c:v>
                </c:pt>
                <c:pt idx="6">
                  <c:v>0.54718229749022651</c:v>
                </c:pt>
                <c:pt idx="7">
                  <c:v>0.50857526674663467</c:v>
                </c:pt>
                <c:pt idx="8">
                  <c:v>0.46844152030356984</c:v>
                </c:pt>
                <c:pt idx="9">
                  <c:v>0.42983828908344313</c:v>
                </c:pt>
                <c:pt idx="10">
                  <c:v>0.39472468683771617</c:v>
                </c:pt>
                <c:pt idx="11">
                  <c:v>0.35795348806361421</c:v>
                </c:pt>
                <c:pt idx="12">
                  <c:v>0.3252514948543197</c:v>
                </c:pt>
                <c:pt idx="13">
                  <c:v>0.29170807911629454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19-4AE0-8FCC-D08C169E204B}"/>
            </c:ext>
          </c:extLst>
        </c:ser>
        <c:ser>
          <c:idx val="6"/>
          <c:order val="6"/>
          <c:tx>
            <c:strRef>
              <c:f>greeks!$U$2</c:f>
              <c:strCache>
                <c:ptCount val="1"/>
                <c:pt idx="0">
                  <c:v>14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62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62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62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62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62000"/>
                  <a:shade val="95000"/>
                </a:schemeClr>
              </a:contourClr>
            </a:sp3d>
          </c:spPr>
          <c:cat>
            <c:numRef>
              <c:f>greeks!$N$3:$N$16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greeks!$U$3:$U$16</c:f>
              <c:numCache>
                <c:formatCode>General</c:formatCode>
                <c:ptCount val="14"/>
                <c:pt idx="0">
                  <c:v>0.78266396955967277</c:v>
                </c:pt>
                <c:pt idx="1">
                  <c:v>0.74085639898874178</c:v>
                </c:pt>
                <c:pt idx="2">
                  <c:v>0.71351919039063039</c:v>
                </c:pt>
                <c:pt idx="3">
                  <c:v>0.68523867182149811</c:v>
                </c:pt>
                <c:pt idx="4">
                  <c:v>0.65606242432458028</c:v>
                </c:pt>
                <c:pt idx="5">
                  <c:v>0.62627594470455217</c:v>
                </c:pt>
                <c:pt idx="6">
                  <c:v>0.59539608898226415</c:v>
                </c:pt>
                <c:pt idx="7">
                  <c:v>0.56598970358808076</c:v>
                </c:pt>
                <c:pt idx="8">
                  <c:v>0.53581417337077586</c:v>
                </c:pt>
                <c:pt idx="9">
                  <c:v>0.50546659709942743</c:v>
                </c:pt>
                <c:pt idx="10">
                  <c:v>0.47501195241930094</c:v>
                </c:pt>
                <c:pt idx="11">
                  <c:v>0.44562836829902958</c:v>
                </c:pt>
                <c:pt idx="12">
                  <c:v>0.41664330441145259</c:v>
                </c:pt>
                <c:pt idx="13">
                  <c:v>0.38943831173173504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19-4AE0-8FCC-D08C169E204B}"/>
            </c:ext>
          </c:extLst>
        </c:ser>
        <c:ser>
          <c:idx val="7"/>
          <c:order val="7"/>
          <c:tx>
            <c:strRef>
              <c:f>greeks!$V$2</c:f>
              <c:strCache>
                <c:ptCount val="1"/>
                <c:pt idx="0">
                  <c:v>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4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4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4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46000"/>
                  <a:shade val="95000"/>
                </a:schemeClr>
              </a:contourClr>
            </a:sp3d>
          </c:spPr>
          <c:cat>
            <c:numRef>
              <c:f>greeks!$N$3:$N$16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greeks!$V$3:$V$16</c:f>
              <c:numCache>
                <c:formatCode>General</c:formatCode>
                <c:ptCount val="14"/>
                <c:pt idx="0">
                  <c:v>0.76199455213732958</c:v>
                </c:pt>
                <c:pt idx="1">
                  <c:v>0.73965400412702564</c:v>
                </c:pt>
                <c:pt idx="2">
                  <c:v>0.71696047213509906</c:v>
                </c:pt>
                <c:pt idx="3">
                  <c:v>0.69331645245095197</c:v>
                </c:pt>
                <c:pt idx="4">
                  <c:v>0.66987843140616465</c:v>
                </c:pt>
                <c:pt idx="5">
                  <c:v>0.64586039206673274</c:v>
                </c:pt>
                <c:pt idx="6">
                  <c:v>0.62087340137217373</c:v>
                </c:pt>
                <c:pt idx="7">
                  <c:v>0.59625353859232444</c:v>
                </c:pt>
                <c:pt idx="8">
                  <c:v>0.57421379397810901</c:v>
                </c:pt>
                <c:pt idx="9">
                  <c:v>0.55052180992407873</c:v>
                </c:pt>
                <c:pt idx="10">
                  <c:v>0.52632763977377028</c:v>
                </c:pt>
                <c:pt idx="11">
                  <c:v>0.50184704373020428</c:v>
                </c:pt>
                <c:pt idx="12">
                  <c:v>0.47932493680518645</c:v>
                </c:pt>
                <c:pt idx="13">
                  <c:v>0.45588913582481544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19-4AE0-8FCC-D08C169E204B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1">
                      <a:shade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70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1">
                      <a:shade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0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1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9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1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7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1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5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3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1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1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1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9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1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7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1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5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1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3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1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1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9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1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70000"/>
                    <a:shade val="95000"/>
                  </a:schemeClr>
                </a:contourClr>
              </a:sp3d>
            </c:spPr>
          </c:bandFmt>
        </c:bandFmts>
        <c:axId val="1419416255"/>
        <c:axId val="1419416735"/>
        <c:axId val="1023328223"/>
      </c:surface3DChart>
      <c:catAx>
        <c:axId val="14194162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19416735"/>
        <c:crosses val="autoZero"/>
        <c:auto val="1"/>
        <c:lblAlgn val="ctr"/>
        <c:lblOffset val="100"/>
        <c:noMultiLvlLbl val="0"/>
      </c:catAx>
      <c:valAx>
        <c:axId val="14194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19416255"/>
        <c:crosses val="autoZero"/>
        <c:crossBetween val="midCat"/>
      </c:valAx>
      <c:serAx>
        <c:axId val="1023328223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(months)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1941673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greeks!$O$19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45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45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4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4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45000"/>
                  <a:shade val="95000"/>
                </a:schemeClr>
              </a:contourClr>
            </a:sp3d>
          </c:spPr>
          <c:cat>
            <c:numRef>
              <c:f>greeks!$N$20:$N$33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greeks!$O$20:$O$33</c:f>
              <c:numCache>
                <c:formatCode>General</c:formatCode>
                <c:ptCount val="14"/>
                <c:pt idx="0">
                  <c:v>-31.870422148251137</c:v>
                </c:pt>
                <c:pt idx="1">
                  <c:v>-33.014255181605144</c:v>
                </c:pt>
                <c:pt idx="2">
                  <c:v>-39.583807525666153</c:v>
                </c:pt>
                <c:pt idx="3">
                  <c:v>-43.840201695563259</c:v>
                </c:pt>
                <c:pt idx="4">
                  <c:v>-44.840243623046021</c:v>
                </c:pt>
                <c:pt idx="5">
                  <c:v>-44.223821632635861</c:v>
                </c:pt>
                <c:pt idx="6">
                  <c:v>-40.492804993953314</c:v>
                </c:pt>
                <c:pt idx="7">
                  <c:v>-33.70638421849565</c:v>
                </c:pt>
                <c:pt idx="8">
                  <c:v>-26.835561636160925</c:v>
                </c:pt>
                <c:pt idx="9">
                  <c:v>-20.048326080432709</c:v>
                </c:pt>
                <c:pt idx="10">
                  <c:v>-13.900817082844698</c:v>
                </c:pt>
                <c:pt idx="11">
                  <c:v>-14.161478499322506</c:v>
                </c:pt>
                <c:pt idx="12">
                  <c:v>-9.4320634063057316</c:v>
                </c:pt>
                <c:pt idx="13">
                  <c:v>-6.9637157591674343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25-4657-9726-15A50EC71B18}"/>
            </c:ext>
          </c:extLst>
        </c:ser>
        <c:ser>
          <c:idx val="1"/>
          <c:order val="1"/>
          <c:tx>
            <c:strRef>
              <c:f>greeks!$P$19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61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61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61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61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61000"/>
                  <a:shade val="95000"/>
                </a:schemeClr>
              </a:contourClr>
            </a:sp3d>
          </c:spPr>
          <c:cat>
            <c:numRef>
              <c:f>greeks!$N$20:$N$33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greeks!$P$20:$P$33</c:f>
              <c:numCache>
                <c:formatCode>General</c:formatCode>
                <c:ptCount val="14"/>
                <c:pt idx="0">
                  <c:v>-21.824474453558796</c:v>
                </c:pt>
                <c:pt idx="1">
                  <c:v>-24.272429909331031</c:v>
                </c:pt>
                <c:pt idx="2">
                  <c:v>-26.291106160148161</c:v>
                </c:pt>
                <c:pt idx="3">
                  <c:v>-28.198574295333266</c:v>
                </c:pt>
                <c:pt idx="4">
                  <c:v>-28.844964881022435</c:v>
                </c:pt>
                <c:pt idx="5">
                  <c:v>-27.992085667786458</c:v>
                </c:pt>
                <c:pt idx="6">
                  <c:v>-26.621265448056803</c:v>
                </c:pt>
                <c:pt idx="7">
                  <c:v>-23.863064813806361</c:v>
                </c:pt>
                <c:pt idx="8">
                  <c:v>-20.745533420334464</c:v>
                </c:pt>
                <c:pt idx="9">
                  <c:v>-17.582684462305799</c:v>
                </c:pt>
                <c:pt idx="10">
                  <c:v>-14.441610369259097</c:v>
                </c:pt>
                <c:pt idx="11">
                  <c:v>-11.669373607605078</c:v>
                </c:pt>
                <c:pt idx="12">
                  <c:v>-9.6010054645698979</c:v>
                </c:pt>
                <c:pt idx="13">
                  <c:v>-7.7289612288090588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25-4657-9726-15A50EC71B18}"/>
            </c:ext>
          </c:extLst>
        </c:ser>
        <c:ser>
          <c:idx val="2"/>
          <c:order val="2"/>
          <c:tx>
            <c:strRef>
              <c:f>greeks!$Q$19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76000"/>
                  <a:shade val="95000"/>
                </a:schemeClr>
              </a:contourClr>
            </a:sp3d>
          </c:spPr>
          <c:cat>
            <c:numRef>
              <c:f>greeks!$N$20:$N$33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greeks!$Q$20:$Q$33</c:f>
              <c:numCache>
                <c:formatCode>General</c:formatCode>
                <c:ptCount val="14"/>
                <c:pt idx="0">
                  <c:v>-19.923771783255557</c:v>
                </c:pt>
                <c:pt idx="1">
                  <c:v>-21.379283856566609</c:v>
                </c:pt>
                <c:pt idx="2">
                  <c:v>-23.033478181805219</c:v>
                </c:pt>
                <c:pt idx="3">
                  <c:v>-24.228677779995568</c:v>
                </c:pt>
                <c:pt idx="4">
                  <c:v>-24.635256357150091</c:v>
                </c:pt>
                <c:pt idx="5">
                  <c:v>-24.149322383192374</c:v>
                </c:pt>
                <c:pt idx="6">
                  <c:v>-23.112270491169998</c:v>
                </c:pt>
                <c:pt idx="7">
                  <c:v>-21.381151243535435</c:v>
                </c:pt>
                <c:pt idx="8">
                  <c:v>-19.163318225616639</c:v>
                </c:pt>
                <c:pt idx="9">
                  <c:v>-16.835087571360965</c:v>
                </c:pt>
                <c:pt idx="10">
                  <c:v>-14.141284648219443</c:v>
                </c:pt>
                <c:pt idx="11">
                  <c:v>-11.853519030772356</c:v>
                </c:pt>
                <c:pt idx="12">
                  <c:v>-9.5858704419386989</c:v>
                </c:pt>
                <c:pt idx="13">
                  <c:v>-7.629578376154134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25-4657-9726-15A50EC71B18}"/>
            </c:ext>
          </c:extLst>
        </c:ser>
        <c:ser>
          <c:idx val="3"/>
          <c:order val="3"/>
          <c:tx>
            <c:strRef>
              <c:f>greeks!$R$19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92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92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92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2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2000"/>
                  <a:shade val="95000"/>
                </a:schemeClr>
              </a:contourClr>
            </a:sp3d>
          </c:spPr>
          <c:cat>
            <c:numRef>
              <c:f>greeks!$N$20:$N$33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greeks!$R$20:$R$33</c:f>
              <c:numCache>
                <c:formatCode>General</c:formatCode>
                <c:ptCount val="14"/>
                <c:pt idx="0">
                  <c:v>-18.591779849565892</c:v>
                </c:pt>
                <c:pt idx="1">
                  <c:v>-19.626857684790046</c:v>
                </c:pt>
                <c:pt idx="2">
                  <c:v>-20.152160635312079</c:v>
                </c:pt>
                <c:pt idx="3">
                  <c:v>-20.916003907239759</c:v>
                </c:pt>
                <c:pt idx="4">
                  <c:v>-21.188046930288802</c:v>
                </c:pt>
                <c:pt idx="5">
                  <c:v>-21.182192642768289</c:v>
                </c:pt>
                <c:pt idx="6">
                  <c:v>-20.770406470781296</c:v>
                </c:pt>
                <c:pt idx="7">
                  <c:v>-19.604451088129721</c:v>
                </c:pt>
                <c:pt idx="8">
                  <c:v>-18.412058466237234</c:v>
                </c:pt>
                <c:pt idx="9">
                  <c:v>-17.009176732833282</c:v>
                </c:pt>
                <c:pt idx="10">
                  <c:v>-15.310571265201599</c:v>
                </c:pt>
                <c:pt idx="11">
                  <c:v>-13.448170292648939</c:v>
                </c:pt>
                <c:pt idx="12">
                  <c:v>-11.667282148011859</c:v>
                </c:pt>
                <c:pt idx="13">
                  <c:v>-10.020547744034092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25-4657-9726-15A50EC71B18}"/>
            </c:ext>
          </c:extLst>
        </c:ser>
        <c:ser>
          <c:idx val="4"/>
          <c:order val="4"/>
          <c:tx>
            <c:strRef>
              <c:f>greeks!$S$19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93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93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9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93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93000"/>
                  <a:shade val="95000"/>
                </a:schemeClr>
              </a:contourClr>
            </a:sp3d>
          </c:spPr>
          <c:cat>
            <c:numRef>
              <c:f>greeks!$N$20:$N$33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greeks!$S$20:$S$33</c:f>
              <c:numCache>
                <c:formatCode>General</c:formatCode>
                <c:ptCount val="14"/>
                <c:pt idx="0">
                  <c:v>-15.708013039514679</c:v>
                </c:pt>
                <c:pt idx="1">
                  <c:v>-16.400182674635047</c:v>
                </c:pt>
                <c:pt idx="2">
                  <c:v>-17.049204389188393</c:v>
                </c:pt>
                <c:pt idx="3">
                  <c:v>-17.14508968016046</c:v>
                </c:pt>
                <c:pt idx="4">
                  <c:v>-17.453841467502322</c:v>
                </c:pt>
                <c:pt idx="5">
                  <c:v>-17.598691696037825</c:v>
                </c:pt>
                <c:pt idx="6">
                  <c:v>-17.228124192316265</c:v>
                </c:pt>
                <c:pt idx="7">
                  <c:v>-16.722873878887597</c:v>
                </c:pt>
                <c:pt idx="8">
                  <c:v>-16.064584183195116</c:v>
                </c:pt>
                <c:pt idx="9">
                  <c:v>-15.059608907951143</c:v>
                </c:pt>
                <c:pt idx="10">
                  <c:v>-14.210858978077539</c:v>
                </c:pt>
                <c:pt idx="11">
                  <c:v>-13.134354868584708</c:v>
                </c:pt>
                <c:pt idx="12">
                  <c:v>-11.942698582576984</c:v>
                </c:pt>
                <c:pt idx="13">
                  <c:v>-10.812940586645066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25-4657-9726-15A50EC71B18}"/>
            </c:ext>
          </c:extLst>
        </c:ser>
        <c:ser>
          <c:idx val="5"/>
          <c:order val="5"/>
          <c:tx>
            <c:strRef>
              <c:f>greeks!$T$19</c:f>
              <c:strCache>
                <c:ptCount val="1"/>
                <c:pt idx="0">
                  <c:v>9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77000"/>
                  <a:shade val="95000"/>
                </a:schemeClr>
              </a:contourClr>
            </a:sp3d>
          </c:spPr>
          <c:cat>
            <c:numRef>
              <c:f>greeks!$N$20:$N$33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greeks!$T$20:$T$33</c:f>
              <c:numCache>
                <c:formatCode>General</c:formatCode>
                <c:ptCount val="14"/>
                <c:pt idx="0">
                  <c:v>-13.255965092760306</c:v>
                </c:pt>
                <c:pt idx="1">
                  <c:v>-13.713465724584655</c:v>
                </c:pt>
                <c:pt idx="2">
                  <c:v>-14.156968330466617</c:v>
                </c:pt>
                <c:pt idx="3">
                  <c:v>-14.346152105774907</c:v>
                </c:pt>
                <c:pt idx="4">
                  <c:v>-14.541605676731605</c:v>
                </c:pt>
                <c:pt idx="5">
                  <c:v>-14.471707426094792</c:v>
                </c:pt>
                <c:pt idx="6">
                  <c:v>-14.46268364300672</c:v>
                </c:pt>
                <c:pt idx="7">
                  <c:v>-14.303417104400127</c:v>
                </c:pt>
                <c:pt idx="8">
                  <c:v>-13.89456818632609</c:v>
                </c:pt>
                <c:pt idx="9">
                  <c:v>-13.458237702881114</c:v>
                </c:pt>
                <c:pt idx="10">
                  <c:v>-13.072542391402717</c:v>
                </c:pt>
                <c:pt idx="11">
                  <c:v>-12.434198452062958</c:v>
                </c:pt>
                <c:pt idx="12">
                  <c:v>-11.866395889133351</c:v>
                </c:pt>
                <c:pt idx="13">
                  <c:v>-11.113153569532939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25-4657-9726-15A50EC71B18}"/>
            </c:ext>
          </c:extLst>
        </c:ser>
        <c:ser>
          <c:idx val="6"/>
          <c:order val="6"/>
          <c:tx>
            <c:strRef>
              <c:f>greeks!$U$19</c:f>
              <c:strCache>
                <c:ptCount val="1"/>
                <c:pt idx="0">
                  <c:v>14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62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62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62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62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62000"/>
                  <a:shade val="95000"/>
                </a:schemeClr>
              </a:contourClr>
            </a:sp3d>
          </c:spPr>
          <c:cat>
            <c:numRef>
              <c:f>greeks!$N$20:$N$33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greeks!$U$20:$U$33</c:f>
              <c:numCache>
                <c:formatCode>General</c:formatCode>
                <c:ptCount val="14"/>
                <c:pt idx="0">
                  <c:v>-9.3241736175235577</c:v>
                </c:pt>
                <c:pt idx="1">
                  <c:v>-11.757547202706069</c:v>
                </c:pt>
                <c:pt idx="2">
                  <c:v>-11.995089627901734</c:v>
                </c:pt>
                <c:pt idx="3">
                  <c:v>-12.241084627342412</c:v>
                </c:pt>
                <c:pt idx="4">
                  <c:v>-12.377653077387697</c:v>
                </c:pt>
                <c:pt idx="5">
                  <c:v>-12.453993121089891</c:v>
                </c:pt>
                <c:pt idx="6">
                  <c:v>-12.410527168170761</c:v>
                </c:pt>
                <c:pt idx="7">
                  <c:v>-12.434548654164091</c:v>
                </c:pt>
                <c:pt idx="8">
                  <c:v>-12.331274164136669</c:v>
                </c:pt>
                <c:pt idx="9">
                  <c:v>-12.149378399697076</c:v>
                </c:pt>
                <c:pt idx="10">
                  <c:v>-11.893134707791948</c:v>
                </c:pt>
                <c:pt idx="11">
                  <c:v>-11.615598784947556</c:v>
                </c:pt>
                <c:pt idx="12">
                  <c:v>-11.282405952046428</c:v>
                </c:pt>
                <c:pt idx="13">
                  <c:v>-10.951575220702404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25-4657-9726-15A50EC71B18}"/>
            </c:ext>
          </c:extLst>
        </c:ser>
        <c:ser>
          <c:idx val="7"/>
          <c:order val="7"/>
          <c:tx>
            <c:strRef>
              <c:f>greeks!$V$19</c:f>
              <c:strCache>
                <c:ptCount val="1"/>
                <c:pt idx="0">
                  <c:v>21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4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4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4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4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46000"/>
                  <a:shade val="95000"/>
                </a:schemeClr>
              </a:contourClr>
            </a:sp3d>
          </c:spPr>
          <c:cat>
            <c:numRef>
              <c:f>greeks!$N$20:$N$33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greeks!$V$20:$V$33</c:f>
              <c:numCache>
                <c:formatCode>General</c:formatCode>
                <c:ptCount val="14"/>
                <c:pt idx="0">
                  <c:v>-8.7635032436865412</c:v>
                </c:pt>
                <c:pt idx="1">
                  <c:v>-9.0298937445411198</c:v>
                </c:pt>
                <c:pt idx="2">
                  <c:v>-9.2709375584947988</c:v>
                </c:pt>
                <c:pt idx="3">
                  <c:v>-9.4066389837455517</c:v>
                </c:pt>
                <c:pt idx="4">
                  <c:v>-9.5633915654289368</c:v>
                </c:pt>
                <c:pt idx="5">
                  <c:v>-9.6541734850789158</c:v>
                </c:pt>
                <c:pt idx="6">
                  <c:v>-9.6674366328770276</c:v>
                </c:pt>
                <c:pt idx="7">
                  <c:v>-9.6762600453422909</c:v>
                </c:pt>
                <c:pt idx="8">
                  <c:v>-9.7592680407179184</c:v>
                </c:pt>
                <c:pt idx="9">
                  <c:v>-9.7265663658217214</c:v>
                </c:pt>
                <c:pt idx="10">
                  <c:v>-9.637072650330472</c:v>
                </c:pt>
                <c:pt idx="11">
                  <c:v>-9.5018852113444954</c:v>
                </c:pt>
                <c:pt idx="12">
                  <c:v>-9.3953429396007078</c:v>
                </c:pt>
                <c:pt idx="13">
                  <c:v>-9.2213251180808502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525-4657-9726-15A50EC71B18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4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50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4">
                      <a:shade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70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4">
                      <a:shade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0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9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4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7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4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5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4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3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4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1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4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9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7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4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5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4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3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4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1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4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9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4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70000"/>
                    <a:shade val="95000"/>
                  </a:schemeClr>
                </a:contourClr>
              </a:sp3d>
            </c:spPr>
          </c:bandFmt>
        </c:bandFmts>
        <c:axId val="410828943"/>
        <c:axId val="410829903"/>
        <c:axId val="344785823"/>
      </c:surface3DChart>
      <c:catAx>
        <c:axId val="410828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0829903"/>
        <c:crosses val="autoZero"/>
        <c:auto val="1"/>
        <c:lblAlgn val="ctr"/>
        <c:lblOffset val="100"/>
        <c:noMultiLvlLbl val="0"/>
      </c:catAx>
      <c:valAx>
        <c:axId val="410829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0828943"/>
        <c:crosses val="autoZero"/>
        <c:crossBetween val="midCat"/>
      </c:valAx>
      <c:serAx>
        <c:axId val="344785823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(MONTHS)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082990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greeks!$O$36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5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45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4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4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45000"/>
                  <a:shade val="95000"/>
                </a:schemeClr>
              </a:contourClr>
            </a:sp3d>
          </c:spPr>
          <c:cat>
            <c:numRef>
              <c:f>greeks!$N$37:$N$50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greeks!$O$37:$O$50</c:f>
              <c:numCache>
                <c:formatCode>General</c:formatCode>
                <c:ptCount val="14"/>
                <c:pt idx="0">
                  <c:v>8.1897502486530886E-3</c:v>
                </c:pt>
                <c:pt idx="1">
                  <c:v>1.1058785766165473E-2</c:v>
                </c:pt>
                <c:pt idx="2">
                  <c:v>1.446193850427701E-2</c:v>
                </c:pt>
                <c:pt idx="3">
                  <c:v>1.7963675533971078E-2</c:v>
                </c:pt>
                <c:pt idx="4">
                  <c:v>2.1475537912907027E-2</c:v>
                </c:pt>
                <c:pt idx="5">
                  <c:v>2.3134685024129052E-2</c:v>
                </c:pt>
                <c:pt idx="6">
                  <c:v>2.2761300745475586E-2</c:v>
                </c:pt>
                <c:pt idx="7">
                  <c:v>2.0541128905580575E-2</c:v>
                </c:pt>
                <c:pt idx="8">
                  <c:v>1.6718942951679482E-2</c:v>
                </c:pt>
                <c:pt idx="9">
                  <c:v>1.266404156707958E-2</c:v>
                </c:pt>
                <c:pt idx="10">
                  <c:v>8.9539786334442584E-3</c:v>
                </c:pt>
                <c:pt idx="11">
                  <c:v>7.3368136743775887E-3</c:v>
                </c:pt>
                <c:pt idx="12">
                  <c:v>5.0194019847537106E-3</c:v>
                </c:pt>
                <c:pt idx="13">
                  <c:v>3.5761447646038861E-3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B-4DB5-8F10-3FE47EB3FF66}"/>
            </c:ext>
          </c:extLst>
        </c:ser>
        <c:ser>
          <c:idx val="1"/>
          <c:order val="1"/>
          <c:tx>
            <c:strRef>
              <c:f>greeks!$P$36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1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61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61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61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61000"/>
                  <a:shade val="95000"/>
                </a:schemeClr>
              </a:contourClr>
            </a:sp3d>
          </c:spPr>
          <c:cat>
            <c:numRef>
              <c:f>greeks!$N$37:$N$50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greeks!$P$37:$P$50</c:f>
              <c:numCache>
                <c:formatCode>General</c:formatCode>
                <c:ptCount val="14"/>
                <c:pt idx="0">
                  <c:v>8.2571355317054597E-3</c:v>
                </c:pt>
                <c:pt idx="1">
                  <c:v>1.0235042949390469E-2</c:v>
                </c:pt>
                <c:pt idx="2">
                  <c:v>1.2378100751928866E-2</c:v>
                </c:pt>
                <c:pt idx="3">
                  <c:v>1.4292139150489968E-2</c:v>
                </c:pt>
                <c:pt idx="4">
                  <c:v>1.600300139972816E-2</c:v>
                </c:pt>
                <c:pt idx="5">
                  <c:v>1.7372997208631679E-2</c:v>
                </c:pt>
                <c:pt idx="6">
                  <c:v>1.7491244300504812E-2</c:v>
                </c:pt>
                <c:pt idx="7">
                  <c:v>1.6846837497971164E-2</c:v>
                </c:pt>
                <c:pt idx="8">
                  <c:v>1.5213425446583146E-2</c:v>
                </c:pt>
                <c:pt idx="9">
                  <c:v>1.306509048109524E-2</c:v>
                </c:pt>
                <c:pt idx="10">
                  <c:v>1.0806983057840541E-2</c:v>
                </c:pt>
                <c:pt idx="11">
                  <c:v>8.6886773096643711E-3</c:v>
                </c:pt>
                <c:pt idx="12">
                  <c:v>6.9308223400004086E-3</c:v>
                </c:pt>
                <c:pt idx="13">
                  <c:v>5.4498898948084212E-3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6B-4DB5-8F10-3FE47EB3FF66}"/>
            </c:ext>
          </c:extLst>
        </c:ser>
        <c:ser>
          <c:idx val="2"/>
          <c:order val="2"/>
          <c:tx>
            <c:strRef>
              <c:f>greeks!$Q$36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76000"/>
                  <a:shade val="95000"/>
                </a:schemeClr>
              </a:contourClr>
            </a:sp3d>
          </c:spPr>
          <c:cat>
            <c:numRef>
              <c:f>greeks!$N$37:$N$50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greeks!$Q$37:$Q$50</c:f>
              <c:numCache>
                <c:formatCode>General</c:formatCode>
                <c:ptCount val="14"/>
                <c:pt idx="0">
                  <c:v>7.853004752159283E-3</c:v>
                </c:pt>
                <c:pt idx="1">
                  <c:v>9.5249342635274729E-3</c:v>
                </c:pt>
                <c:pt idx="2">
                  <c:v>1.1165556941566875E-2</c:v>
                </c:pt>
                <c:pt idx="3">
                  <c:v>1.2686038263274059E-2</c:v>
                </c:pt>
                <c:pt idx="4">
                  <c:v>1.403774955446912E-2</c:v>
                </c:pt>
                <c:pt idx="5">
                  <c:v>1.510572794716309E-2</c:v>
                </c:pt>
                <c:pt idx="6">
                  <c:v>1.5482245631494021E-2</c:v>
                </c:pt>
                <c:pt idx="7">
                  <c:v>1.5218535058320076E-2</c:v>
                </c:pt>
                <c:pt idx="8">
                  <c:v>1.4319107606072638E-2</c:v>
                </c:pt>
                <c:pt idx="9">
                  <c:v>1.2904204111076813E-2</c:v>
                </c:pt>
                <c:pt idx="10">
                  <c:v>1.1257598587840685E-2</c:v>
                </c:pt>
                <c:pt idx="11">
                  <c:v>9.5187768920734789E-3</c:v>
                </c:pt>
                <c:pt idx="12">
                  <c:v>7.829002133938787E-3</c:v>
                </c:pt>
                <c:pt idx="13">
                  <c:v>6.2962264308707707E-3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6B-4DB5-8F10-3FE47EB3FF66}"/>
            </c:ext>
          </c:extLst>
        </c:ser>
        <c:ser>
          <c:idx val="3"/>
          <c:order val="3"/>
          <c:tx>
            <c:strRef>
              <c:f>greeks!$R$36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2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92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92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2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2000"/>
                  <a:shade val="95000"/>
                </a:schemeClr>
              </a:contourClr>
            </a:sp3d>
          </c:spPr>
          <c:cat>
            <c:numRef>
              <c:f>greeks!$N$37:$N$50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greeks!$R$37:$R$50</c:f>
              <c:numCache>
                <c:formatCode>General</c:formatCode>
                <c:ptCount val="14"/>
                <c:pt idx="0">
                  <c:v>7.0379883737004363E-3</c:v>
                </c:pt>
                <c:pt idx="1">
                  <c:v>8.1295532898043258E-3</c:v>
                </c:pt>
                <c:pt idx="2">
                  <c:v>9.3374013893020753E-3</c:v>
                </c:pt>
                <c:pt idx="3">
                  <c:v>1.0290849522849477E-2</c:v>
                </c:pt>
                <c:pt idx="4">
                  <c:v>1.1148926384529278E-2</c:v>
                </c:pt>
                <c:pt idx="5">
                  <c:v>1.1718330547828587E-2</c:v>
                </c:pt>
                <c:pt idx="6">
                  <c:v>1.2018045058315711E-2</c:v>
                </c:pt>
                <c:pt idx="7">
                  <c:v>1.2227475052027413E-2</c:v>
                </c:pt>
                <c:pt idx="8">
                  <c:v>1.1952081870210159E-2</c:v>
                </c:pt>
                <c:pt idx="9">
                  <c:v>1.1390463085860787E-2</c:v>
                </c:pt>
                <c:pt idx="10">
                  <c:v>1.0643175910792634E-2</c:v>
                </c:pt>
                <c:pt idx="11">
                  <c:v>9.7251821843126526E-3</c:v>
                </c:pt>
                <c:pt idx="12">
                  <c:v>8.6851651180185098E-3</c:v>
                </c:pt>
                <c:pt idx="13">
                  <c:v>7.6122029677079019E-3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6B-4DB5-8F10-3FE47EB3FF66}"/>
            </c:ext>
          </c:extLst>
        </c:ser>
        <c:ser>
          <c:idx val="4"/>
          <c:order val="4"/>
          <c:tx>
            <c:strRef>
              <c:f>greeks!$S$36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3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93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9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93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93000"/>
                  <a:shade val="95000"/>
                </a:schemeClr>
              </a:contourClr>
            </a:sp3d>
          </c:spPr>
          <c:cat>
            <c:numRef>
              <c:f>greeks!$N$37:$N$50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greeks!$S$37:$S$50</c:f>
              <c:numCache>
                <c:formatCode>General</c:formatCode>
                <c:ptCount val="14"/>
                <c:pt idx="0">
                  <c:v>6.2439923743479384E-3</c:v>
                </c:pt>
                <c:pt idx="1">
                  <c:v>7.0375959652573443E-3</c:v>
                </c:pt>
                <c:pt idx="2">
                  <c:v>7.766542918501756E-3</c:v>
                </c:pt>
                <c:pt idx="3">
                  <c:v>8.6257082546701905E-3</c:v>
                </c:pt>
                <c:pt idx="4">
                  <c:v>9.1812950074998175E-3</c:v>
                </c:pt>
                <c:pt idx="5">
                  <c:v>9.5621869419727518E-3</c:v>
                </c:pt>
                <c:pt idx="6">
                  <c:v>9.9766167050522481E-3</c:v>
                </c:pt>
                <c:pt idx="7">
                  <c:v>1.0169999634052419E-2</c:v>
                </c:pt>
                <c:pt idx="8">
                  <c:v>1.0161928590516678E-2</c:v>
                </c:pt>
                <c:pt idx="9">
                  <c:v>1.0065947414984603E-2</c:v>
                </c:pt>
                <c:pt idx="10">
                  <c:v>9.6846010466294236E-3</c:v>
                </c:pt>
                <c:pt idx="11">
                  <c:v>9.2295381882854573E-3</c:v>
                </c:pt>
                <c:pt idx="12">
                  <c:v>8.6775103209579228E-3</c:v>
                </c:pt>
                <c:pt idx="13">
                  <c:v>8.0360776344489317E-3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6B-4DB5-8F10-3FE47EB3FF66}"/>
            </c:ext>
          </c:extLst>
        </c:ser>
        <c:ser>
          <c:idx val="5"/>
          <c:order val="5"/>
          <c:tx>
            <c:strRef>
              <c:f>greeks!$T$36</c:f>
              <c:strCache>
                <c:ptCount val="1"/>
                <c:pt idx="0">
                  <c:v>9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77000"/>
                  <a:shade val="95000"/>
                </a:schemeClr>
              </a:contourClr>
            </a:sp3d>
          </c:spPr>
          <c:cat>
            <c:numRef>
              <c:f>greeks!$N$37:$N$50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greeks!$T$37:$T$50</c:f>
              <c:numCache>
                <c:formatCode>General</c:formatCode>
                <c:ptCount val="14"/>
                <c:pt idx="0">
                  <c:v>5.2847702917316773E-3</c:v>
                </c:pt>
                <c:pt idx="1">
                  <c:v>5.8141840332355255E-3</c:v>
                </c:pt>
                <c:pt idx="2">
                  <c:v>6.2832458417586947E-3</c:v>
                </c:pt>
                <c:pt idx="3">
                  <c:v>6.7868386812976926E-3</c:v>
                </c:pt>
                <c:pt idx="4">
                  <c:v>7.1752472607014492E-3</c:v>
                </c:pt>
                <c:pt idx="5">
                  <c:v>7.5891877798117133E-3</c:v>
                </c:pt>
                <c:pt idx="6">
                  <c:v>7.8155452136024171E-3</c:v>
                </c:pt>
                <c:pt idx="7">
                  <c:v>7.9830406749014406E-3</c:v>
                </c:pt>
                <c:pt idx="8">
                  <c:v>8.1498068165327901E-3</c:v>
                </c:pt>
                <c:pt idx="9">
                  <c:v>8.183953137893149E-3</c:v>
                </c:pt>
                <c:pt idx="10">
                  <c:v>8.0697871234849811E-3</c:v>
                </c:pt>
                <c:pt idx="11">
                  <c:v>7.9631897994921572E-3</c:v>
                </c:pt>
                <c:pt idx="12">
                  <c:v>7.7391574984772204E-3</c:v>
                </c:pt>
                <c:pt idx="13">
                  <c:v>7.4968805581172781E-3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6B-4DB5-8F10-3FE47EB3FF66}"/>
            </c:ext>
          </c:extLst>
        </c:ser>
        <c:ser>
          <c:idx val="6"/>
          <c:order val="6"/>
          <c:tx>
            <c:strRef>
              <c:f>greeks!$U$36</c:f>
              <c:strCache>
                <c:ptCount val="1"/>
                <c:pt idx="0">
                  <c:v>14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2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62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62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62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62000"/>
                  <a:shade val="95000"/>
                </a:schemeClr>
              </a:contourClr>
            </a:sp3d>
          </c:spPr>
          <c:cat>
            <c:numRef>
              <c:f>greeks!$N$37:$N$50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greeks!$U$37:$U$50</c:f>
              <c:numCache>
                <c:formatCode>General</c:formatCode>
                <c:ptCount val="14"/>
                <c:pt idx="0">
                  <c:v>5.2306042095172983E-3</c:v>
                </c:pt>
                <c:pt idx="1">
                  <c:v>4.5944770173344156E-3</c:v>
                </c:pt>
                <c:pt idx="2">
                  <c:v>4.9506353235096471E-3</c:v>
                </c:pt>
                <c:pt idx="3">
                  <c:v>5.2473558945557199E-3</c:v>
                </c:pt>
                <c:pt idx="4">
                  <c:v>5.5442749482380819E-3</c:v>
                </c:pt>
                <c:pt idx="5">
                  <c:v>5.8080035186987471E-3</c:v>
                </c:pt>
                <c:pt idx="6">
                  <c:v>6.0754116019328553E-3</c:v>
                </c:pt>
                <c:pt idx="7">
                  <c:v>6.215266800425682E-3</c:v>
                </c:pt>
                <c:pt idx="8">
                  <c:v>6.3620303611837334E-3</c:v>
                </c:pt>
                <c:pt idx="9">
                  <c:v>6.4823811025990982E-3</c:v>
                </c:pt>
                <c:pt idx="10">
                  <c:v>6.5736838738170772E-3</c:v>
                </c:pt>
                <c:pt idx="11">
                  <c:v>6.6073245070992709E-3</c:v>
                </c:pt>
                <c:pt idx="12">
                  <c:v>6.6076673220343074E-3</c:v>
                </c:pt>
                <c:pt idx="13">
                  <c:v>6.5525015183986925E-3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6B-4DB5-8F10-3FE47EB3FF66}"/>
            </c:ext>
          </c:extLst>
        </c:ser>
        <c:ser>
          <c:idx val="7"/>
          <c:order val="7"/>
          <c:tx>
            <c:strRef>
              <c:f>greeks!$V$36</c:f>
              <c:strCache>
                <c:ptCount val="1"/>
                <c:pt idx="0">
                  <c:v>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4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4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4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46000"/>
                  <a:shade val="95000"/>
                </a:schemeClr>
              </a:contourClr>
            </a:sp3d>
          </c:spPr>
          <c:cat>
            <c:numRef>
              <c:f>greeks!$N$37:$N$50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greeks!$V$37:$V$50</c:f>
              <c:numCache>
                <c:formatCode>General</c:formatCode>
                <c:ptCount val="14"/>
                <c:pt idx="0">
                  <c:v>3.5371251455677778E-3</c:v>
                </c:pt>
                <c:pt idx="1">
                  <c:v>3.7623873510659201E-3</c:v>
                </c:pt>
                <c:pt idx="2">
                  <c:v>3.9674717333508828E-3</c:v>
                </c:pt>
                <c:pt idx="3">
                  <c:v>4.2015276746307367E-3</c:v>
                </c:pt>
                <c:pt idx="4">
                  <c:v>4.3830634746512779E-3</c:v>
                </c:pt>
                <c:pt idx="5">
                  <c:v>4.5676754046081753E-3</c:v>
                </c:pt>
                <c:pt idx="6">
                  <c:v>4.7644435081255479E-3</c:v>
                </c:pt>
                <c:pt idx="7">
                  <c:v>4.9205463812318851E-3</c:v>
                </c:pt>
                <c:pt idx="8">
                  <c:v>4.980844800681475E-3</c:v>
                </c:pt>
                <c:pt idx="9">
                  <c:v>5.081488090173873E-3</c:v>
                </c:pt>
                <c:pt idx="10">
                  <c:v>5.1799462085133467E-3</c:v>
                </c:pt>
                <c:pt idx="11">
                  <c:v>5.26820075505674E-3</c:v>
                </c:pt>
                <c:pt idx="12">
                  <c:v>5.3026935337742139E-3</c:v>
                </c:pt>
                <c:pt idx="13">
                  <c:v>5.3427881597256669E-3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6B-4DB5-8F10-3FE47EB3FF66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50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70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shade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0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9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7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5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3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1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9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7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5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3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1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9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70000"/>
                    <a:shade val="95000"/>
                  </a:schemeClr>
                </a:contourClr>
              </a:sp3d>
            </c:spPr>
          </c:bandFmt>
        </c:bandFmts>
        <c:axId val="1469110607"/>
        <c:axId val="1469110127"/>
        <c:axId val="1548803983"/>
      </c:surface3DChart>
      <c:catAx>
        <c:axId val="14691106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69110127"/>
        <c:crosses val="autoZero"/>
        <c:auto val="1"/>
        <c:lblAlgn val="ctr"/>
        <c:lblOffset val="100"/>
        <c:noMultiLvlLbl val="0"/>
      </c:catAx>
      <c:valAx>
        <c:axId val="146911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69110607"/>
        <c:crosses val="autoZero"/>
        <c:crossBetween val="midCat"/>
      </c:valAx>
      <c:serAx>
        <c:axId val="1548803983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  <a:r>
                  <a:rPr lang="it-IT" baseline="0"/>
                  <a:t> (months)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69110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greeks!$O$53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4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4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4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4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45000"/>
                  <a:shade val="95000"/>
                </a:schemeClr>
              </a:contourClr>
            </a:sp3d>
          </c:spPr>
          <c:cat>
            <c:numRef>
              <c:f>greeks!$N$54:$N$67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greeks!$O$54:$O$67</c:f>
              <c:numCache>
                <c:formatCode>General</c:formatCode>
                <c:ptCount val="14"/>
                <c:pt idx="0">
                  <c:v>6.5783433249000867</c:v>
                </c:pt>
                <c:pt idx="1">
                  <c:v>7.7947795947459015</c:v>
                </c:pt>
                <c:pt idx="2">
                  <c:v>9.9219765461284375</c:v>
                </c:pt>
                <c:pt idx="3">
                  <c:v>11.756091800863139</c:v>
                </c:pt>
                <c:pt idx="4">
                  <c:v>13.086231877955973</c:v>
                </c:pt>
                <c:pt idx="5">
                  <c:v>13.579788924782903</c:v>
                </c:pt>
                <c:pt idx="6">
                  <c:v>12.957028505004068</c:v>
                </c:pt>
                <c:pt idx="7">
                  <c:v>11.274206382326769</c:v>
                </c:pt>
                <c:pt idx="8">
                  <c:v>9.1066082146743064</c:v>
                </c:pt>
                <c:pt idx="9">
                  <c:v>6.8685989528698199</c:v>
                </c:pt>
                <c:pt idx="10">
                  <c:v>4.8190146178550863</c:v>
                </c:pt>
                <c:pt idx="11">
                  <c:v>4.4129075247780571</c:v>
                </c:pt>
                <c:pt idx="12">
                  <c:v>2.9823957679666764</c:v>
                </c:pt>
                <c:pt idx="13">
                  <c:v>2.1654659771906122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01-4467-A35D-18CDEE82AB00}"/>
            </c:ext>
          </c:extLst>
        </c:ser>
        <c:ser>
          <c:idx val="1"/>
          <c:order val="1"/>
          <c:tx>
            <c:strRef>
              <c:f>greeks!$P$53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61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61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61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61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61000"/>
                  <a:shade val="95000"/>
                </a:schemeClr>
              </a:contourClr>
            </a:sp3d>
          </c:spPr>
          <c:cat>
            <c:numRef>
              <c:f>greeks!$N$54:$N$67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greeks!$P$54:$P$67</c:f>
              <c:numCache>
                <c:formatCode>General</c:formatCode>
                <c:ptCount val="14"/>
                <c:pt idx="0">
                  <c:v>11.59843012079526</c:v>
                </c:pt>
                <c:pt idx="1">
                  <c:v>13.646011086762728</c:v>
                </c:pt>
                <c:pt idx="2">
                  <c:v>15.645400465548967</c:v>
                </c:pt>
                <c:pt idx="3">
                  <c:v>17.441859525221517</c:v>
                </c:pt>
                <c:pt idx="4">
                  <c:v>18.691449192076096</c:v>
                </c:pt>
                <c:pt idx="5">
                  <c:v>19.204333766227222</c:v>
                </c:pt>
                <c:pt idx="6">
                  <c:v>18.812038511856173</c:v>
                </c:pt>
                <c:pt idx="7">
                  <c:v>17.494179314970964</c:v>
                </c:pt>
                <c:pt idx="8">
                  <c:v>15.512369663184659</c:v>
                </c:pt>
                <c:pt idx="9">
                  <c:v>13.243082118653525</c:v>
                </c:pt>
                <c:pt idx="10">
                  <c:v>10.921646932919863</c:v>
                </c:pt>
                <c:pt idx="11">
                  <c:v>8.8070470909376368</c:v>
                </c:pt>
                <c:pt idx="12">
                  <c:v>7.1376993810932508</c:v>
                </c:pt>
                <c:pt idx="13">
                  <c:v>5.6807776210204102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01-4467-A35D-18CDEE82AB00}"/>
            </c:ext>
          </c:extLst>
        </c:ser>
        <c:ser>
          <c:idx val="2"/>
          <c:order val="2"/>
          <c:tx>
            <c:strRef>
              <c:f>greeks!$Q$53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76000"/>
                  <a:shade val="95000"/>
                </a:schemeClr>
              </a:contourClr>
            </a:sp3d>
          </c:spPr>
          <c:cat>
            <c:numRef>
              <c:f>greeks!$N$54:$N$67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greeks!$Q$54:$Q$67</c:f>
              <c:numCache>
                <c:formatCode>General</c:formatCode>
                <c:ptCount val="14"/>
                <c:pt idx="0">
                  <c:v>14.474405717750379</c:v>
                </c:pt>
                <c:pt idx="1">
                  <c:v>16.583942938678771</c:v>
                </c:pt>
                <c:pt idx="2">
                  <c:v>18.734496893456569</c:v>
                </c:pt>
                <c:pt idx="3">
                  <c:v>20.573177846939846</c:v>
                </c:pt>
                <c:pt idx="4">
                  <c:v>21.900255230250654</c:v>
                </c:pt>
                <c:pt idx="5">
                  <c:v>22.558009569544996</c:v>
                </c:pt>
                <c:pt idx="6">
                  <c:v>22.404757823622838</c:v>
                </c:pt>
                <c:pt idx="7">
                  <c:v>21.417487001871326</c:v>
                </c:pt>
                <c:pt idx="8">
                  <c:v>19.710519195491671</c:v>
                </c:pt>
                <c:pt idx="9">
                  <c:v>17.572369260086752</c:v>
                </c:pt>
                <c:pt idx="10">
                  <c:v>15.06634399869403</c:v>
                </c:pt>
                <c:pt idx="11">
                  <c:v>12.702572953330058</c:v>
                </c:pt>
                <c:pt idx="12">
                  <c:v>10.372230638823828</c:v>
                </c:pt>
                <c:pt idx="13">
                  <c:v>8.307184959103358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1-4467-A35D-18CDEE82AB00}"/>
            </c:ext>
          </c:extLst>
        </c:ser>
        <c:ser>
          <c:idx val="3"/>
          <c:order val="3"/>
          <c:tx>
            <c:strRef>
              <c:f>greeks!$R$53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2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2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2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2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2000"/>
                  <a:shade val="95000"/>
                </a:schemeClr>
              </a:contourClr>
            </a:sp3d>
          </c:spPr>
          <c:cat>
            <c:numRef>
              <c:f>greeks!$N$54:$N$67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greeks!$R$54:$R$67</c:f>
              <c:numCache>
                <c:formatCode>General</c:formatCode>
                <c:ptCount val="14"/>
                <c:pt idx="0">
                  <c:v>19.386887966883865</c:v>
                </c:pt>
                <c:pt idx="1">
                  <c:v>21.462846458651267</c:v>
                </c:pt>
                <c:pt idx="2">
                  <c:v>23.348763086300554</c:v>
                </c:pt>
                <c:pt idx="3">
                  <c:v>25.041175308414978</c:v>
                </c:pt>
                <c:pt idx="4">
                  <c:v>26.291883155597063</c:v>
                </c:pt>
                <c:pt idx="5">
                  <c:v>27.009949509741958</c:v>
                </c:pt>
                <c:pt idx="6">
                  <c:v>27.138064203159225</c:v>
                </c:pt>
                <c:pt idx="7">
                  <c:v>26.630339670011303</c:v>
                </c:pt>
                <c:pt idx="8">
                  <c:v>25.554051518981439</c:v>
                </c:pt>
                <c:pt idx="9">
                  <c:v>24.010059881789186</c:v>
                </c:pt>
                <c:pt idx="10">
                  <c:v>22.045061399540181</c:v>
                </c:pt>
                <c:pt idx="11">
                  <c:v>19.769434727141125</c:v>
                </c:pt>
                <c:pt idx="12">
                  <c:v>17.417727936331492</c:v>
                </c:pt>
                <c:pt idx="13">
                  <c:v>15.124792818380834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01-4467-A35D-18CDEE82AB00}"/>
            </c:ext>
          </c:extLst>
        </c:ser>
        <c:ser>
          <c:idx val="4"/>
          <c:order val="4"/>
          <c:tx>
            <c:strRef>
              <c:f>greeks!$S$53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3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3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3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93000"/>
                  <a:shade val="95000"/>
                </a:schemeClr>
              </a:contourClr>
            </a:sp3d>
          </c:spPr>
          <c:cat>
            <c:numRef>
              <c:f>greeks!$N$54:$N$67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greeks!$S$54:$S$67</c:f>
              <c:numCache>
                <c:formatCode>General</c:formatCode>
                <c:ptCount val="14"/>
                <c:pt idx="0">
                  <c:v>24.69245060437807</c:v>
                </c:pt>
                <c:pt idx="1">
                  <c:v>26.871652528428701</c:v>
                </c:pt>
                <c:pt idx="2">
                  <c:v>28.8826971546045</c:v>
                </c:pt>
                <c:pt idx="3">
                  <c:v>30.57829017169556</c:v>
                </c:pt>
                <c:pt idx="4">
                  <c:v>31.934949291980207</c:v>
                </c:pt>
                <c:pt idx="5">
                  <c:v>32.827586819520462</c:v>
                </c:pt>
                <c:pt idx="6">
                  <c:v>33.244415224393023</c:v>
                </c:pt>
                <c:pt idx="7">
                  <c:v>33.139184959303037</c:v>
                </c:pt>
                <c:pt idx="8">
                  <c:v>32.533445112007968</c:v>
                </c:pt>
                <c:pt idx="9">
                  <c:v>31.400208219396138</c:v>
                </c:pt>
                <c:pt idx="10">
                  <c:v>29.974912949262283</c:v>
                </c:pt>
                <c:pt idx="11">
                  <c:v>28.174946025767966</c:v>
                </c:pt>
                <c:pt idx="12">
                  <c:v>26.085488603360108</c:v>
                </c:pt>
                <c:pt idx="13">
                  <c:v>23.916988468253823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01-4467-A35D-18CDEE82AB00}"/>
            </c:ext>
          </c:extLst>
        </c:ser>
        <c:ser>
          <c:idx val="5"/>
          <c:order val="5"/>
          <c:tx>
            <c:strRef>
              <c:f>greeks!$T$53</c:f>
              <c:strCache>
                <c:ptCount val="1"/>
                <c:pt idx="0">
                  <c:v>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77000"/>
                  <a:shade val="95000"/>
                </a:schemeClr>
              </a:contourClr>
            </a:sp3d>
          </c:spPr>
          <c:cat>
            <c:numRef>
              <c:f>greeks!$N$54:$N$67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greeks!$T$54:$T$67</c:f>
              <c:numCache>
                <c:formatCode>General</c:formatCode>
                <c:ptCount val="14"/>
                <c:pt idx="0">
                  <c:v>31.475459843551171</c:v>
                </c:pt>
                <c:pt idx="1">
                  <c:v>33.652192103999781</c:v>
                </c:pt>
                <c:pt idx="2">
                  <c:v>35.633070407236573</c:v>
                </c:pt>
                <c:pt idx="3">
                  <c:v>37.342195719458317</c:v>
                </c:pt>
                <c:pt idx="4">
                  <c:v>38.738339386191441</c:v>
                </c:pt>
                <c:pt idx="5">
                  <c:v>39.801590599470572</c:v>
                </c:pt>
                <c:pt idx="6">
                  <c:v>40.458838939995537</c:v>
                </c:pt>
                <c:pt idx="7">
                  <c:v>40.734712072951652</c:v>
                </c:pt>
                <c:pt idx="8">
                  <c:v>40.616577015840775</c:v>
                </c:pt>
                <c:pt idx="9">
                  <c:v>40.112380787012128</c:v>
                </c:pt>
                <c:pt idx="10">
                  <c:v>39.317129791962607</c:v>
                </c:pt>
                <c:pt idx="11">
                  <c:v>38.133285092056283</c:v>
                </c:pt>
                <c:pt idx="12">
                  <c:v>36.76985580766916</c:v>
                </c:pt>
                <c:pt idx="13">
                  <c:v>35.055744180924989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F01-4467-A35D-18CDEE82AB00}"/>
            </c:ext>
          </c:extLst>
        </c:ser>
        <c:ser>
          <c:idx val="6"/>
          <c:order val="6"/>
          <c:tx>
            <c:strRef>
              <c:f>greeks!$U$53</c:f>
              <c:strCache>
                <c:ptCount val="1"/>
                <c:pt idx="0">
                  <c:v>14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2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2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2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2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62000"/>
                  <a:shade val="95000"/>
                </a:schemeClr>
              </a:contourClr>
            </a:sp3d>
          </c:spPr>
          <c:cat>
            <c:numRef>
              <c:f>greeks!$N$54:$N$67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greeks!$U$54:$U$67</c:f>
              <c:numCache>
                <c:formatCode>General</c:formatCode>
                <c:ptCount val="14"/>
                <c:pt idx="0">
                  <c:v>37.452531082295813</c:v>
                </c:pt>
                <c:pt idx="1">
                  <c:v>41.24697850141721</c:v>
                </c:pt>
                <c:pt idx="2">
                  <c:v>43.351960371903992</c:v>
                </c:pt>
                <c:pt idx="3">
                  <c:v>45.235117547429873</c:v>
                </c:pt>
                <c:pt idx="4">
                  <c:v>46.877152086749312</c:v>
                </c:pt>
                <c:pt idx="5">
                  <c:v>48.249433481884857</c:v>
                </c:pt>
                <c:pt idx="6">
                  <c:v>49.356991998703833</c:v>
                </c:pt>
                <c:pt idx="7">
                  <c:v>50.120056464580337</c:v>
                </c:pt>
                <c:pt idx="8">
                  <c:v>50.61194381694807</c:v>
                </c:pt>
                <c:pt idx="9">
                  <c:v>50.812081267914095</c:v>
                </c:pt>
                <c:pt idx="10">
                  <c:v>50.717136257727681</c:v>
                </c:pt>
                <c:pt idx="11">
                  <c:v>50.344161493260209</c:v>
                </c:pt>
                <c:pt idx="12">
                  <c:v>49.703501319122246</c:v>
                </c:pt>
                <c:pt idx="13">
                  <c:v>48.852639400657431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F01-4467-A35D-18CDEE82AB00}"/>
            </c:ext>
          </c:extLst>
        </c:ser>
        <c:ser>
          <c:idx val="7"/>
          <c:order val="7"/>
          <c:tx>
            <c:strRef>
              <c:f>greeks!$V$53</c:f>
              <c:strCache>
                <c:ptCount val="1"/>
                <c:pt idx="0">
                  <c:v>21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46000"/>
                  <a:shade val="95000"/>
                </a:schemeClr>
              </a:contourClr>
            </a:sp3d>
          </c:spPr>
          <c:cat>
            <c:numRef>
              <c:f>greeks!$N$54:$N$67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greeks!$V$54:$V$67</c:f>
              <c:numCache>
                <c:formatCode>General</c:formatCode>
                <c:ptCount val="14"/>
                <c:pt idx="0">
                  <c:v>48.277533780738253</c:v>
                </c:pt>
                <c:pt idx="1">
                  <c:v>50.63785288784927</c:v>
                </c:pt>
                <c:pt idx="2">
                  <c:v>52.789744607039545</c:v>
                </c:pt>
                <c:pt idx="3">
                  <c:v>54.779179206550602</c:v>
                </c:pt>
                <c:pt idx="4">
                  <c:v>56.5059757511968</c:v>
                </c:pt>
                <c:pt idx="5">
                  <c:v>58.029974881609469</c:v>
                </c:pt>
                <c:pt idx="6">
                  <c:v>59.358642077382974</c:v>
                </c:pt>
                <c:pt idx="7">
                  <c:v>60.417276777552345</c:v>
                </c:pt>
                <c:pt idx="8">
                  <c:v>61.157655185736921</c:v>
                </c:pt>
                <c:pt idx="9">
                  <c:v>61.737940016733049</c:v>
                </c:pt>
                <c:pt idx="10">
                  <c:v>62.102102411371312</c:v>
                </c:pt>
                <c:pt idx="11">
                  <c:v>62.237012001104077</c:v>
                </c:pt>
                <c:pt idx="12">
                  <c:v>62.15408137494655</c:v>
                </c:pt>
                <c:pt idx="13">
                  <c:v>61.85684313938215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F01-4467-A35D-18CDEE82AB0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1546940399"/>
        <c:axId val="1546943759"/>
        <c:axId val="1547060271"/>
      </c:surface3DChart>
      <c:catAx>
        <c:axId val="15469403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46943759"/>
        <c:crosses val="autoZero"/>
        <c:auto val="1"/>
        <c:lblAlgn val="ctr"/>
        <c:lblOffset val="100"/>
        <c:noMultiLvlLbl val="0"/>
      </c:catAx>
      <c:valAx>
        <c:axId val="154694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46940399"/>
        <c:crosses val="autoZero"/>
        <c:crossBetween val="midCat"/>
      </c:valAx>
      <c:serAx>
        <c:axId val="1547060271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(months)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4694375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greeks!$O$70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45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45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4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4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45000"/>
                  <a:shade val="95000"/>
                </a:schemeClr>
              </a:contourClr>
            </a:sp3d>
          </c:spPr>
          <c:cat>
            <c:numRef>
              <c:f>greeks!$N$71:$N$84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greeks!$O$71:$O$84</c:f>
              <c:numCache>
                <c:formatCode>General</c:formatCode>
                <c:ptCount val="14"/>
                <c:pt idx="0">
                  <c:v>6.6369038371291138</c:v>
                </c:pt>
                <c:pt idx="1">
                  <c:v>6.7189393026938093</c:v>
                </c:pt>
                <c:pt idx="2">
                  <c:v>6.3823302030692028</c:v>
                </c:pt>
                <c:pt idx="3">
                  <c:v>5.8926930270586011</c:v>
                </c:pt>
                <c:pt idx="4">
                  <c:v>5.2272269700657734</c:v>
                </c:pt>
                <c:pt idx="5">
                  <c:v>4.3433776264708728</c:v>
                </c:pt>
                <c:pt idx="6">
                  <c:v>3.3890597896694805</c:v>
                </c:pt>
                <c:pt idx="7">
                  <c:v>2.4536615733032932</c:v>
                </c:pt>
                <c:pt idx="8">
                  <c:v>1.6970855729244283</c:v>
                </c:pt>
                <c:pt idx="9">
                  <c:v>1.1185398991908051</c:v>
                </c:pt>
                <c:pt idx="10">
                  <c:v>0.69503875341445631</c:v>
                </c:pt>
                <c:pt idx="11">
                  <c:v>0.61643822478879284</c:v>
                </c:pt>
                <c:pt idx="12">
                  <c:v>0.37834864556458042</c:v>
                </c:pt>
                <c:pt idx="13">
                  <c:v>0.25695055232558084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41-4341-89D0-7357BAD71193}"/>
            </c:ext>
          </c:extLst>
        </c:ser>
        <c:ser>
          <c:idx val="1"/>
          <c:order val="1"/>
          <c:tx>
            <c:strRef>
              <c:f>greeks!$P$70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61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61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61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61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61000"/>
                  <a:shade val="95000"/>
                </a:schemeClr>
              </a:contourClr>
            </a:sp3d>
          </c:spPr>
          <c:cat>
            <c:numRef>
              <c:f>greeks!$N$71:$N$84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greeks!$P$71:$P$84</c:f>
              <c:numCache>
                <c:formatCode>General</c:formatCode>
                <c:ptCount val="14"/>
                <c:pt idx="0">
                  <c:v>12.257863177809424</c:v>
                </c:pt>
                <c:pt idx="1">
                  <c:v>12.031197616177479</c:v>
                </c:pt>
                <c:pt idx="2">
                  <c:v>11.565154894804285</c:v>
                </c:pt>
                <c:pt idx="3">
                  <c:v>10.774446344529235</c:v>
                </c:pt>
                <c:pt idx="4">
                  <c:v>9.7776390815911203</c:v>
                </c:pt>
                <c:pt idx="5">
                  <c:v>8.5717126040182663</c:v>
                </c:pt>
                <c:pt idx="6">
                  <c:v>7.2183718336986695</c:v>
                </c:pt>
                <c:pt idx="7">
                  <c:v>5.8238357662942795</c:v>
                </c:pt>
                <c:pt idx="8">
                  <c:v>4.5453442843836322</c:v>
                </c:pt>
                <c:pt idx="9">
                  <c:v>3.4702517312645851</c:v>
                </c:pt>
                <c:pt idx="10">
                  <c:v>2.5907699601375547</c:v>
                </c:pt>
                <c:pt idx="11">
                  <c:v>1.9154595585561922</c:v>
                </c:pt>
                <c:pt idx="12">
                  <c:v>1.4467064825688238</c:v>
                </c:pt>
                <c:pt idx="13">
                  <c:v>1.0792116303319905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41-4341-89D0-7357BAD71193}"/>
            </c:ext>
          </c:extLst>
        </c:ser>
        <c:ser>
          <c:idx val="2"/>
          <c:order val="2"/>
          <c:tx>
            <c:strRef>
              <c:f>greeks!$Q$70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76000"/>
                  <a:shade val="95000"/>
                </a:schemeClr>
              </a:contourClr>
            </a:sp3d>
          </c:spPr>
          <c:cat>
            <c:numRef>
              <c:f>greeks!$N$71:$N$84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greeks!$Q$71:$Q$84</c:f>
              <c:numCache>
                <c:formatCode>General</c:formatCode>
                <c:ptCount val="14"/>
                <c:pt idx="0">
                  <c:v>16.297100483187645</c:v>
                </c:pt>
                <c:pt idx="1">
                  <c:v>16.068890553960408</c:v>
                </c:pt>
                <c:pt idx="2">
                  <c:v>15.438873264901414</c:v>
                </c:pt>
                <c:pt idx="3">
                  <c:v>14.523321672114335</c:v>
                </c:pt>
                <c:pt idx="4">
                  <c:v>13.37087802409374</c:v>
                </c:pt>
                <c:pt idx="5">
                  <c:v>11.990127865183924</c:v>
                </c:pt>
                <c:pt idx="6">
                  <c:v>10.426688697379044</c:v>
                </c:pt>
                <c:pt idx="7">
                  <c:v>8.7979494462863173</c:v>
                </c:pt>
                <c:pt idx="8">
                  <c:v>7.2126274892028697</c:v>
                </c:pt>
                <c:pt idx="9">
                  <c:v>5.797236484433089</c:v>
                </c:pt>
                <c:pt idx="10">
                  <c:v>4.5051439408121086</c:v>
                </c:pt>
                <c:pt idx="11">
                  <c:v>3.4907791103605144</c:v>
                </c:pt>
                <c:pt idx="12">
                  <c:v>2.631871386626631</c:v>
                </c:pt>
                <c:pt idx="13">
                  <c:v>1.9612894884600993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41-4341-89D0-7357BAD71193}"/>
            </c:ext>
          </c:extLst>
        </c:ser>
        <c:ser>
          <c:idx val="3"/>
          <c:order val="3"/>
          <c:tx>
            <c:strRef>
              <c:f>greeks!$R$70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92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92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92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2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2000"/>
                  <a:shade val="95000"/>
                </a:schemeClr>
              </a:contourClr>
            </a:sp3d>
          </c:spPr>
          <c:cat>
            <c:numRef>
              <c:f>greeks!$N$71:$N$84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greeks!$R$71:$R$84</c:f>
              <c:numCache>
                <c:formatCode>General</c:formatCode>
                <c:ptCount val="14"/>
                <c:pt idx="0">
                  <c:v>21.507781387009278</c:v>
                </c:pt>
                <c:pt idx="1">
                  <c:v>21.17954080007695</c:v>
                </c:pt>
                <c:pt idx="2">
                  <c:v>20.662506205687986</c:v>
                </c:pt>
                <c:pt idx="3">
                  <c:v>19.665278154150212</c:v>
                </c:pt>
                <c:pt idx="4">
                  <c:v>18.455523045484242</c:v>
                </c:pt>
                <c:pt idx="5">
                  <c:v>17.015584970434663</c:v>
                </c:pt>
                <c:pt idx="6">
                  <c:v>15.438970964850549</c:v>
                </c:pt>
                <c:pt idx="7">
                  <c:v>13.735562652984131</c:v>
                </c:pt>
                <c:pt idx="8">
                  <c:v>12.026320504389631</c:v>
                </c:pt>
                <c:pt idx="9">
                  <c:v>10.376658208179832</c:v>
                </c:pt>
                <c:pt idx="10">
                  <c:v>8.7844644119411033</c:v>
                </c:pt>
                <c:pt idx="11">
                  <c:v>7.290578265928338</c:v>
                </c:pt>
                <c:pt idx="12">
                  <c:v>5.9809241192785656</c:v>
                </c:pt>
                <c:pt idx="13">
                  <c:v>4.8647724025326076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41-4341-89D0-7357BAD71193}"/>
            </c:ext>
          </c:extLst>
        </c:ser>
        <c:ser>
          <c:idx val="4"/>
          <c:order val="4"/>
          <c:tx>
            <c:strRef>
              <c:f>greeks!$S$70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93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93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9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93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93000"/>
                  <a:shade val="95000"/>
                </a:schemeClr>
              </a:contourClr>
            </a:sp3d>
          </c:spPr>
          <c:cat>
            <c:numRef>
              <c:f>greeks!$N$71:$N$84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greeks!$S$71:$S$84</c:f>
              <c:numCache>
                <c:formatCode>General</c:formatCode>
                <c:ptCount val="14"/>
                <c:pt idx="0">
                  <c:v>30.196331246164281</c:v>
                </c:pt>
                <c:pt idx="1">
                  <c:v>29.825397070687767</c:v>
                </c:pt>
                <c:pt idx="2">
                  <c:v>29.059883536730805</c:v>
                </c:pt>
                <c:pt idx="3">
                  <c:v>28.217487789940495</c:v>
                </c:pt>
                <c:pt idx="4">
                  <c:v>26.834106923256908</c:v>
                </c:pt>
                <c:pt idx="5">
                  <c:v>25.233689033676921</c:v>
                </c:pt>
                <c:pt idx="6">
                  <c:v>23.523686446077942</c:v>
                </c:pt>
                <c:pt idx="7">
                  <c:v>21.646205139593409</c:v>
                </c:pt>
                <c:pt idx="8">
                  <c:v>19.694074255726346</c:v>
                </c:pt>
                <c:pt idx="9">
                  <c:v>17.650474090967815</c:v>
                </c:pt>
                <c:pt idx="10">
                  <c:v>15.756644307408468</c:v>
                </c:pt>
                <c:pt idx="11">
                  <c:v>13.880558189350733</c:v>
                </c:pt>
                <c:pt idx="12">
                  <c:v>12.07445850012113</c:v>
                </c:pt>
                <c:pt idx="13">
                  <c:v>10.452199730517743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41-4341-89D0-7357BAD71193}"/>
            </c:ext>
          </c:extLst>
        </c:ser>
        <c:ser>
          <c:idx val="5"/>
          <c:order val="5"/>
          <c:tx>
            <c:strRef>
              <c:f>greeks!$T$70</c:f>
              <c:strCache>
                <c:ptCount val="1"/>
                <c:pt idx="0">
                  <c:v>9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77000"/>
                  <a:shade val="95000"/>
                </a:schemeClr>
              </a:contourClr>
            </a:sp3d>
          </c:spPr>
          <c:cat>
            <c:numRef>
              <c:f>greeks!$N$71:$N$84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greeks!$T$71:$T$84</c:f>
              <c:numCache>
                <c:formatCode>General</c:formatCode>
                <c:ptCount val="14"/>
                <c:pt idx="0">
                  <c:v>41.239614786202928</c:v>
                </c:pt>
                <c:pt idx="1">
                  <c:v>40.918949206909254</c:v>
                </c:pt>
                <c:pt idx="2">
                  <c:v>40.167169237866545</c:v>
                </c:pt>
                <c:pt idx="3">
                  <c:v>39.292689940176757</c:v>
                </c:pt>
                <c:pt idx="4">
                  <c:v>38.003029850472821</c:v>
                </c:pt>
                <c:pt idx="5">
                  <c:v>36.576438105825531</c:v>
                </c:pt>
                <c:pt idx="6">
                  <c:v>34.828487278313212</c:v>
                </c:pt>
                <c:pt idx="7">
                  <c:v>32.960115965701647</c:v>
                </c:pt>
                <c:pt idx="8">
                  <c:v>30.965454920624047</c:v>
                </c:pt>
                <c:pt idx="9">
                  <c:v>28.87909547423817</c:v>
                </c:pt>
                <c:pt idx="10">
                  <c:v>26.834513667876099</c:v>
                </c:pt>
                <c:pt idx="11">
                  <c:v>24.688331040471809</c:v>
                </c:pt>
                <c:pt idx="12">
                  <c:v>22.673621496459326</c:v>
                </c:pt>
                <c:pt idx="13">
                  <c:v>20.587665145249527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41-4341-89D0-7357BAD71193}"/>
            </c:ext>
          </c:extLst>
        </c:ser>
        <c:ser>
          <c:idx val="6"/>
          <c:order val="6"/>
          <c:tx>
            <c:strRef>
              <c:f>greeks!$U$70</c:f>
              <c:strCache>
                <c:ptCount val="1"/>
                <c:pt idx="0">
                  <c:v>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62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62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62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62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62000"/>
                  <a:shade val="95000"/>
                </a:schemeClr>
              </a:contourClr>
            </a:sp3d>
          </c:spPr>
          <c:cat>
            <c:numRef>
              <c:f>greeks!$N$71:$N$84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greeks!$U$71:$U$84</c:f>
              <c:numCache>
                <c:formatCode>General</c:formatCode>
                <c:ptCount val="14"/>
                <c:pt idx="0">
                  <c:v>65.816336956196139</c:v>
                </c:pt>
                <c:pt idx="1">
                  <c:v>58.058765619105152</c:v>
                </c:pt>
                <c:pt idx="2">
                  <c:v>57.796510607141194</c:v>
                </c:pt>
                <c:pt idx="3">
                  <c:v>57.011329602529528</c:v>
                </c:pt>
                <c:pt idx="4">
                  <c:v>56.059616794091944</c:v>
                </c:pt>
                <c:pt idx="5">
                  <c:v>54.82728609496246</c:v>
                </c:pt>
                <c:pt idx="6">
                  <c:v>53.433111122265309</c:v>
                </c:pt>
                <c:pt idx="7">
                  <c:v>51.663625815043339</c:v>
                </c:pt>
                <c:pt idx="8">
                  <c:v>49.821512156393403</c:v>
                </c:pt>
                <c:pt idx="9">
                  <c:v>47.848963541329105</c:v>
                </c:pt>
                <c:pt idx="10">
                  <c:v>45.752048981958517</c:v>
                </c:pt>
                <c:pt idx="11">
                  <c:v>43.571803673356612</c:v>
                </c:pt>
                <c:pt idx="12">
                  <c:v>41.32646521979229</c:v>
                </c:pt>
                <c:pt idx="13">
                  <c:v>39.096130751600199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41-4341-89D0-7357BAD71193}"/>
            </c:ext>
          </c:extLst>
        </c:ser>
        <c:ser>
          <c:idx val="7"/>
          <c:order val="7"/>
          <c:tx>
            <c:strRef>
              <c:f>greeks!$V$70</c:f>
              <c:strCache>
                <c:ptCount val="1"/>
                <c:pt idx="0">
                  <c:v>21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4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4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4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4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46000"/>
                  <a:shade val="95000"/>
                </a:schemeClr>
              </a:contourClr>
            </a:sp3d>
          </c:spPr>
          <c:cat>
            <c:numRef>
              <c:f>greeks!$N$71:$N$84</c:f>
              <c:numCache>
                <c:formatCode>General</c:formatCode>
                <c:ptCount val="14"/>
                <c:pt idx="0">
                  <c:v>95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</c:numCache>
            </c:numRef>
          </c:cat>
          <c:val>
            <c:numRef>
              <c:f>greeks!$V$71:$V$84</c:f>
              <c:numCache>
                <c:formatCode>General</c:formatCode>
                <c:ptCount val="14"/>
                <c:pt idx="0">
                  <c:v>78.21583512404321</c:v>
                </c:pt>
                <c:pt idx="1">
                  <c:v>78.29572103753776</c:v>
                </c:pt>
                <c:pt idx="2">
                  <c:v>77.996454436731455</c:v>
                </c:pt>
                <c:pt idx="3">
                  <c:v>77.776951904929604</c:v>
                </c:pt>
                <c:pt idx="4">
                  <c:v>76.964517435093356</c:v>
                </c:pt>
                <c:pt idx="5">
                  <c:v>76.036444622847981</c:v>
                </c:pt>
                <c:pt idx="6">
                  <c:v>75.001290068249048</c:v>
                </c:pt>
                <c:pt idx="7">
                  <c:v>73.611287413486593</c:v>
                </c:pt>
                <c:pt idx="8">
                  <c:v>71.807239841762453</c:v>
                </c:pt>
                <c:pt idx="9">
                  <c:v>70.068283635946543</c:v>
                </c:pt>
                <c:pt idx="10">
                  <c:v>68.2174774112801</c:v>
                </c:pt>
                <c:pt idx="11">
                  <c:v>66.22837766564723</c:v>
                </c:pt>
                <c:pt idx="12">
                  <c:v>64.131636612339847</c:v>
                </c:pt>
                <c:pt idx="13">
                  <c:v>61.937095874142024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41-4341-89D0-7357BAD71193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6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6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6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6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6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6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6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6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6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6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6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6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20000"/>
                    <a:shade val="95000"/>
                  </a:schemeClr>
                </a:contourClr>
              </a:sp3d>
            </c:spPr>
          </c:bandFmt>
        </c:bandFmts>
        <c:axId val="242243871"/>
        <c:axId val="242241471"/>
        <c:axId val="1939402399"/>
      </c:surface3DChart>
      <c:catAx>
        <c:axId val="2422438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241471"/>
        <c:crosses val="autoZero"/>
        <c:auto val="1"/>
        <c:lblAlgn val="ctr"/>
        <c:lblOffset val="100"/>
        <c:noMultiLvlLbl val="0"/>
      </c:catAx>
      <c:valAx>
        <c:axId val="24224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243871"/>
        <c:crosses val="autoZero"/>
        <c:crossBetween val="midCat"/>
      </c:valAx>
      <c:serAx>
        <c:axId val="1939402399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(months)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2414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601980</xdr:colOff>
      <xdr:row>0</xdr:row>
      <xdr:rowOff>41910</xdr:rowOff>
    </xdr:from>
    <xdr:to>
      <xdr:col>22</xdr:col>
      <xdr:colOff>22860</xdr:colOff>
      <xdr:row>23</xdr:row>
      <xdr:rowOff>160020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48C93E68-7272-6333-8EDD-29D0736476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1</xdr:row>
      <xdr:rowOff>11430</xdr:rowOff>
    </xdr:from>
    <xdr:to>
      <xdr:col>30</xdr:col>
      <xdr:colOff>304800</xdr:colOff>
      <xdr:row>16</xdr:row>
      <xdr:rowOff>11430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DC9F632-07F2-7892-DE01-54B085C8DC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601980</xdr:colOff>
      <xdr:row>17</xdr:row>
      <xdr:rowOff>179070</xdr:rowOff>
    </xdr:from>
    <xdr:to>
      <xdr:col>30</xdr:col>
      <xdr:colOff>297180</xdr:colOff>
      <xdr:row>32</xdr:row>
      <xdr:rowOff>179070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94B81030-F5E6-7B32-4217-C01F4AECFD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601980</xdr:colOff>
      <xdr:row>35</xdr:row>
      <xdr:rowOff>3810</xdr:rowOff>
    </xdr:from>
    <xdr:to>
      <xdr:col>30</xdr:col>
      <xdr:colOff>297180</xdr:colOff>
      <xdr:row>50</xdr:row>
      <xdr:rowOff>3810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9FE557AE-6B33-8032-BC4A-5E4396F3F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15240</xdr:colOff>
      <xdr:row>51</xdr:row>
      <xdr:rowOff>171450</xdr:rowOff>
    </xdr:from>
    <xdr:to>
      <xdr:col>30</xdr:col>
      <xdr:colOff>320040</xdr:colOff>
      <xdr:row>66</xdr:row>
      <xdr:rowOff>171450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B5E805B9-5A81-2B0A-0E1D-3CD8668285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68</xdr:row>
      <xdr:rowOff>179070</xdr:rowOff>
    </xdr:from>
    <xdr:to>
      <xdr:col>30</xdr:col>
      <xdr:colOff>304800</xdr:colOff>
      <xdr:row>83</xdr:row>
      <xdr:rowOff>179070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8D4EA86-CB6D-00F3-7962-AFE285D451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lobal-rates.com/en/interest-rates/libor/american-dollar/usd-libor-interest-rate-1-month.aspx" TargetMode="External"/><Relationship Id="rId2" Type="http://schemas.openxmlformats.org/officeDocument/2006/relationships/hyperlink" Target="https://www.global-rates.com/en/interest-rates/libor/american-dollar/usd-libor-interest-rate-overnight.aspx" TargetMode="External"/><Relationship Id="rId1" Type="http://schemas.openxmlformats.org/officeDocument/2006/relationships/hyperlink" Target="https://finance.yahoo.com/quote/ABNB/options?date=1737072000&amp;p=ABNB" TargetMode="External"/><Relationship Id="rId6" Type="http://schemas.openxmlformats.org/officeDocument/2006/relationships/hyperlink" Target="https://www.global-rates.com/en/interest-rates/libor/american-dollar/usd-libor-interest-rate-12-months.aspx" TargetMode="External"/><Relationship Id="rId5" Type="http://schemas.openxmlformats.org/officeDocument/2006/relationships/hyperlink" Target="https://www.global-rates.com/en/interest-rates/libor/american-dollar/usd-libor-interest-rate-6-months.aspx" TargetMode="External"/><Relationship Id="rId4" Type="http://schemas.openxmlformats.org/officeDocument/2006/relationships/hyperlink" Target="https://www.global-rates.com/en/interest-rates/libor/american-dollar/usd-libor-interest-rate-3-months.aspx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8"/>
  <sheetViews>
    <sheetView workbookViewId="0">
      <selection activeCell="B2" sqref="B2"/>
    </sheetView>
  </sheetViews>
  <sheetFormatPr defaultRowHeight="14.4" x14ac:dyDescent="0.3"/>
  <sheetData>
    <row r="1" spans="1:2" x14ac:dyDescent="0.3">
      <c r="A1" t="s">
        <v>7</v>
      </c>
    </row>
    <row r="2" spans="1:2" x14ac:dyDescent="0.3">
      <c r="A2" t="s">
        <v>0</v>
      </c>
      <c r="B2" t="s">
        <v>10</v>
      </c>
    </row>
    <row r="3" spans="1:2" x14ac:dyDescent="0.3">
      <c r="A3" t="s">
        <v>1</v>
      </c>
      <c r="B3" t="s">
        <v>2</v>
      </c>
    </row>
    <row r="4" spans="1:2" x14ac:dyDescent="0.3">
      <c r="A4" t="s">
        <v>3</v>
      </c>
      <c r="B4" t="s">
        <v>4</v>
      </c>
    </row>
    <row r="5" spans="1:2" x14ac:dyDescent="0.3">
      <c r="A5" t="s">
        <v>5</v>
      </c>
      <c r="B5" t="s">
        <v>6</v>
      </c>
    </row>
    <row r="7" spans="1:2" x14ac:dyDescent="0.3">
      <c r="A7" t="s">
        <v>9</v>
      </c>
    </row>
    <row r="8" spans="1:2" x14ac:dyDescent="0.3">
      <c r="A8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F372-93C3-4D8B-82BD-FE9C1E40E73F}">
  <sheetPr codeName="Foglio2"/>
  <dimension ref="A1:C18"/>
  <sheetViews>
    <sheetView workbookViewId="0">
      <selection activeCell="B5" sqref="B5"/>
    </sheetView>
  </sheetViews>
  <sheetFormatPr defaultRowHeight="14.4" x14ac:dyDescent="0.3"/>
  <cols>
    <col min="1" max="1" width="21.5546875" customWidth="1"/>
    <col min="2" max="2" width="15.44140625" customWidth="1"/>
  </cols>
  <sheetData>
    <row r="1" spans="1:3" x14ac:dyDescent="0.3">
      <c r="A1" t="s">
        <v>12</v>
      </c>
    </row>
    <row r="2" spans="1:3" x14ac:dyDescent="0.3">
      <c r="A2" t="s">
        <v>11</v>
      </c>
      <c r="B2">
        <v>117.93</v>
      </c>
      <c r="C2" s="1" t="s">
        <v>13</v>
      </c>
    </row>
    <row r="3" spans="1:3" ht="15" thickBot="1" x14ac:dyDescent="0.35">
      <c r="A3" t="s">
        <v>14</v>
      </c>
    </row>
    <row r="4" spans="1:3" x14ac:dyDescent="0.3">
      <c r="A4" s="4" t="s">
        <v>15</v>
      </c>
      <c r="B4" s="5" t="s">
        <v>16</v>
      </c>
    </row>
    <row r="5" spans="1:3" ht="28.8" x14ac:dyDescent="0.3">
      <c r="A5" s="6" t="s">
        <v>17</v>
      </c>
      <c r="B5" s="3" t="s">
        <v>18</v>
      </c>
    </row>
    <row r="6" spans="1:3" ht="28.8" x14ac:dyDescent="0.3">
      <c r="A6" s="7" t="s">
        <v>19</v>
      </c>
      <c r="B6" s="2" t="s">
        <v>20</v>
      </c>
    </row>
    <row r="7" spans="1:3" ht="28.8" x14ac:dyDescent="0.3">
      <c r="A7" s="6" t="s">
        <v>21</v>
      </c>
      <c r="B7" s="3" t="s">
        <v>22</v>
      </c>
    </row>
    <row r="8" spans="1:3" ht="29.4" thickBot="1" x14ac:dyDescent="0.35">
      <c r="A8" s="8" t="s">
        <v>23</v>
      </c>
      <c r="B8" s="9" t="s">
        <v>24</v>
      </c>
    </row>
    <row r="10" spans="1:3" x14ac:dyDescent="0.3">
      <c r="A10" s="10" t="s">
        <v>27</v>
      </c>
      <c r="B10" s="10" t="s">
        <v>28</v>
      </c>
    </row>
    <row r="11" spans="1:3" x14ac:dyDescent="0.3">
      <c r="A11" t="s">
        <v>26</v>
      </c>
      <c r="B11" t="s">
        <v>25</v>
      </c>
    </row>
    <row r="12" spans="1:3" x14ac:dyDescent="0.3">
      <c r="A12" t="s">
        <v>29</v>
      </c>
      <c r="B12" t="s">
        <v>30</v>
      </c>
    </row>
    <row r="13" spans="1:3" x14ac:dyDescent="0.3">
      <c r="A13" t="s">
        <v>33</v>
      </c>
      <c r="B13" t="s">
        <v>34</v>
      </c>
    </row>
    <row r="14" spans="1:3" x14ac:dyDescent="0.3">
      <c r="A14" t="s">
        <v>36</v>
      </c>
      <c r="B14" t="s">
        <v>37</v>
      </c>
    </row>
    <row r="15" spans="1:3" x14ac:dyDescent="0.3">
      <c r="A15" t="s">
        <v>39</v>
      </c>
      <c r="B15" t="s">
        <v>40</v>
      </c>
    </row>
    <row r="16" spans="1:3" x14ac:dyDescent="0.3">
      <c r="A16" t="s">
        <v>42</v>
      </c>
      <c r="B16" t="s">
        <v>43</v>
      </c>
    </row>
    <row r="17" spans="1:2" x14ac:dyDescent="0.3">
      <c r="A17" t="s">
        <v>45</v>
      </c>
      <c r="B17" t="s">
        <v>46</v>
      </c>
    </row>
    <row r="18" spans="1:2" x14ac:dyDescent="0.3">
      <c r="A18" t="s">
        <v>48</v>
      </c>
      <c r="B18" t="s">
        <v>49</v>
      </c>
    </row>
  </sheetData>
  <hyperlinks>
    <hyperlink ref="C2" r:id="rId1" display="https://finance.yahoo.com/quote/ABNB/options?date=1737072000&amp;p=ABNB" xr:uid="{24B5CAC0-0EF3-43BE-BE21-0F40BA16A2CA}"/>
    <hyperlink ref="A4" r:id="rId2" tooltip="Overnight US dollar (USD) LIBOR interest rate" display="https://www.global-rates.com/en/interest-rates/libor/american-dollar/usd-libor-interest-rate-overnight.aspx" xr:uid="{D5DE438B-6B45-4B69-BA45-BF42AD52793A}"/>
    <hyperlink ref="A5" r:id="rId3" tooltip="1 month US dollar (USD) Libor interest rate" display="https://www.global-rates.com/en/interest-rates/libor/american-dollar/usd-libor-interest-rate-1-month.aspx" xr:uid="{B21246E1-EF44-4240-B5D4-AA0F03D8FC6D}"/>
    <hyperlink ref="A6" r:id="rId4" tooltip="3 month US dollar (USD) Libor interest rate" display="https://www.global-rates.com/en/interest-rates/libor/american-dollar/usd-libor-interest-rate-3-months.aspx" xr:uid="{15B683E1-43FC-4426-8144-50E371FBEC8C}"/>
    <hyperlink ref="A7" r:id="rId5" tooltip="6 month US dollar (USD) Libor interest rate" display="https://www.global-rates.com/en/interest-rates/libor/american-dollar/usd-libor-interest-rate-6-months.aspx" xr:uid="{A1248B35-7271-4AA4-A8CF-34977B1885F0}"/>
    <hyperlink ref="A8" r:id="rId6" tooltip="12 month US dollar (USD) Libor interest rate" display="https://www.global-rates.com/en/interest-rates/libor/american-dollar/usd-libor-interest-rate-12-months.aspx" xr:uid="{4D5D7E55-0D91-4379-9DD1-5040DE65255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F0285-5A87-4C23-B38C-2AEAEA0E33AB}">
  <sheetPr codeName="Foglio3"/>
  <dimension ref="A1:I15"/>
  <sheetViews>
    <sheetView workbookViewId="0">
      <selection sqref="A1:I15"/>
    </sheetView>
  </sheetViews>
  <sheetFormatPr defaultRowHeight="14.4" x14ac:dyDescent="0.3"/>
  <sheetData>
    <row r="1" spans="1:9" x14ac:dyDescent="0.3">
      <c r="B1" s="12" t="s">
        <v>31</v>
      </c>
      <c r="C1" s="12" t="s">
        <v>32</v>
      </c>
      <c r="D1" s="12" t="s">
        <v>35</v>
      </c>
      <c r="E1" s="12" t="s">
        <v>38</v>
      </c>
      <c r="F1" s="12" t="s">
        <v>41</v>
      </c>
      <c r="G1" s="12" t="s">
        <v>44</v>
      </c>
      <c r="H1" s="12" t="s">
        <v>47</v>
      </c>
      <c r="I1" s="12" t="s">
        <v>50</v>
      </c>
    </row>
    <row r="2" spans="1:9" x14ac:dyDescent="0.3">
      <c r="A2" s="11">
        <v>95</v>
      </c>
      <c r="B2">
        <v>0.69310000000000005</v>
      </c>
      <c r="C2">
        <v>0.60599999999999998</v>
      </c>
      <c r="D2">
        <v>0.57430000000000003</v>
      </c>
      <c r="E2">
        <v>0.59419999999999995</v>
      </c>
      <c r="F2">
        <v>0.56869999999999998</v>
      </c>
      <c r="G2">
        <v>0.57099999999999995</v>
      </c>
      <c r="H2">
        <v>0.44130000000000003</v>
      </c>
      <c r="I2">
        <v>0.56079999999999997</v>
      </c>
    </row>
    <row r="3" spans="1:9" x14ac:dyDescent="0.3">
      <c r="A3" s="11">
        <v>100</v>
      </c>
      <c r="B3">
        <v>0.60819999999999996</v>
      </c>
      <c r="C3">
        <v>0.57520000000000004</v>
      </c>
      <c r="D3">
        <v>0.54249999999999998</v>
      </c>
      <c r="E3">
        <v>0.56950000000000001</v>
      </c>
      <c r="F3">
        <v>0.54910000000000003</v>
      </c>
      <c r="G3">
        <v>0.55489999999999995</v>
      </c>
      <c r="H3">
        <v>0.55330000000000001</v>
      </c>
      <c r="I3">
        <v>0.55300000000000005</v>
      </c>
    </row>
    <row r="4" spans="1:9" x14ac:dyDescent="0.3">
      <c r="A4" s="11">
        <v>105</v>
      </c>
      <c r="B4">
        <v>0.59199999999999997</v>
      </c>
      <c r="C4">
        <v>0.54530000000000001</v>
      </c>
      <c r="D4">
        <v>0.52280000000000004</v>
      </c>
      <c r="E4">
        <v>0.53939999999999999</v>
      </c>
      <c r="F4">
        <v>0.53480000000000005</v>
      </c>
      <c r="G4">
        <v>0.54369999999999996</v>
      </c>
      <c r="H4">
        <v>0.53969999999999996</v>
      </c>
      <c r="I4">
        <v>0.54669999999999996</v>
      </c>
    </row>
    <row r="5" spans="1:9" x14ac:dyDescent="0.3">
      <c r="A5" s="11">
        <v>110</v>
      </c>
      <c r="B5">
        <v>0.56469999999999998</v>
      </c>
      <c r="C5">
        <v>0.52649999999999997</v>
      </c>
      <c r="D5">
        <v>0.50529999999999997</v>
      </c>
      <c r="E5">
        <v>0.52490000000000003</v>
      </c>
      <c r="F5">
        <v>0.50980000000000003</v>
      </c>
      <c r="G5">
        <v>0.52749999999999997</v>
      </c>
      <c r="H5">
        <v>0.53129999999999999</v>
      </c>
      <c r="I5">
        <v>0.53569999999999995</v>
      </c>
    </row>
    <row r="6" spans="1:9" x14ac:dyDescent="0.3">
      <c r="A6" s="11">
        <v>115</v>
      </c>
      <c r="B6" s="13">
        <v>0.52580000000000005</v>
      </c>
      <c r="C6" s="13">
        <v>0.50390000000000001</v>
      </c>
      <c r="D6" s="13">
        <v>0.48609999999999998</v>
      </c>
      <c r="E6" s="13">
        <v>0.50870000000000004</v>
      </c>
      <c r="F6" s="13">
        <v>0.50019999999999998</v>
      </c>
      <c r="G6" s="13">
        <v>0.51759999999999995</v>
      </c>
      <c r="H6" s="13">
        <v>0.52110000000000001</v>
      </c>
      <c r="I6" s="13">
        <v>0.52969999999999995</v>
      </c>
    </row>
    <row r="7" spans="1:9" x14ac:dyDescent="0.3">
      <c r="A7" s="11">
        <v>120</v>
      </c>
      <c r="B7" s="13">
        <v>0.50649999999999995</v>
      </c>
      <c r="C7" s="13">
        <v>0.47689999999999999</v>
      </c>
      <c r="D7" s="13">
        <v>0.46529999999999999</v>
      </c>
      <c r="E7" s="13">
        <v>0.49719999999999998</v>
      </c>
      <c r="F7" s="13">
        <v>0.49370000000000003</v>
      </c>
      <c r="G7" s="13">
        <v>0.50280000000000002</v>
      </c>
      <c r="H7" s="13">
        <v>0.51200000000000001</v>
      </c>
      <c r="I7" s="13">
        <v>0.52200000000000002</v>
      </c>
    </row>
    <row r="8" spans="1:9" x14ac:dyDescent="0.3">
      <c r="A8" s="11">
        <v>125</v>
      </c>
      <c r="B8">
        <v>0.49120000000000003</v>
      </c>
      <c r="C8">
        <v>0.46400000000000002</v>
      </c>
      <c r="D8">
        <v>0.45090000000000002</v>
      </c>
      <c r="E8">
        <v>0.48709999999999998</v>
      </c>
      <c r="F8">
        <v>0.47920000000000001</v>
      </c>
      <c r="G8">
        <v>0.49630000000000002</v>
      </c>
      <c r="H8">
        <v>0.50070000000000003</v>
      </c>
      <c r="I8">
        <v>0.51190000000000002</v>
      </c>
    </row>
    <row r="9" spans="1:9" x14ac:dyDescent="0.3">
      <c r="A9" s="11">
        <v>130</v>
      </c>
      <c r="B9">
        <v>0.47360000000000002</v>
      </c>
      <c r="C9">
        <v>0.44800000000000001</v>
      </c>
      <c r="D9">
        <v>0.4385</v>
      </c>
      <c r="E9">
        <v>0.4698</v>
      </c>
      <c r="F9">
        <v>0.46860000000000002</v>
      </c>
      <c r="G9">
        <v>0.48920000000000002</v>
      </c>
      <c r="H9">
        <v>0.497</v>
      </c>
      <c r="I9">
        <v>0.50449999999999995</v>
      </c>
    </row>
    <row r="10" spans="1:9" x14ac:dyDescent="0.3">
      <c r="A10" s="11">
        <v>135</v>
      </c>
      <c r="B10">
        <v>0.47</v>
      </c>
      <c r="C10">
        <v>0.43990000000000001</v>
      </c>
      <c r="D10">
        <v>0.4289</v>
      </c>
      <c r="E10">
        <v>0.4612</v>
      </c>
      <c r="F10">
        <v>0.46039999999999998</v>
      </c>
      <c r="G10">
        <v>0.4778</v>
      </c>
      <c r="H10">
        <v>0.49030000000000001</v>
      </c>
      <c r="I10">
        <v>0.50449999999999995</v>
      </c>
    </row>
    <row r="11" spans="1:9" x14ac:dyDescent="0.3">
      <c r="A11" s="11">
        <v>140</v>
      </c>
      <c r="B11">
        <v>0.46800000000000003</v>
      </c>
      <c r="C11">
        <v>0.43730000000000002</v>
      </c>
      <c r="D11">
        <v>0.42430000000000001</v>
      </c>
      <c r="E11">
        <v>0.45469999999999999</v>
      </c>
      <c r="F11">
        <v>0.4486</v>
      </c>
      <c r="G11">
        <v>0.46989999999999998</v>
      </c>
      <c r="H11">
        <v>0.48309999999999997</v>
      </c>
      <c r="I11">
        <v>0.49919999999999998</v>
      </c>
    </row>
    <row r="12" spans="1:9" x14ac:dyDescent="0.3">
      <c r="A12" s="11">
        <v>145</v>
      </c>
      <c r="B12">
        <v>0.46439999999999998</v>
      </c>
      <c r="C12">
        <v>0.436</v>
      </c>
      <c r="D12">
        <v>0.41699999999999998</v>
      </c>
      <c r="E12">
        <v>0.44679999999999997</v>
      </c>
      <c r="F12">
        <v>0.4451</v>
      </c>
      <c r="G12">
        <v>0.46710000000000002</v>
      </c>
      <c r="H12">
        <v>0.47549999999999998</v>
      </c>
      <c r="I12">
        <v>0.49259999999999998</v>
      </c>
    </row>
    <row r="13" spans="1:9" x14ac:dyDescent="0.3">
      <c r="A13" s="11">
        <v>150</v>
      </c>
      <c r="B13">
        <v>0.51900000000000002</v>
      </c>
      <c r="C13">
        <v>0.43730000000000002</v>
      </c>
      <c r="D13">
        <v>0.4158</v>
      </c>
      <c r="E13">
        <v>0.4385</v>
      </c>
      <c r="F13">
        <v>0.439</v>
      </c>
      <c r="G13">
        <v>0.45910000000000001</v>
      </c>
      <c r="H13">
        <v>0.46960000000000002</v>
      </c>
      <c r="I13">
        <v>0.4854</v>
      </c>
    </row>
    <row r="14" spans="1:9" x14ac:dyDescent="0.3">
      <c r="A14" s="11">
        <v>155</v>
      </c>
      <c r="B14">
        <v>0.51270000000000004</v>
      </c>
      <c r="C14">
        <v>0.44429999999999997</v>
      </c>
      <c r="D14">
        <v>0.4128</v>
      </c>
      <c r="E14">
        <v>0.43259999999999998</v>
      </c>
      <c r="F14">
        <v>0.43230000000000002</v>
      </c>
      <c r="G14">
        <v>0.45550000000000002</v>
      </c>
      <c r="H14">
        <v>0.46360000000000001</v>
      </c>
      <c r="I14">
        <v>0.48159999999999997</v>
      </c>
    </row>
    <row r="15" spans="1:9" x14ac:dyDescent="0.3">
      <c r="A15" s="11">
        <v>160</v>
      </c>
      <c r="B15">
        <v>0.52249999999999996</v>
      </c>
      <c r="C15">
        <v>0.44969999999999999</v>
      </c>
      <c r="D15">
        <v>0.41110000000000002</v>
      </c>
      <c r="E15">
        <v>0.42859999999999998</v>
      </c>
      <c r="F15">
        <v>0.42799999999999999</v>
      </c>
      <c r="G15">
        <v>0.44829999999999998</v>
      </c>
      <c r="H15">
        <v>0.45950000000000002</v>
      </c>
      <c r="I15">
        <v>0.47570000000000001</v>
      </c>
    </row>
  </sheetData>
  <phoneticPr fontId="4" type="noConversion"/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842EF-FCAF-422E-A1AD-33BCE04F14A9}">
  <sheetPr codeName="Foglio5"/>
  <dimension ref="A1:K31"/>
  <sheetViews>
    <sheetView topLeftCell="A4" workbookViewId="0">
      <selection activeCell="J19" sqref="J19"/>
    </sheetView>
  </sheetViews>
  <sheetFormatPr defaultRowHeight="14.4" x14ac:dyDescent="0.3"/>
  <sheetData>
    <row r="1" spans="1:11" x14ac:dyDescent="0.3">
      <c r="A1" s="13" t="s">
        <v>51</v>
      </c>
      <c r="B1">
        <f>2/12</f>
        <v>0.16666666666666666</v>
      </c>
    </row>
    <row r="2" spans="1:11" x14ac:dyDescent="0.3">
      <c r="A2" t="s">
        <v>52</v>
      </c>
      <c r="B2" t="s">
        <v>53</v>
      </c>
      <c r="C2" t="s">
        <v>54</v>
      </c>
      <c r="D2" t="s">
        <v>55</v>
      </c>
      <c r="E2" t="s">
        <v>53</v>
      </c>
      <c r="F2" t="s">
        <v>54</v>
      </c>
      <c r="G2" t="s">
        <v>56</v>
      </c>
      <c r="H2" t="s">
        <v>57</v>
      </c>
      <c r="I2" t="s">
        <v>58</v>
      </c>
      <c r="J2" t="s">
        <v>59</v>
      </c>
      <c r="K2" t="s">
        <v>60</v>
      </c>
    </row>
    <row r="3" spans="1:11" x14ac:dyDescent="0.3">
      <c r="A3">
        <v>125</v>
      </c>
      <c r="B3">
        <f>(5.55+5.7)/2</f>
        <v>5.625</v>
      </c>
      <c r="C3">
        <f>(10.4+10.65)/2</f>
        <v>10.525</v>
      </c>
      <c r="D3">
        <v>110</v>
      </c>
      <c r="E3">
        <f>(14.05+14.25)/2</f>
        <v>14.15</v>
      </c>
      <c r="F3">
        <f>(4+4.15)/2</f>
        <v>4.0750000000000002</v>
      </c>
      <c r="G3">
        <f>(E3-B3+C3-F3)</f>
        <v>14.975000000000001</v>
      </c>
      <c r="H3">
        <f>(A3-D3)</f>
        <v>15</v>
      </c>
      <c r="I3">
        <f>G3/H3</f>
        <v>0.99833333333333341</v>
      </c>
      <c r="J3">
        <f>-LN(I3)/B1</f>
        <v>1.0008342604181686E-2</v>
      </c>
      <c r="K3">
        <f>J3*100</f>
        <v>1.0008342604181686</v>
      </c>
    </row>
    <row r="5" spans="1:11" x14ac:dyDescent="0.3">
      <c r="A5" s="13" t="s">
        <v>61</v>
      </c>
      <c r="B5">
        <f>4/12</f>
        <v>0.33333333333333331</v>
      </c>
    </row>
    <row r="6" spans="1:11" x14ac:dyDescent="0.3">
      <c r="A6" t="s">
        <v>52</v>
      </c>
      <c r="B6" t="s">
        <v>53</v>
      </c>
      <c r="C6" t="s">
        <v>54</v>
      </c>
      <c r="D6" t="s">
        <v>55</v>
      </c>
      <c r="E6" t="s">
        <v>53</v>
      </c>
      <c r="F6" t="s">
        <v>54</v>
      </c>
      <c r="G6" t="s">
        <v>56</v>
      </c>
      <c r="H6" t="s">
        <v>57</v>
      </c>
      <c r="I6" t="s">
        <v>58</v>
      </c>
      <c r="J6" t="s">
        <v>59</v>
      </c>
      <c r="K6" t="s">
        <v>60</v>
      </c>
    </row>
    <row r="7" spans="1:11" x14ac:dyDescent="0.3">
      <c r="A7">
        <v>125</v>
      </c>
      <c r="B7">
        <f>(10.25+10.45)/2</f>
        <v>10.35</v>
      </c>
      <c r="C7">
        <f>(14.1+14.3)/2</f>
        <v>14.2</v>
      </c>
      <c r="D7">
        <v>110</v>
      </c>
      <c r="E7">
        <f>(18.45+18.65)/2</f>
        <v>18.549999999999997</v>
      </c>
      <c r="F7">
        <f>(7.4+7.6)/2</f>
        <v>7.5</v>
      </c>
      <c r="G7">
        <f>(E7-B7+C7-F7)</f>
        <v>14.899999999999999</v>
      </c>
      <c r="H7">
        <f>(A7-D7)</f>
        <v>15</v>
      </c>
      <c r="I7">
        <f>G7/H7</f>
        <v>0.99333333333333329</v>
      </c>
      <c r="J7">
        <f>-LN(I7)/B5</f>
        <v>2.0066964452389958E-2</v>
      </c>
      <c r="K7">
        <f>J7*100</f>
        <v>2.0066964452389957</v>
      </c>
    </row>
    <row r="9" spans="1:11" x14ac:dyDescent="0.3">
      <c r="A9" s="13" t="s">
        <v>62</v>
      </c>
      <c r="B9">
        <f>9/12</f>
        <v>0.75</v>
      </c>
    </row>
    <row r="10" spans="1:11" x14ac:dyDescent="0.3">
      <c r="A10" t="s">
        <v>52</v>
      </c>
      <c r="B10" t="s">
        <v>53</v>
      </c>
      <c r="C10" t="s">
        <v>54</v>
      </c>
      <c r="D10" t="s">
        <v>55</v>
      </c>
      <c r="E10" t="s">
        <v>53</v>
      </c>
      <c r="F10" t="s">
        <v>54</v>
      </c>
      <c r="G10" t="s">
        <v>56</v>
      </c>
      <c r="H10" t="s">
        <v>57</v>
      </c>
      <c r="I10" t="s">
        <v>58</v>
      </c>
      <c r="J10" t="s">
        <v>59</v>
      </c>
      <c r="K10" t="s">
        <v>60</v>
      </c>
    </row>
    <row r="11" spans="1:11" x14ac:dyDescent="0.3">
      <c r="A11">
        <v>125</v>
      </c>
      <c r="B11">
        <f>(17.6+17.95)/2</f>
        <v>17.774999999999999</v>
      </c>
      <c r="C11">
        <f>(19.2+19.55)/2</f>
        <v>19.375</v>
      </c>
      <c r="D11">
        <v>110</v>
      </c>
      <c r="E11">
        <f>(25.35+25.75)/2</f>
        <v>25.55</v>
      </c>
      <c r="F11">
        <f>(12.3+12.5)/2</f>
        <v>12.4</v>
      </c>
      <c r="G11">
        <f>(E11-B11+C11-F11)</f>
        <v>14.750000000000002</v>
      </c>
      <c r="H11">
        <f>(A11-D11)</f>
        <v>15</v>
      </c>
      <c r="I11">
        <f>G11/H11</f>
        <v>0.9833333333333335</v>
      </c>
      <c r="J11">
        <f>-LN(I11)/B9</f>
        <v>2.2409491088508079E-2</v>
      </c>
      <c r="K11">
        <f>J11*100</f>
        <v>2.240949108850808</v>
      </c>
    </row>
    <row r="13" spans="1:11" x14ac:dyDescent="0.3">
      <c r="A13" s="13" t="s">
        <v>63</v>
      </c>
      <c r="B13">
        <f>14/12</f>
        <v>1.1666666666666667</v>
      </c>
    </row>
    <row r="14" spans="1:11" x14ac:dyDescent="0.3">
      <c r="A14" t="s">
        <v>52</v>
      </c>
      <c r="B14" t="s">
        <v>53</v>
      </c>
      <c r="C14" t="s">
        <v>54</v>
      </c>
      <c r="D14" t="s">
        <v>55</v>
      </c>
      <c r="E14" t="s">
        <v>53</v>
      </c>
      <c r="F14" t="s">
        <v>54</v>
      </c>
      <c r="G14" t="s">
        <v>56</v>
      </c>
      <c r="H14" t="s">
        <v>57</v>
      </c>
      <c r="I14" t="s">
        <v>58</v>
      </c>
      <c r="J14" t="s">
        <v>59</v>
      </c>
      <c r="K14" t="s">
        <v>60</v>
      </c>
    </row>
    <row r="15" spans="1:11" x14ac:dyDescent="0.3">
      <c r="A15">
        <v>125</v>
      </c>
      <c r="B15">
        <f>(23.3+23.55)/2</f>
        <v>23.425000000000001</v>
      </c>
      <c r="C15">
        <f>(22.85+23.15)/2</f>
        <v>23</v>
      </c>
      <c r="D15">
        <v>110</v>
      </c>
      <c r="E15">
        <f>(30.65+30.9)/2</f>
        <v>30.774999999999999</v>
      </c>
      <c r="F15">
        <f>(15.8+16.15)/2</f>
        <v>15.975</v>
      </c>
      <c r="G15">
        <f>(E15-B15+C15-F15)</f>
        <v>14.374999999999998</v>
      </c>
      <c r="H15">
        <f>(A15-D15)</f>
        <v>15</v>
      </c>
      <c r="I15">
        <f>G15/H15</f>
        <v>0.95833333333333326</v>
      </c>
      <c r="J15">
        <f>-LN(I15)/B13</f>
        <v>3.647966950182515E-2</v>
      </c>
      <c r="K15">
        <f>J15*100</f>
        <v>3.6479669501825152</v>
      </c>
    </row>
    <row r="17" spans="1:11" x14ac:dyDescent="0.3">
      <c r="A17" s="13" t="s">
        <v>64</v>
      </c>
      <c r="B17">
        <f>21/12</f>
        <v>1.75</v>
      </c>
    </row>
    <row r="18" spans="1:11" x14ac:dyDescent="0.3">
      <c r="A18" t="s">
        <v>52</v>
      </c>
      <c r="B18" t="s">
        <v>53</v>
      </c>
      <c r="C18" t="s">
        <v>54</v>
      </c>
      <c r="D18" t="s">
        <v>55</v>
      </c>
      <c r="E18" t="s">
        <v>53</v>
      </c>
      <c r="F18" t="s">
        <v>54</v>
      </c>
      <c r="G18" t="s">
        <v>56</v>
      </c>
      <c r="H18" t="s">
        <v>57</v>
      </c>
      <c r="I18" t="s">
        <v>58</v>
      </c>
      <c r="J18" t="s">
        <v>59</v>
      </c>
      <c r="K18" t="s">
        <v>60</v>
      </c>
    </row>
    <row r="19" spans="1:11" x14ac:dyDescent="0.3">
      <c r="A19">
        <v>125</v>
      </c>
      <c r="B19">
        <f>(29.2+29.9)/2</f>
        <v>29.549999999999997</v>
      </c>
      <c r="C19">
        <f>(26.5+27.3)/2</f>
        <v>26.9</v>
      </c>
      <c r="D19">
        <v>110</v>
      </c>
      <c r="E19">
        <f>(36.2+37.1)/2</f>
        <v>36.650000000000006</v>
      </c>
      <c r="F19">
        <f>(19.3+19.8)/2</f>
        <v>19.55</v>
      </c>
      <c r="G19">
        <f>(E19-B19+C19-F19)</f>
        <v>14.450000000000006</v>
      </c>
      <c r="H19">
        <f>(A19-D19)</f>
        <v>15</v>
      </c>
      <c r="I19">
        <f>G19/H19</f>
        <v>0.96333333333333371</v>
      </c>
      <c r="J19">
        <f>-LN(I19)/B17</f>
        <v>2.1346163739296292E-2</v>
      </c>
      <c r="K19">
        <f>J19*100</f>
        <v>2.1346163739296293</v>
      </c>
    </row>
    <row r="21" spans="1:11" x14ac:dyDescent="0.3">
      <c r="A21" s="13" t="s">
        <v>67</v>
      </c>
      <c r="B21">
        <f>1/12</f>
        <v>8.3333333333333329E-2</v>
      </c>
    </row>
    <row r="22" spans="1:11" x14ac:dyDescent="0.3">
      <c r="A22" t="s">
        <v>52</v>
      </c>
      <c r="B22" t="s">
        <v>53</v>
      </c>
      <c r="C22" t="s">
        <v>54</v>
      </c>
      <c r="D22" t="s">
        <v>55</v>
      </c>
      <c r="E22" t="s">
        <v>53</v>
      </c>
      <c r="F22" t="s">
        <v>54</v>
      </c>
      <c r="G22" t="s">
        <v>56</v>
      </c>
      <c r="H22" t="s">
        <v>57</v>
      </c>
      <c r="I22" t="s">
        <v>58</v>
      </c>
      <c r="J22" t="s">
        <v>59</v>
      </c>
      <c r="K22" t="s">
        <v>60</v>
      </c>
    </row>
    <row r="23" spans="1:11" x14ac:dyDescent="0.3">
      <c r="A23">
        <v>125</v>
      </c>
      <c r="B23">
        <f>(4.05+4.25)/2</f>
        <v>4.1500000000000004</v>
      </c>
      <c r="C23">
        <f>(9.2+9.45)/2</f>
        <v>9.3249999999999993</v>
      </c>
      <c r="D23">
        <v>110</v>
      </c>
      <c r="E23">
        <f>(12.45+12.85)/2</f>
        <v>12.649999999999999</v>
      </c>
      <c r="F23">
        <f>(2.82+2.97)/2</f>
        <v>2.895</v>
      </c>
      <c r="G23">
        <f>(E23-B23+C23-F23)</f>
        <v>14.929999999999996</v>
      </c>
      <c r="H23">
        <f>(A23-D23)</f>
        <v>15</v>
      </c>
      <c r="I23">
        <f>G23/H23</f>
        <v>0.99533333333333307</v>
      </c>
      <c r="J23">
        <f>-LN(I23)/B21</f>
        <v>5.613107461333576E-2</v>
      </c>
      <c r="K23">
        <f>J23*100</f>
        <v>5.6131074613335761</v>
      </c>
    </row>
    <row r="25" spans="1:11" x14ac:dyDescent="0.3">
      <c r="A25" s="13" t="s">
        <v>68</v>
      </c>
      <c r="B25">
        <f>3/12</f>
        <v>0.25</v>
      </c>
    </row>
    <row r="26" spans="1:11" x14ac:dyDescent="0.3">
      <c r="A26" t="s">
        <v>52</v>
      </c>
      <c r="B26" t="s">
        <v>53</v>
      </c>
      <c r="C26" t="s">
        <v>54</v>
      </c>
      <c r="D26" t="s">
        <v>55</v>
      </c>
      <c r="E26" t="s">
        <v>53</v>
      </c>
      <c r="F26" t="s">
        <v>54</v>
      </c>
      <c r="G26" t="s">
        <v>56</v>
      </c>
      <c r="H26" t="s">
        <v>57</v>
      </c>
      <c r="I26" t="s">
        <v>58</v>
      </c>
      <c r="J26" t="s">
        <v>59</v>
      </c>
      <c r="K26" t="s">
        <v>60</v>
      </c>
    </row>
    <row r="27" spans="1:11" x14ac:dyDescent="0.3">
      <c r="A27">
        <v>125</v>
      </c>
      <c r="B27">
        <f>(7.9+8)/2</f>
        <v>7.95</v>
      </c>
      <c r="C27">
        <f>(12.15+12.4)/2</f>
        <v>12.275</v>
      </c>
      <c r="D27">
        <v>110</v>
      </c>
      <c r="E27">
        <f>(16.1+16.4)/2</f>
        <v>16.25</v>
      </c>
      <c r="F27">
        <f>(5.6+5.75)/2</f>
        <v>5.6749999999999998</v>
      </c>
      <c r="G27">
        <f>(E27-B27+C27-F27)</f>
        <v>14.900000000000002</v>
      </c>
      <c r="H27">
        <f>(A27-D27)</f>
        <v>15</v>
      </c>
      <c r="I27">
        <f>G27/H27</f>
        <v>0.99333333333333351</v>
      </c>
      <c r="J27">
        <f>-LN(I27)/B25</f>
        <v>2.6755952603185716E-2</v>
      </c>
      <c r="K27">
        <f>J27*100</f>
        <v>2.6755952603185715</v>
      </c>
    </row>
    <row r="29" spans="1:11" x14ac:dyDescent="0.3">
      <c r="A29" s="13" t="s">
        <v>69</v>
      </c>
      <c r="B29">
        <f>6/12</f>
        <v>0.5</v>
      </c>
    </row>
    <row r="30" spans="1:11" x14ac:dyDescent="0.3">
      <c r="A30" t="s">
        <v>52</v>
      </c>
      <c r="B30" t="s">
        <v>53</v>
      </c>
      <c r="C30" t="s">
        <v>54</v>
      </c>
      <c r="D30" t="s">
        <v>55</v>
      </c>
      <c r="E30" t="s">
        <v>53</v>
      </c>
      <c r="F30" t="s">
        <v>54</v>
      </c>
      <c r="G30" t="s">
        <v>56</v>
      </c>
      <c r="H30" t="s">
        <v>57</v>
      </c>
      <c r="I30" t="s">
        <v>58</v>
      </c>
      <c r="J30" t="s">
        <v>59</v>
      </c>
      <c r="K30" t="s">
        <v>60</v>
      </c>
    </row>
    <row r="31" spans="1:11" x14ac:dyDescent="0.3">
      <c r="A31">
        <v>125</v>
      </c>
      <c r="B31">
        <f>(13.4+13.55)/2</f>
        <v>13.475000000000001</v>
      </c>
      <c r="C31">
        <f>(16.15+16.4)/2</f>
        <v>16.274999999999999</v>
      </c>
      <c r="D31">
        <v>110</v>
      </c>
      <c r="E31">
        <f>(21.4+21.65)/2</f>
        <v>21.524999999999999</v>
      </c>
      <c r="F31">
        <f>(9.45+9.6)/2</f>
        <v>9.5249999999999986</v>
      </c>
      <c r="G31">
        <f>(E31-B31+C31-F31)</f>
        <v>14.799999999999997</v>
      </c>
      <c r="H31">
        <f>(A31-D31)</f>
        <v>15</v>
      </c>
      <c r="I31">
        <f>G31/H31</f>
        <v>0.98666666666666647</v>
      </c>
      <c r="J31">
        <f>-LN(I31)/B29</f>
        <v>2.6846040664281774E-2</v>
      </c>
      <c r="K31">
        <f>J31*100</f>
        <v>2.6846040664281774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24747-F2DD-4855-8473-55E52AC7BDA4}">
  <sheetPr codeName="Foglio4"/>
  <dimension ref="A1:V84"/>
  <sheetViews>
    <sheetView tabSelected="1" topLeftCell="I61" workbookViewId="0">
      <selection activeCell="P90" sqref="P90"/>
    </sheetView>
  </sheetViews>
  <sheetFormatPr defaultRowHeight="14.4" x14ac:dyDescent="0.3"/>
  <sheetData>
    <row r="1" spans="1:22" x14ac:dyDescent="0.3">
      <c r="A1" s="15" t="s">
        <v>65</v>
      </c>
    </row>
    <row r="2" spans="1:22" x14ac:dyDescent="0.3">
      <c r="B2" s="12" t="s">
        <v>31</v>
      </c>
      <c r="C2" s="12" t="s">
        <v>32</v>
      </c>
      <c r="D2" s="12" t="s">
        <v>35</v>
      </c>
      <c r="E2" s="12" t="s">
        <v>38</v>
      </c>
      <c r="F2" s="12" t="s">
        <v>41</v>
      </c>
      <c r="G2" s="12" t="s">
        <v>44</v>
      </c>
      <c r="H2" s="12" t="s">
        <v>47</v>
      </c>
      <c r="I2" s="12" t="s">
        <v>50</v>
      </c>
      <c r="K2" s="14" t="s">
        <v>11</v>
      </c>
      <c r="L2" s="14" t="s">
        <v>66</v>
      </c>
      <c r="M2" s="14"/>
      <c r="O2" s="12">
        <v>1</v>
      </c>
      <c r="P2" s="12">
        <v>2</v>
      </c>
      <c r="Q2" s="12">
        <v>3</v>
      </c>
      <c r="R2" s="12">
        <v>4</v>
      </c>
      <c r="S2" s="12">
        <v>6</v>
      </c>
      <c r="T2" s="12">
        <v>9</v>
      </c>
      <c r="U2" s="12">
        <v>14</v>
      </c>
      <c r="V2" s="12">
        <v>21</v>
      </c>
    </row>
    <row r="3" spans="1:22" x14ac:dyDescent="0.3">
      <c r="A3" s="11">
        <v>95</v>
      </c>
      <c r="B3">
        <v>0.69310000000000005</v>
      </c>
      <c r="C3">
        <v>0.60599999999999998</v>
      </c>
      <c r="D3">
        <v>0.57430000000000003</v>
      </c>
      <c r="E3">
        <v>0.59419999999999995</v>
      </c>
      <c r="F3">
        <v>0.56869999999999998</v>
      </c>
      <c r="G3">
        <v>0.57099999999999995</v>
      </c>
      <c r="H3">
        <v>0.44130000000000003</v>
      </c>
      <c r="I3">
        <v>0.56079999999999997</v>
      </c>
      <c r="K3">
        <v>117.93</v>
      </c>
      <c r="L3">
        <v>0</v>
      </c>
      <c r="N3" s="11">
        <v>95</v>
      </c>
      <c r="O3" cm="1">
        <f t="array" ref="O3">delta_call(K3,N3,0.08333,0.056131,L3,B3)</f>
        <v>0.8857194036587378</v>
      </c>
      <c r="P3" cm="1">
        <f t="array" ref="P3">delta_call(K3,N3,0.1666666,0.010008,L3,C3)</f>
        <v>0.84240547415153189</v>
      </c>
      <c r="Q3" cm="1">
        <f t="array" ref="Q3">delta_call(K3,N3,0.230769,0.026756,0,D3)</f>
        <v>0.82742429519158045</v>
      </c>
      <c r="R3" cm="1">
        <f t="array" ref="R3">delta_call(K3,N3,0.333333,0.020067,L3,E3)</f>
        <v>0.79425614096162933</v>
      </c>
      <c r="S3" cm="1">
        <f t="array" ref="S3">delta_call(K3,N3,0.5,0.026846,L3,F3)</f>
        <v>0.77997713382443568</v>
      </c>
      <c r="T3" cm="1">
        <f t="array" ref="T3">delta_call(K3,N3,0.75,0.022409,L3,G3)</f>
        <v>0.76376790275339279</v>
      </c>
      <c r="U3" cm="1">
        <f t="array" ref="U3">delta_call(K3,N3,1.1666666666,0.03648,L3,H3)</f>
        <v>0.78266396955967277</v>
      </c>
      <c r="V3" cm="1">
        <f t="array" ref="V3">delta_call(K3,N3,1.75,0.021346,L3,I3)</f>
        <v>0.76199455213732958</v>
      </c>
    </row>
    <row r="4" spans="1:22" x14ac:dyDescent="0.3">
      <c r="A4" s="11">
        <v>100</v>
      </c>
      <c r="B4">
        <v>0.60819999999999996</v>
      </c>
      <c r="C4">
        <v>0.57520000000000004</v>
      </c>
      <c r="D4">
        <v>0.54249999999999998</v>
      </c>
      <c r="E4">
        <v>0.56950000000000001</v>
      </c>
      <c r="F4">
        <v>0.54910000000000003</v>
      </c>
      <c r="G4">
        <v>0.55489999999999995</v>
      </c>
      <c r="H4">
        <v>0.55330000000000001</v>
      </c>
      <c r="I4">
        <v>0.55300000000000005</v>
      </c>
      <c r="K4">
        <v>117.93</v>
      </c>
      <c r="L4">
        <v>0</v>
      </c>
      <c r="N4" s="11">
        <v>100</v>
      </c>
      <c r="O4" cm="1">
        <f t="array" ref="O4">delta_call(K4,N4,0.08333,0.056131,L4,B4)</f>
        <v>0.85400795628168635</v>
      </c>
      <c r="P4" cm="1">
        <f t="array" ref="P4">delta_call(K4,N4,0.1666666,0.010008,L4,C4)</f>
        <v>0.79583383154687382</v>
      </c>
      <c r="Q4" cm="1">
        <f t="array" ref="Q4">delta_call(K4,N4,0.230769,0.026756,0,D4)</f>
        <v>0.7843085619180985</v>
      </c>
      <c r="R4" cm="1">
        <f t="array" ref="R4">delta_call(K4,N4,0.333333,0.020067,L4,E4)</f>
        <v>0.75374667750394619</v>
      </c>
      <c r="S4" cm="1">
        <f t="array" ref="S4">delta_call(K4,N4,0.5,0.026846,L4,F4)</f>
        <v>0.74327119918267215</v>
      </c>
      <c r="T4" cm="1">
        <f t="array" ref="T4">delta_call(K4,N4,0.75,0.022409,L4,G4)</f>
        <v>0.73185703491926546</v>
      </c>
      <c r="U4" cm="1">
        <f t="array" ref="U4">delta_call(K4,N4,1.1666666666,0.03648,L4,H4)</f>
        <v>0.74085639898874178</v>
      </c>
      <c r="V4" cm="1">
        <f t="array" ref="V4">delta_call(K4,N4,1.75,0.021346,L4,I4)</f>
        <v>0.73965400412702564</v>
      </c>
    </row>
    <row r="5" spans="1:22" x14ac:dyDescent="0.3">
      <c r="A5" s="11">
        <v>105</v>
      </c>
      <c r="B5">
        <v>0.59199999999999997</v>
      </c>
      <c r="C5">
        <v>0.54530000000000001</v>
      </c>
      <c r="D5">
        <v>0.52280000000000004</v>
      </c>
      <c r="E5">
        <v>0.53939999999999999</v>
      </c>
      <c r="F5">
        <v>0.53480000000000005</v>
      </c>
      <c r="G5">
        <v>0.54369999999999996</v>
      </c>
      <c r="H5">
        <v>0.53969999999999996</v>
      </c>
      <c r="I5">
        <v>0.54669999999999996</v>
      </c>
      <c r="K5">
        <v>117.93</v>
      </c>
      <c r="L5">
        <v>0</v>
      </c>
      <c r="N5" s="11">
        <v>105</v>
      </c>
      <c r="O5" cm="1">
        <f t="array" ref="O5">delta_call(K5,N5,0.08333,0.056131,L5,B5)</f>
        <v>0.78592829321209967</v>
      </c>
      <c r="P5" cm="1">
        <f t="array" ref="P5">delta_call(K5,N5,0.1666666,0.010008,L5,C5)</f>
        <v>0.73906385673409714</v>
      </c>
      <c r="Q5" cm="1">
        <f t="array" ref="Q5">delta_call(K5,N5,0.230769,0.026756,0,D5)</f>
        <v>0.72991753390627978</v>
      </c>
      <c r="R5" cm="1">
        <f t="array" ref="R5">delta_call(K5,N5,0.333333,0.020067,L5,E5)</f>
        <v>0.70887275867520472</v>
      </c>
      <c r="S5" cm="1">
        <f t="array" ref="S5">delta_call(K5,N5,0.5,0.026846,L5,F5)</f>
        <v>0.70252265383583057</v>
      </c>
      <c r="T5" cm="1">
        <f t="array" ref="T5">delta_call(K5,N5,0.75,0.022409,L5,G5)</f>
        <v>0.69768699974926851</v>
      </c>
      <c r="U5" cm="1">
        <f t="array" ref="U5">delta_call(K5,N5,1.1666666666,0.03648,L5,H5)</f>
        <v>0.71351919039063039</v>
      </c>
      <c r="V5" cm="1">
        <f t="array" ref="V5">delta_call(K5,N5,1.75,0.021346,L5,I5)</f>
        <v>0.71696047213509906</v>
      </c>
    </row>
    <row r="6" spans="1:22" x14ac:dyDescent="0.3">
      <c r="A6" s="11">
        <v>110</v>
      </c>
      <c r="B6">
        <v>0.56469999999999998</v>
      </c>
      <c r="C6">
        <v>0.52649999999999997</v>
      </c>
      <c r="D6">
        <v>0.50529999999999997</v>
      </c>
      <c r="E6">
        <v>0.52490000000000003</v>
      </c>
      <c r="F6">
        <v>0.50980000000000003</v>
      </c>
      <c r="G6">
        <v>0.52749999999999997</v>
      </c>
      <c r="H6">
        <v>0.53129999999999999</v>
      </c>
      <c r="I6">
        <v>0.53569999999999995</v>
      </c>
      <c r="K6">
        <v>117.93</v>
      </c>
      <c r="L6">
        <v>0</v>
      </c>
      <c r="N6" s="11">
        <v>110</v>
      </c>
      <c r="O6" cm="1">
        <f t="array" ref="O6">delta_call(K6,N6,0.08333,0.056131,L6,B6)</f>
        <v>0.70444548030081588</v>
      </c>
      <c r="P6" cm="1">
        <f t="array" ref="P6">delta_call(K6,N6,0.1666666,0.010008,L6,C6)</f>
        <v>0.66970159779723493</v>
      </c>
      <c r="Q6" cm="1">
        <f t="array" ref="Q6">delta_call(K6,N6,0.230769,0.026756,0,D6)</f>
        <v>0.6677029941892193</v>
      </c>
      <c r="R6" cm="1">
        <f t="array" ref="R6">delta_call(K6,N6,0.333333,0.020067,L6,E6)</f>
        <v>0.65663542954124865</v>
      </c>
      <c r="S6" cm="1">
        <f t="array" ref="S6">delta_call(K6,N6,0.5,0.026846,L6,F6)</f>
        <v>0.65931049411613796</v>
      </c>
      <c r="T6" cm="1">
        <f t="array" ref="T6">delta_call(K6,N6,0.75,0.022409,L6,G6)</f>
        <v>0.66187393152831131</v>
      </c>
      <c r="U6" cm="1">
        <f t="array" ref="U6">delta_call(K6,N6,1.1666666666,0.03648,L6,H6)</f>
        <v>0.68523867182149811</v>
      </c>
      <c r="V6" cm="1">
        <f t="array" ref="V6">delta_call(K6,N6,1.75,0.021346,L6,I6)</f>
        <v>0.69331645245095197</v>
      </c>
    </row>
    <row r="7" spans="1:22" x14ac:dyDescent="0.3">
      <c r="A7" s="11">
        <v>115</v>
      </c>
      <c r="B7" s="13">
        <v>0.52580000000000005</v>
      </c>
      <c r="C7" s="13">
        <v>0.50390000000000001</v>
      </c>
      <c r="D7" s="13">
        <v>0.48609999999999998</v>
      </c>
      <c r="E7" s="13">
        <v>0.50870000000000004</v>
      </c>
      <c r="F7" s="13">
        <v>0.50019999999999998</v>
      </c>
      <c r="G7" s="13">
        <v>0.51759999999999995</v>
      </c>
      <c r="H7" s="13">
        <v>0.52110000000000001</v>
      </c>
      <c r="I7" s="13">
        <v>0.52969999999999995</v>
      </c>
      <c r="K7">
        <v>117.93</v>
      </c>
      <c r="L7">
        <v>0</v>
      </c>
      <c r="N7" s="11">
        <v>115</v>
      </c>
      <c r="O7" cm="1">
        <f t="array" ref="O7">delta_call(K7,N7,0.08333,0.056131,L7,B7)</f>
        <v>0.6073678992971453</v>
      </c>
      <c r="P7" cm="1">
        <f t="array" ref="P7">delta_call(K7,N7,0.1666666,0.010008,L7,C7)</f>
        <v>0.59222272068585513</v>
      </c>
      <c r="Q7" cm="1">
        <f t="array" ref="Q7">delta_call(K7,N7,0.230769,0.026756,0,D7)</f>
        <v>0.59906963941600799</v>
      </c>
      <c r="R7" cm="1">
        <f t="array" ref="R7">delta_call(K7,N7,0.333333,0.020067,L7,E7)</f>
        <v>0.60074936793145783</v>
      </c>
      <c r="S7" cm="1">
        <f t="array" ref="S7">delta_call(K7,N7,0.5,0.026846,L7,F7)</f>
        <v>0.61253429681986571</v>
      </c>
      <c r="T7" cm="1">
        <f t="array" ref="T7">delta_call(K7,N7,0.75,0.022409,L7,G7)</f>
        <v>0.62466191701018658</v>
      </c>
      <c r="U7" cm="1">
        <f t="array" ref="U7">delta_call(K7,N7,1.1666666666,0.03648,L7,H7)</f>
        <v>0.65606242432458028</v>
      </c>
      <c r="V7" cm="1">
        <f t="array" ref="V7">delta_call(K7,N7,1.75,0.021346,L7,I7)</f>
        <v>0.66987843140616465</v>
      </c>
    </row>
    <row r="8" spans="1:22" x14ac:dyDescent="0.3">
      <c r="A8" s="11">
        <v>120</v>
      </c>
      <c r="B8" s="13">
        <v>0.50649999999999995</v>
      </c>
      <c r="C8" s="13">
        <v>0.47689999999999999</v>
      </c>
      <c r="D8" s="13">
        <v>0.46529999999999999</v>
      </c>
      <c r="E8" s="13">
        <v>0.49719999999999998</v>
      </c>
      <c r="F8" s="13">
        <v>0.49370000000000003</v>
      </c>
      <c r="G8" s="13">
        <v>0.50280000000000002</v>
      </c>
      <c r="H8" s="13">
        <v>0.51200000000000001</v>
      </c>
      <c r="I8" s="13">
        <v>0.52200000000000002</v>
      </c>
      <c r="K8">
        <v>117.93</v>
      </c>
      <c r="L8">
        <v>0</v>
      </c>
      <c r="N8" s="11">
        <v>120</v>
      </c>
      <c r="O8" cm="1">
        <f t="array" ref="O8">delta_call(K8,N8,0.08333,0.056131,L8,B8)</f>
        <v>0.49444955454382694</v>
      </c>
      <c r="P8" cm="1">
        <f t="array" ref="P8">delta_call(K8,N8,0.1666666,0.010008,L8,C8)</f>
        <v>0.50659829921434807</v>
      </c>
      <c r="Q8" cm="1">
        <f t="array" ref="Q8">delta_call(K8,N8,0.230769,0.026756,0,D8)</f>
        <v>0.52453464556153373</v>
      </c>
      <c r="R8" cm="1">
        <f t="array" ref="R8">delta_call(K8,N8,0.333333,0.020067,L8,E8)</f>
        <v>0.54229388704631154</v>
      </c>
      <c r="S8" cm="1">
        <f t="array" ref="S8">delta_call(K8,N8,0.5,0.026846,L8,F8)</f>
        <v>0.56480205318635979</v>
      </c>
      <c r="T8" cm="1">
        <f t="array" ref="T8">delta_call(K8,N8,0.75,0.022409,L8,G8)</f>
        <v>0.58564455073192123</v>
      </c>
      <c r="U8" cm="1">
        <f t="array" ref="U8">delta_call(K8,N8,1.1666666666,0.03648,L8,H8)</f>
        <v>0.62627594470455217</v>
      </c>
      <c r="V8" cm="1">
        <f t="array" ref="V8">delta_call(K8,N8,1.75,0.021346,L8,I8)</f>
        <v>0.64586039206673274</v>
      </c>
    </row>
    <row r="9" spans="1:22" x14ac:dyDescent="0.3">
      <c r="A9" s="11">
        <v>125</v>
      </c>
      <c r="B9">
        <v>0.49120000000000003</v>
      </c>
      <c r="C9">
        <v>0.46400000000000002</v>
      </c>
      <c r="D9">
        <v>0.45090000000000002</v>
      </c>
      <c r="E9">
        <v>0.48709999999999998</v>
      </c>
      <c r="F9">
        <v>0.47920000000000001</v>
      </c>
      <c r="G9">
        <v>0.49630000000000002</v>
      </c>
      <c r="H9">
        <v>0.50070000000000003</v>
      </c>
      <c r="I9">
        <v>0.51190000000000002</v>
      </c>
      <c r="K9">
        <v>117.93</v>
      </c>
      <c r="L9">
        <v>0</v>
      </c>
      <c r="N9" s="11">
        <v>125</v>
      </c>
      <c r="O9" cm="1">
        <f t="array" ref="O9">delta_call(K9,N9,0.08333,0.056131,L9,B9)</f>
        <v>0.37952526484384708</v>
      </c>
      <c r="P9" cm="1">
        <f t="array" ref="P9">delta_call(K9,N9,0.1666666,0.010008,L9,C9)</f>
        <v>0.41923854562874874</v>
      </c>
      <c r="Q9" cm="1">
        <f t="array" ref="Q9">delta_call(K9,N9,0.230769,0.026756,0,D9)</f>
        <v>0.44749717547114293</v>
      </c>
      <c r="R9" cm="1">
        <f t="array" ref="R9">delta_call(K9,N9,0.333333,0.020067,L9,E9)</f>
        <v>0.48299761776036138</v>
      </c>
      <c r="S9" cm="1">
        <f t="array" ref="S9">delta_call(K9,N9,0.5,0.026846,L9,F9)</f>
        <v>0.51484146108459461</v>
      </c>
      <c r="T9" cm="1">
        <f t="array" ref="T9">delta_call(K9,N9,0.75,0.022409,L9,G9)</f>
        <v>0.54718229749022651</v>
      </c>
      <c r="U9" cm="1">
        <f t="array" ref="U9">delta_call(K9,N9,1.1666666666,0.03648,L9,H9)</f>
        <v>0.59539608898226415</v>
      </c>
      <c r="V9" cm="1">
        <f t="array" ref="V9">delta_call(K9,N9,1.75,0.021346,L9,I9)</f>
        <v>0.62087340137217373</v>
      </c>
    </row>
    <row r="10" spans="1:22" x14ac:dyDescent="0.3">
      <c r="A10" s="11">
        <v>130</v>
      </c>
      <c r="B10">
        <v>0.47360000000000002</v>
      </c>
      <c r="C10">
        <v>0.44800000000000001</v>
      </c>
      <c r="D10">
        <v>0.4385</v>
      </c>
      <c r="E10">
        <v>0.4698</v>
      </c>
      <c r="F10">
        <v>0.46860000000000002</v>
      </c>
      <c r="G10">
        <v>0.48920000000000002</v>
      </c>
      <c r="H10">
        <v>0.497</v>
      </c>
      <c r="I10">
        <v>0.50449999999999995</v>
      </c>
      <c r="K10">
        <v>117.93</v>
      </c>
      <c r="L10">
        <v>0</v>
      </c>
      <c r="N10" s="11">
        <v>130</v>
      </c>
      <c r="O10" cm="1">
        <f t="array" ref="O10">delta_call(K10,N10,0.08333,0.056131,L10,B10)</f>
        <v>0.27087017149941678</v>
      </c>
      <c r="P10" cm="1">
        <f t="array" ref="P10">delta_call(K10,N10,0.1666666,0.010008,L10,C10)</f>
        <v>0.33279288002099261</v>
      </c>
      <c r="Q10" cm="1">
        <f t="array" ref="Q10">delta_call(K10,N10,0.230769,0.026756,0,D10)</f>
        <v>0.37147436356004737</v>
      </c>
      <c r="R10" cm="1">
        <f t="array" ref="R10">delta_call(K10,N10,0.333333,0.020067,L10,E10)</f>
        <v>0.42114238805955651</v>
      </c>
      <c r="S10" cm="1">
        <f t="array" ref="S10">delta_call(K10,N10,0.5,0.026846,L10,F10)</f>
        <v>0.46498042127300471</v>
      </c>
      <c r="T10" cm="1">
        <f t="array" ref="T10">delta_call(K10,N10,0.75,0.022409,L10,G10)</f>
        <v>0.50857526674663467</v>
      </c>
      <c r="U10" cm="1">
        <f t="array" ref="U10">delta_call(K10,N10,1.1666666666,0.03648,L10,H10)</f>
        <v>0.56598970358808076</v>
      </c>
      <c r="V10" cm="1">
        <f t="array" ref="V10">delta_call(K10,N10,1.75,0.021346,L10,I10)</f>
        <v>0.59625353859232444</v>
      </c>
    </row>
    <row r="11" spans="1:22" x14ac:dyDescent="0.3">
      <c r="A11" s="11">
        <v>135</v>
      </c>
      <c r="B11">
        <v>0.47</v>
      </c>
      <c r="C11">
        <v>0.43990000000000001</v>
      </c>
      <c r="D11">
        <v>0.4289</v>
      </c>
      <c r="E11">
        <v>0.4612</v>
      </c>
      <c r="F11">
        <v>0.46039999999999998</v>
      </c>
      <c r="G11">
        <v>0.4778</v>
      </c>
      <c r="H11">
        <v>0.49030000000000001</v>
      </c>
      <c r="I11">
        <v>0.50449999999999995</v>
      </c>
      <c r="K11">
        <v>117.93</v>
      </c>
      <c r="L11">
        <v>0</v>
      </c>
      <c r="N11" s="11">
        <v>135</v>
      </c>
      <c r="O11" cm="1">
        <f t="array" ref="O11">delta_call(K11,N11,0.08333,0.056131,L11,B11)</f>
        <v>0.18564268052856178</v>
      </c>
      <c r="P11" cm="1">
        <f t="array" ref="P11">delta_call(K11,N11,0.1666666,0.010008,L11,C11)</f>
        <v>0.25666577769745613</v>
      </c>
      <c r="Q11" cm="1">
        <f t="array" ref="Q11">delta_call(K11,N11,0.230769,0.026756,0,D11)</f>
        <v>0.30044275989667429</v>
      </c>
      <c r="R11" cm="1">
        <f t="array" ref="R11">delta_call(K11,N11,0.333333,0.020067,L11,E11)</f>
        <v>0.36338378144574845</v>
      </c>
      <c r="S11" cm="1">
        <f t="array" ref="S11">delta_call(K11,N11,0.5,0.026846,L11,F11)</f>
        <v>0.41635130132367654</v>
      </c>
      <c r="T11" cm="1">
        <f t="array" ref="T11">delta_call(K11,N11,0.75,0.022409,L11,G11)</f>
        <v>0.46844152030356984</v>
      </c>
      <c r="U11" cm="1">
        <f t="array" ref="U11">delta_call(K11,N11,1.1666666666,0.03648,L11,H11)</f>
        <v>0.53581417337077586</v>
      </c>
      <c r="V11" cm="1">
        <f t="array" ref="V11">delta_call(K11,N11,1.75,0.021346,L11,I11)</f>
        <v>0.57421379397810901</v>
      </c>
    </row>
    <row r="12" spans="1:22" x14ac:dyDescent="0.3">
      <c r="A12" s="11">
        <v>140</v>
      </c>
      <c r="B12">
        <v>0.46800000000000003</v>
      </c>
      <c r="C12">
        <v>0.43730000000000002</v>
      </c>
      <c r="D12">
        <v>0.42430000000000001</v>
      </c>
      <c r="E12">
        <v>0.45469999999999999</v>
      </c>
      <c r="F12">
        <v>0.4486</v>
      </c>
      <c r="G12">
        <v>0.46989999999999998</v>
      </c>
      <c r="H12">
        <v>0.48309999999999997</v>
      </c>
      <c r="I12">
        <v>0.49919999999999998</v>
      </c>
      <c r="K12">
        <v>117.93</v>
      </c>
      <c r="L12">
        <v>0</v>
      </c>
      <c r="N12" s="11">
        <v>140</v>
      </c>
      <c r="O12" cm="1">
        <f t="array" ref="O12">delta_call(K12,N12,0.08333,0.056131,L12,B12)</f>
        <v>0.12147122866570513</v>
      </c>
      <c r="P12" cm="1">
        <f t="array" ref="P12">delta_call(K12,N12,0.1666666,0.010008,L12,C12)</f>
        <v>0.19425586619886318</v>
      </c>
      <c r="Q12" cm="1">
        <f t="array" ref="Q12">delta_call(K12,N12,0.230769,0.026756,0,D12)</f>
        <v>0.23902426568822183</v>
      </c>
      <c r="R12" cm="1">
        <f t="array" ref="R12">delta_call(K12,N12,0.333333,0.020067,L12,E12)</f>
        <v>0.30968774429408119</v>
      </c>
      <c r="S12" cm="1">
        <f t="array" ref="S12">delta_call(K12,N12,0.5,0.026846,L12,F12)</f>
        <v>0.36696749639108039</v>
      </c>
      <c r="T12" cm="1">
        <f t="array" ref="T12">delta_call(K12,N12,0.75,0.022409,L12,G12)</f>
        <v>0.42983828908344313</v>
      </c>
      <c r="U12" cm="1">
        <f t="array" ref="U12">delta_call(K12,N12,1.1666666666,0.03648,L12,H12)</f>
        <v>0.50546659709942743</v>
      </c>
      <c r="V12" cm="1">
        <f t="array" ref="V12">delta_call(K12,N12,1.75,0.021346,L12,I12)</f>
        <v>0.55052180992407873</v>
      </c>
    </row>
    <row r="13" spans="1:22" x14ac:dyDescent="0.3">
      <c r="A13" s="11">
        <v>145</v>
      </c>
      <c r="B13">
        <v>0.46439999999999998</v>
      </c>
      <c r="C13">
        <v>0.436</v>
      </c>
      <c r="D13">
        <v>0.41699999999999998</v>
      </c>
      <c r="E13">
        <v>0.44679999999999997</v>
      </c>
      <c r="F13">
        <v>0.4451</v>
      </c>
      <c r="G13">
        <v>0.46710000000000002</v>
      </c>
      <c r="H13">
        <v>0.47549999999999998</v>
      </c>
      <c r="I13">
        <v>0.49259999999999998</v>
      </c>
      <c r="K13">
        <v>117.93</v>
      </c>
      <c r="L13">
        <v>0</v>
      </c>
      <c r="N13" s="11">
        <v>145</v>
      </c>
      <c r="O13" cm="1">
        <f t="array" ref="O13">delta_call(K13,N13,0.08333,0.056131,L13,B13)</f>
        <v>7.500152708555223E-2</v>
      </c>
      <c r="P13" cm="1">
        <f t="array" ref="P13">delta_call(K13,N13,0.1666666,0.010008,L13,C13)</f>
        <v>0.1439888232331436</v>
      </c>
      <c r="Q13" cm="1">
        <f t="array" ref="Q13">delta_call(K13,N13,0.230769,0.026756,0,D13)</f>
        <v>0.18390639420141366</v>
      </c>
      <c r="R13" cm="1">
        <f t="array" ref="R13">delta_call(K13,N13,0.333333,0.020067,L13,E13)</f>
        <v>0.25908983805494434</v>
      </c>
      <c r="S13" cm="1">
        <f t="array" ref="S13">delta_call(K13,N13,0.5,0.026846,L13,F13)</f>
        <v>0.32399776890133675</v>
      </c>
      <c r="T13" cm="1">
        <f t="array" ref="T13">delta_call(K13,N13,0.75,0.022409,L13,G13)</f>
        <v>0.39472468683771617</v>
      </c>
      <c r="U13" cm="1">
        <f t="array" ref="U13">delta_call(K13,N13,1.1666666666,0.03648,L13,H13)</f>
        <v>0.47501195241930094</v>
      </c>
      <c r="V13" cm="1">
        <f t="array" ref="V13">delta_call(K13,N13,1.75,0.021346,L13,I13)</f>
        <v>0.52632763977377028</v>
      </c>
    </row>
    <row r="14" spans="1:22" x14ac:dyDescent="0.3">
      <c r="A14" s="11">
        <v>150</v>
      </c>
      <c r="B14">
        <v>0.51900000000000002</v>
      </c>
      <c r="C14">
        <v>0.43730000000000002</v>
      </c>
      <c r="D14">
        <v>0.4158</v>
      </c>
      <c r="E14">
        <v>0.4385</v>
      </c>
      <c r="F14">
        <v>0.439</v>
      </c>
      <c r="G14">
        <v>0.45910000000000001</v>
      </c>
      <c r="H14">
        <v>0.46960000000000002</v>
      </c>
      <c r="I14">
        <v>0.4854</v>
      </c>
      <c r="K14">
        <v>117.93</v>
      </c>
      <c r="L14">
        <v>0</v>
      </c>
      <c r="N14" s="11">
        <v>150</v>
      </c>
      <c r="O14" cm="1">
        <f t="array" ref="O14">delta_call(K14,N14,0.08333,0.056131,L14,B14)</f>
        <v>6.6881020493249663E-2</v>
      </c>
      <c r="P14" cm="1">
        <f t="array" ref="P14">delta_call(K14,N14,0.1666666,0.010008,L14,C14)</f>
        <v>0.1058735358572845</v>
      </c>
      <c r="Q14" cm="1">
        <f t="array" ref="Q14">delta_call(K14,N14,0.230769,0.026756,0,D14)</f>
        <v>0.1415280211968907</v>
      </c>
      <c r="R14" cm="1">
        <f t="array" ref="R14">delta_call(K14,N14,0.333333,0.020067,L14,E14)</f>
        <v>0.21268744401059886</v>
      </c>
      <c r="S14" cm="1">
        <f t="array" ref="S14">delta_call(K14,N14,0.5,0.026846,L14,F14)</f>
        <v>0.28215631425423282</v>
      </c>
      <c r="T14" cm="1">
        <f t="array" ref="T14">delta_call(K14,N14,0.75,0.022409,L14,G14)</f>
        <v>0.35795348806361421</v>
      </c>
      <c r="U14" cm="1">
        <f t="array" ref="U14">delta_call(K14,N14,1.1666666666,0.03648,L14,H14)</f>
        <v>0.44562836829902958</v>
      </c>
      <c r="V14" cm="1">
        <f t="array" ref="V14">delta_call(K14,N14,1.75,0.021346,L14,I14)</f>
        <v>0.50184704373020428</v>
      </c>
    </row>
    <row r="15" spans="1:22" x14ac:dyDescent="0.3">
      <c r="A15" s="11">
        <v>155</v>
      </c>
      <c r="B15">
        <v>0.51270000000000004</v>
      </c>
      <c r="C15">
        <v>0.44429999999999997</v>
      </c>
      <c r="D15">
        <v>0.4128</v>
      </c>
      <c r="E15">
        <v>0.43259999999999998</v>
      </c>
      <c r="F15">
        <v>0.43230000000000002</v>
      </c>
      <c r="G15">
        <v>0.45550000000000002</v>
      </c>
      <c r="H15">
        <v>0.46360000000000001</v>
      </c>
      <c r="I15">
        <v>0.48159999999999997</v>
      </c>
      <c r="K15">
        <v>117.93</v>
      </c>
      <c r="L15">
        <v>0</v>
      </c>
      <c r="N15" s="11">
        <v>155</v>
      </c>
      <c r="O15" cm="1">
        <f t="array" ref="O15">delta_call(K15,N15,0.08333,0.056131,L15,B15)</f>
        <v>4.0821057380795236E-2</v>
      </c>
      <c r="P15" cm="1">
        <f t="array" ref="P15">delta_call(K15,N15,0.1666666,0.010008,L15,C15)</f>
        <v>7.9707609056768269E-2</v>
      </c>
      <c r="Q15" cm="1">
        <f t="array" ref="Q15">delta_call(K15,N15,0.230769,0.026756,0,D15)</f>
        <v>0.10600092292857845</v>
      </c>
      <c r="R15" cm="1">
        <f t="array" ref="R15">delta_call(K15,N15,0.333333,0.020067,L15,E15)</f>
        <v>0.17291287982452899</v>
      </c>
      <c r="S15" cm="1">
        <f t="array" ref="S15">delta_call(K15,N15,0.5,0.026846,L15,F15)</f>
        <v>0.24276882419824847</v>
      </c>
      <c r="T15" cm="1">
        <f t="array" ref="T15">delta_call(K15,N15,0.75,0.022409,L15,G15)</f>
        <v>0.3252514948543197</v>
      </c>
      <c r="U15" cm="1">
        <f t="array" ref="U15">delta_call(K15,N15,1.1666666666,0.03648,L15,H15)</f>
        <v>0.41664330441145259</v>
      </c>
      <c r="V15" cm="1">
        <f t="array" ref="V15">delta_call(K15,N15,1.75,0.021346,L15,I15)</f>
        <v>0.47932493680518645</v>
      </c>
    </row>
    <row r="16" spans="1:22" x14ac:dyDescent="0.3">
      <c r="A16" s="11">
        <v>160</v>
      </c>
      <c r="B16">
        <v>0.52249999999999996</v>
      </c>
      <c r="C16">
        <v>0.44969999999999999</v>
      </c>
      <c r="D16">
        <v>0.41110000000000002</v>
      </c>
      <c r="E16">
        <v>0.42859999999999998</v>
      </c>
      <c r="F16">
        <v>0.42799999999999999</v>
      </c>
      <c r="G16">
        <v>0.44829999999999998</v>
      </c>
      <c r="H16">
        <v>0.45950000000000002</v>
      </c>
      <c r="I16">
        <v>0.47570000000000001</v>
      </c>
      <c r="K16">
        <v>117.93</v>
      </c>
      <c r="L16">
        <v>0</v>
      </c>
      <c r="N16" s="11">
        <v>160</v>
      </c>
      <c r="O16" cm="1">
        <f t="array" ref="O16">delta_call(K16,N16,0.08333,0.056131,L16,B16)</f>
        <v>2.7665420376977733E-2</v>
      </c>
      <c r="P16" cm="1">
        <f t="array" ref="P16">delta_call(K16,N16,0.1666666,0.010008,L16,C16)</f>
        <v>5.9275168375104256E-2</v>
      </c>
      <c r="Q16" cm="1">
        <f t="array" ref="Q16">delta_call(K16,N16,0.230769,0.026756,0,D16)</f>
        <v>7.8560116276456121E-2</v>
      </c>
      <c r="R16" cm="1">
        <f t="array" ref="R16">delta_call(K16,N16,0.333333,0.020067,L16,E16)</f>
        <v>0.13959572566815076</v>
      </c>
      <c r="S16" cm="1">
        <f t="array" ref="S16">delta_call(K16,N16,0.5,0.026846,L16,F16)</f>
        <v>0.20828347253758364</v>
      </c>
      <c r="T16" cm="1">
        <f t="array" ref="T16">delta_call(K16,N16,0.75,0.022409,L16,G16)</f>
        <v>0.29170807911629454</v>
      </c>
      <c r="U16" cm="1">
        <f t="array" ref="U16">delta_call(K16,N16,1.1666666666,0.03648,L16,H16)</f>
        <v>0.38943831173173504</v>
      </c>
      <c r="V16" cm="1">
        <f t="array" ref="V16">delta_call(K16,N16,1.75,0.021346,L16,I16)</f>
        <v>0.45588913582481544</v>
      </c>
    </row>
    <row r="18" spans="1:22" x14ac:dyDescent="0.3">
      <c r="A18" s="15" t="s">
        <v>70</v>
      </c>
    </row>
    <row r="19" spans="1:22" x14ac:dyDescent="0.3">
      <c r="B19" s="12" t="s">
        <v>31</v>
      </c>
      <c r="C19" s="12" t="s">
        <v>32</v>
      </c>
      <c r="D19" s="12" t="s">
        <v>35</v>
      </c>
      <c r="E19" s="12" t="s">
        <v>38</v>
      </c>
      <c r="F19" s="12" t="s">
        <v>41</v>
      </c>
      <c r="G19" s="12" t="s">
        <v>44</v>
      </c>
      <c r="H19" s="12" t="s">
        <v>47</v>
      </c>
      <c r="I19" s="12" t="s">
        <v>50</v>
      </c>
      <c r="K19" s="14" t="s">
        <v>11</v>
      </c>
      <c r="L19" s="14" t="s">
        <v>66</v>
      </c>
      <c r="M19" s="14"/>
      <c r="O19" s="12">
        <v>1</v>
      </c>
      <c r="P19" s="12">
        <v>2</v>
      </c>
      <c r="Q19" s="12">
        <v>3</v>
      </c>
      <c r="R19" s="12">
        <v>4</v>
      </c>
      <c r="S19" s="12">
        <v>6</v>
      </c>
      <c r="T19" s="12">
        <v>9</v>
      </c>
      <c r="U19" s="12">
        <v>14</v>
      </c>
      <c r="V19" s="12">
        <v>21</v>
      </c>
    </row>
    <row r="20" spans="1:22" x14ac:dyDescent="0.3">
      <c r="A20" s="11">
        <v>95</v>
      </c>
      <c r="B20">
        <v>0.69310000000000005</v>
      </c>
      <c r="C20">
        <v>0.60599999999999998</v>
      </c>
      <c r="D20">
        <v>0.57430000000000003</v>
      </c>
      <c r="E20">
        <v>0.59419999999999995</v>
      </c>
      <c r="F20">
        <v>0.56869999999999998</v>
      </c>
      <c r="G20">
        <v>0.57099999999999995</v>
      </c>
      <c r="H20">
        <v>0.44130000000000003</v>
      </c>
      <c r="I20">
        <v>0.56079999999999997</v>
      </c>
      <c r="K20">
        <v>117.93</v>
      </c>
      <c r="L20">
        <v>0</v>
      </c>
      <c r="N20" s="11">
        <v>95</v>
      </c>
      <c r="O20" cm="1">
        <f t="array" ref="O20">theta_call(K20,N20,0.08333,0.056131,L20,B20)</f>
        <v>-31.870422148251137</v>
      </c>
      <c r="P20" cm="1">
        <f t="array" ref="P20">theta_call(K20,N20,0.1666666,0.010008,L20,C20)</f>
        <v>-21.824474453558796</v>
      </c>
      <c r="Q20" cm="1">
        <f t="array" ref="Q20">theta_call(K20,N20,0.230769,0.026756,0,D20)</f>
        <v>-19.923771783255557</v>
      </c>
      <c r="R20" cm="1">
        <f t="array" ref="R20">theta_call(K20,N20,0.333333,0.020067,L20,E20)</f>
        <v>-18.591779849565892</v>
      </c>
      <c r="S20" cm="1">
        <f t="array" ref="S20">theta_call(K20,N20,0.5,0.026846,L20,F20)</f>
        <v>-15.708013039514679</v>
      </c>
      <c r="T20" cm="1">
        <f t="array" ref="T20">theta_call(K20,N20,0.75,0.022409,L20,G20)</f>
        <v>-13.255965092760306</v>
      </c>
      <c r="U20" cm="1">
        <f t="array" ref="U20">theta_call(K20,N20,1.1666666666,0.03648,L20,H20)</f>
        <v>-9.3241736175235577</v>
      </c>
      <c r="V20" cm="1">
        <f t="array" ref="V20">theta_call(K20,N20,1.75,0.021346,L20,I20)</f>
        <v>-8.7635032436865412</v>
      </c>
    </row>
    <row r="21" spans="1:22" x14ac:dyDescent="0.3">
      <c r="A21" s="11">
        <v>100</v>
      </c>
      <c r="B21">
        <v>0.60819999999999996</v>
      </c>
      <c r="C21">
        <v>0.57520000000000004</v>
      </c>
      <c r="D21">
        <v>0.54249999999999998</v>
      </c>
      <c r="E21">
        <v>0.56950000000000001</v>
      </c>
      <c r="F21">
        <v>0.54910000000000003</v>
      </c>
      <c r="G21">
        <v>0.55489999999999995</v>
      </c>
      <c r="H21">
        <v>0.55330000000000001</v>
      </c>
      <c r="I21">
        <v>0.55300000000000005</v>
      </c>
      <c r="K21">
        <v>117.93</v>
      </c>
      <c r="L21">
        <v>0</v>
      </c>
      <c r="N21" s="11">
        <v>100</v>
      </c>
      <c r="O21" cm="1">
        <f t="array" ref="O21">theta_call(K21,N21,0.08333,0.056131,L21,B21)</f>
        <v>-33.014255181605144</v>
      </c>
      <c r="P21" cm="1">
        <f t="array" ref="P21">theta_call(K21,N21,0.1666666,0.010008,L21,C21)</f>
        <v>-24.272429909331031</v>
      </c>
      <c r="Q21" cm="1">
        <f t="array" ref="Q21">theta_call(K21,N21,0.230769,0.026756,0,D21)</f>
        <v>-21.379283856566609</v>
      </c>
      <c r="R21" cm="1">
        <f t="array" ref="R21">theta_call(K21,N21,0.333333,0.020067,L21,E21)</f>
        <v>-19.626857684790046</v>
      </c>
      <c r="S21" cm="1">
        <f t="array" ref="S21">theta_call(K21,N21,0.5,0.026846,L21,F21)</f>
        <v>-16.400182674635047</v>
      </c>
      <c r="T21" cm="1">
        <f t="array" ref="T21">theta_call(K21,N21,0.75,0.022409,L21,G21)</f>
        <v>-13.713465724584655</v>
      </c>
      <c r="U21" cm="1">
        <f t="array" ref="U21">theta_call(K21,N21,1.1666666666,0.03648,L21,H21)</f>
        <v>-11.757547202706069</v>
      </c>
      <c r="V21" cm="1">
        <f t="array" ref="V21">theta_call(K21,N21,1.75,0.021346,L21,I21)</f>
        <v>-9.0298937445411198</v>
      </c>
    </row>
    <row r="22" spans="1:22" x14ac:dyDescent="0.3">
      <c r="A22" s="11">
        <v>105</v>
      </c>
      <c r="B22">
        <v>0.59199999999999997</v>
      </c>
      <c r="C22">
        <v>0.54530000000000001</v>
      </c>
      <c r="D22">
        <v>0.52280000000000004</v>
      </c>
      <c r="E22">
        <v>0.53939999999999999</v>
      </c>
      <c r="F22">
        <v>0.53480000000000005</v>
      </c>
      <c r="G22">
        <v>0.54369999999999996</v>
      </c>
      <c r="H22">
        <v>0.53969999999999996</v>
      </c>
      <c r="I22">
        <v>0.54669999999999996</v>
      </c>
      <c r="K22">
        <v>117.93</v>
      </c>
      <c r="L22">
        <v>0</v>
      </c>
      <c r="N22" s="11">
        <v>105</v>
      </c>
      <c r="O22" cm="1">
        <f t="array" ref="O22">theta_call(K22,N22,0.08333,0.056131,L22,B22)</f>
        <v>-39.583807525666153</v>
      </c>
      <c r="P22" cm="1">
        <f t="array" ref="P22">theta_call(K22,N22,0.1666666,0.010008,L22,C22)</f>
        <v>-26.291106160148161</v>
      </c>
      <c r="Q22" cm="1">
        <f t="array" ref="Q22">theta_call(K22,N22,0.230769,0.026756,0,D22)</f>
        <v>-23.033478181805219</v>
      </c>
      <c r="R22" cm="1">
        <f t="array" ref="R22">theta_call(K22,N22,0.333333,0.020067,L22,E22)</f>
        <v>-20.152160635312079</v>
      </c>
      <c r="S22" cm="1">
        <f t="array" ref="S22">theta_call(K22,N22,0.5,0.026846,L22,F22)</f>
        <v>-17.049204389188393</v>
      </c>
      <c r="T22" cm="1">
        <f t="array" ref="T22">theta_call(K22,N22,0.75,0.022409,L22,G22)</f>
        <v>-14.156968330466617</v>
      </c>
      <c r="U22" cm="1">
        <f t="array" ref="U22">theta_call(K22,N22,1.1666666666,0.03648,L22,H22)</f>
        <v>-11.995089627901734</v>
      </c>
      <c r="V22" cm="1">
        <f t="array" ref="V22">theta_call(K22,N22,1.75,0.021346,L22,I22)</f>
        <v>-9.2709375584947988</v>
      </c>
    </row>
    <row r="23" spans="1:22" x14ac:dyDescent="0.3">
      <c r="A23" s="11">
        <v>110</v>
      </c>
      <c r="B23">
        <v>0.56469999999999998</v>
      </c>
      <c r="C23">
        <v>0.52649999999999997</v>
      </c>
      <c r="D23">
        <v>0.50529999999999997</v>
      </c>
      <c r="E23">
        <v>0.52490000000000003</v>
      </c>
      <c r="F23">
        <v>0.50980000000000003</v>
      </c>
      <c r="G23">
        <v>0.52749999999999997</v>
      </c>
      <c r="H23">
        <v>0.53129999999999999</v>
      </c>
      <c r="I23">
        <v>0.53569999999999995</v>
      </c>
      <c r="K23">
        <v>117.93</v>
      </c>
      <c r="L23">
        <v>0</v>
      </c>
      <c r="N23" s="11">
        <v>110</v>
      </c>
      <c r="O23" cm="1">
        <f t="array" ref="O23">theta_call(K23,N23,0.08333,0.056131,L23,B23)</f>
        <v>-43.840201695563259</v>
      </c>
      <c r="P23" cm="1">
        <f t="array" ref="P23">theta_call(K23,N23,0.1666666,0.010008,L23,C23)</f>
        <v>-28.198574295333266</v>
      </c>
      <c r="Q23" cm="1">
        <f t="array" ref="Q23">theta_call(K23,N23,0.230769,0.026756,0,D23)</f>
        <v>-24.228677779995568</v>
      </c>
      <c r="R23" cm="1">
        <f t="array" ref="R23">theta_call(K23,N23,0.333333,0.020067,L23,E23)</f>
        <v>-20.916003907239759</v>
      </c>
      <c r="S23" cm="1">
        <f t="array" ref="S23">theta_call(K23,N23,0.5,0.026846,L23,F23)</f>
        <v>-17.14508968016046</v>
      </c>
      <c r="T23" cm="1">
        <f t="array" ref="T23">theta_call(K23,N23,0.75,0.022409,L23,G23)</f>
        <v>-14.346152105774907</v>
      </c>
      <c r="U23" cm="1">
        <f t="array" ref="U23">theta_call(K23,N23,1.1666666666,0.03648,L23,H23)</f>
        <v>-12.241084627342412</v>
      </c>
      <c r="V23" cm="1">
        <f t="array" ref="V23">theta_call(K23,N23,1.75,0.021346,L23,I23)</f>
        <v>-9.4066389837455517</v>
      </c>
    </row>
    <row r="24" spans="1:22" x14ac:dyDescent="0.3">
      <c r="A24" s="11">
        <v>115</v>
      </c>
      <c r="B24" s="13">
        <v>0.52580000000000005</v>
      </c>
      <c r="C24" s="13">
        <v>0.50390000000000001</v>
      </c>
      <c r="D24" s="13">
        <v>0.48609999999999998</v>
      </c>
      <c r="E24" s="13">
        <v>0.50870000000000004</v>
      </c>
      <c r="F24" s="13">
        <v>0.50019999999999998</v>
      </c>
      <c r="G24" s="13">
        <v>0.51759999999999995</v>
      </c>
      <c r="H24" s="13">
        <v>0.52110000000000001</v>
      </c>
      <c r="I24" s="13">
        <v>0.52969999999999995</v>
      </c>
      <c r="K24">
        <v>117.93</v>
      </c>
      <c r="L24">
        <v>0</v>
      </c>
      <c r="N24" s="11">
        <v>115</v>
      </c>
      <c r="O24" cm="1">
        <f t="array" ref="O24">theta_call(K24,N24,0.08333,0.056131,L24,B24)</f>
        <v>-44.840243623046021</v>
      </c>
      <c r="P24" cm="1">
        <f t="array" ref="P24">theta_call(K24,N24,0.1666666,0.010008,L24,C24)</f>
        <v>-28.844964881022435</v>
      </c>
      <c r="Q24" cm="1">
        <f t="array" ref="Q24">theta_call(K24,N24,0.230769,0.026756,0,D24)</f>
        <v>-24.635256357150091</v>
      </c>
      <c r="R24" cm="1">
        <f t="array" ref="R24">theta_call(K24,N24,0.333333,0.020067,L24,E24)</f>
        <v>-21.188046930288802</v>
      </c>
      <c r="S24" cm="1">
        <f t="array" ref="S24">theta_call(K24,N24,0.5,0.026846,L24,F24)</f>
        <v>-17.453841467502322</v>
      </c>
      <c r="T24" cm="1">
        <f t="array" ref="T24">theta_call(K24,N24,0.75,0.022409,L24,G24)</f>
        <v>-14.541605676731605</v>
      </c>
      <c r="U24" cm="1">
        <f t="array" ref="U24">theta_call(K24,N24,1.1666666666,0.03648,L24,H24)</f>
        <v>-12.377653077387697</v>
      </c>
      <c r="V24" cm="1">
        <f t="array" ref="V24">theta_call(K24,N24,1.75,0.021346,L24,I24)</f>
        <v>-9.5633915654289368</v>
      </c>
    </row>
    <row r="25" spans="1:22" x14ac:dyDescent="0.3">
      <c r="A25" s="11">
        <v>120</v>
      </c>
      <c r="B25" s="13">
        <v>0.50649999999999995</v>
      </c>
      <c r="C25" s="13">
        <v>0.47689999999999999</v>
      </c>
      <c r="D25" s="13">
        <v>0.46529999999999999</v>
      </c>
      <c r="E25" s="13">
        <v>0.49719999999999998</v>
      </c>
      <c r="F25" s="13">
        <v>0.49370000000000003</v>
      </c>
      <c r="G25" s="13">
        <v>0.50280000000000002</v>
      </c>
      <c r="H25" s="13">
        <v>0.51200000000000001</v>
      </c>
      <c r="I25" s="13">
        <v>0.52200000000000002</v>
      </c>
      <c r="K25">
        <v>117.93</v>
      </c>
      <c r="L25">
        <v>0</v>
      </c>
      <c r="N25" s="11">
        <v>120</v>
      </c>
      <c r="O25" cm="1">
        <f t="array" ref="O25">theta_call(K25,N25,0.08333,0.056131,L25,B25)</f>
        <v>-44.223821632635861</v>
      </c>
      <c r="P25" cm="1">
        <f t="array" ref="P25">theta_call(K25,N25,0.1666666,0.010008,L25,C25)</f>
        <v>-27.992085667786458</v>
      </c>
      <c r="Q25" cm="1">
        <f t="array" ref="Q25">theta_call(K25,N25,0.230769,0.026756,0,D25)</f>
        <v>-24.149322383192374</v>
      </c>
      <c r="R25" cm="1">
        <f t="array" ref="R25">theta_call(K25,N25,0.333333,0.020067,L25,E25)</f>
        <v>-21.182192642768289</v>
      </c>
      <c r="S25" cm="1">
        <f t="array" ref="S25">theta_call(K25,N25,0.5,0.026846,L25,F25)</f>
        <v>-17.598691696037825</v>
      </c>
      <c r="T25" cm="1">
        <f t="array" ref="T25">theta_call(K25,N25,0.75,0.022409,L25,G25)</f>
        <v>-14.471707426094792</v>
      </c>
      <c r="U25" cm="1">
        <f t="array" ref="U25">theta_call(K25,N25,1.1666666666,0.03648,L25,H25)</f>
        <v>-12.453993121089891</v>
      </c>
      <c r="V25" cm="1">
        <f t="array" ref="V25">theta_call(K25,N25,1.75,0.021346,L25,I25)</f>
        <v>-9.6541734850789158</v>
      </c>
    </row>
    <row r="26" spans="1:22" x14ac:dyDescent="0.3">
      <c r="A26" s="11">
        <v>125</v>
      </c>
      <c r="B26">
        <v>0.49120000000000003</v>
      </c>
      <c r="C26">
        <v>0.46400000000000002</v>
      </c>
      <c r="D26">
        <v>0.45090000000000002</v>
      </c>
      <c r="E26">
        <v>0.48709999999999998</v>
      </c>
      <c r="F26">
        <v>0.47920000000000001</v>
      </c>
      <c r="G26">
        <v>0.49630000000000002</v>
      </c>
      <c r="H26">
        <v>0.50070000000000003</v>
      </c>
      <c r="I26">
        <v>0.51190000000000002</v>
      </c>
      <c r="K26">
        <v>117.93</v>
      </c>
      <c r="L26">
        <v>0</v>
      </c>
      <c r="N26" s="11">
        <v>125</v>
      </c>
      <c r="O26" cm="1">
        <f t="array" ref="O26">theta_call(K26,N26,0.08333,0.056131,L26,B26)</f>
        <v>-40.492804993953314</v>
      </c>
      <c r="P26" cm="1">
        <f t="array" ref="P26">theta_call(K26,N26,0.1666666,0.010008,L26,C26)</f>
        <v>-26.621265448056803</v>
      </c>
      <c r="Q26" cm="1">
        <f t="array" ref="Q26">theta_call(K26,N26,0.230769,0.026756,0,D26)</f>
        <v>-23.112270491169998</v>
      </c>
      <c r="R26" cm="1">
        <f t="array" ref="R26">theta_call(K26,N26,0.333333,0.020067,L26,E26)</f>
        <v>-20.770406470781296</v>
      </c>
      <c r="S26" cm="1">
        <f t="array" ref="S26">theta_call(K26,N26,0.5,0.026846,L26,F26)</f>
        <v>-17.228124192316265</v>
      </c>
      <c r="T26" cm="1">
        <f t="array" ref="T26">theta_call(K26,N26,0.75,0.022409,L26,G26)</f>
        <v>-14.46268364300672</v>
      </c>
      <c r="U26" cm="1">
        <f t="array" ref="U26">theta_call(K26,N26,1.1666666666,0.03648,L26,H26)</f>
        <v>-12.410527168170761</v>
      </c>
      <c r="V26" cm="1">
        <f t="array" ref="V26">theta_call(K26,N26,1.75,0.021346,L26,I26)</f>
        <v>-9.6674366328770276</v>
      </c>
    </row>
    <row r="27" spans="1:22" x14ac:dyDescent="0.3">
      <c r="A27" s="11">
        <v>130</v>
      </c>
      <c r="B27">
        <v>0.47360000000000002</v>
      </c>
      <c r="C27">
        <v>0.44800000000000001</v>
      </c>
      <c r="D27">
        <v>0.4385</v>
      </c>
      <c r="E27">
        <v>0.4698</v>
      </c>
      <c r="F27">
        <v>0.46860000000000002</v>
      </c>
      <c r="G27">
        <v>0.48920000000000002</v>
      </c>
      <c r="H27">
        <v>0.497</v>
      </c>
      <c r="I27">
        <v>0.50449999999999995</v>
      </c>
      <c r="K27">
        <v>117.93</v>
      </c>
      <c r="L27">
        <v>0</v>
      </c>
      <c r="N27" s="11">
        <v>130</v>
      </c>
      <c r="O27" cm="1">
        <f t="array" ref="O27">theta_call(K27,N27,0.08333,0.056131,L27,B27)</f>
        <v>-33.70638421849565</v>
      </c>
      <c r="P27" cm="1">
        <f t="array" ref="P27">theta_call(K27,N27,0.1666666,0.010008,L27,C27)</f>
        <v>-23.863064813806361</v>
      </c>
      <c r="Q27" cm="1">
        <f t="array" ref="Q27">theta_call(K27,N27,0.230769,0.026756,0,D27)</f>
        <v>-21.381151243535435</v>
      </c>
      <c r="R27" cm="1">
        <f t="array" ref="R27">theta_call(K27,N27,0.333333,0.020067,L27,E27)</f>
        <v>-19.604451088129721</v>
      </c>
      <c r="S27" cm="1">
        <f t="array" ref="S27">theta_call(K27,N27,0.5,0.026846,L27,F27)</f>
        <v>-16.722873878887597</v>
      </c>
      <c r="T27" cm="1">
        <f t="array" ref="T27">theta_call(K27,N27,0.75,0.022409,L27,G27)</f>
        <v>-14.303417104400127</v>
      </c>
      <c r="U27" cm="1">
        <f t="array" ref="U27">theta_call(K27,N27,1.1666666666,0.03648,L27,H27)</f>
        <v>-12.434548654164091</v>
      </c>
      <c r="V27" cm="1">
        <f t="array" ref="V27">theta_call(K27,N27,1.75,0.021346,L27,I27)</f>
        <v>-9.6762600453422909</v>
      </c>
    </row>
    <row r="28" spans="1:22" x14ac:dyDescent="0.3">
      <c r="A28" s="11">
        <v>135</v>
      </c>
      <c r="B28">
        <v>0.47</v>
      </c>
      <c r="C28">
        <v>0.43990000000000001</v>
      </c>
      <c r="D28">
        <v>0.4289</v>
      </c>
      <c r="E28">
        <v>0.4612</v>
      </c>
      <c r="F28">
        <v>0.46039999999999998</v>
      </c>
      <c r="G28">
        <v>0.4778</v>
      </c>
      <c r="H28">
        <v>0.49030000000000001</v>
      </c>
      <c r="I28">
        <v>0.50449999999999995</v>
      </c>
      <c r="K28">
        <v>117.93</v>
      </c>
      <c r="L28">
        <v>0</v>
      </c>
      <c r="N28" s="11">
        <v>135</v>
      </c>
      <c r="O28" cm="1">
        <f t="array" ref="O28">theta_call(K28,N28,0.08333,0.056131,L28,B28)</f>
        <v>-26.835561636160925</v>
      </c>
      <c r="P28" cm="1">
        <f t="array" ref="P28">theta_call(K28,N28,0.1666666,0.010008,L28,C28)</f>
        <v>-20.745533420334464</v>
      </c>
      <c r="Q28" cm="1">
        <f t="array" ref="Q28">theta_call(K28,N28,0.230769,0.026756,0,D28)</f>
        <v>-19.163318225616639</v>
      </c>
      <c r="R28" cm="1">
        <f t="array" ref="R28">theta_call(K28,N28,0.333333,0.020067,L28,E28)</f>
        <v>-18.412058466237234</v>
      </c>
      <c r="S28" cm="1">
        <f t="array" ref="S28">theta_call(K28,N28,0.5,0.026846,L28,F28)</f>
        <v>-16.064584183195116</v>
      </c>
      <c r="T28" cm="1">
        <f t="array" ref="T28">theta_call(K28,N28,0.75,0.022409,L28,G28)</f>
        <v>-13.89456818632609</v>
      </c>
      <c r="U28" cm="1">
        <f t="array" ref="U28">theta_call(K28,N28,1.1666666666,0.03648,L28,H28)</f>
        <v>-12.331274164136669</v>
      </c>
      <c r="V28" cm="1">
        <f t="array" ref="V28">theta_call(K28,N28,1.75,0.021346,L28,I28)</f>
        <v>-9.7592680407179184</v>
      </c>
    </row>
    <row r="29" spans="1:22" x14ac:dyDescent="0.3">
      <c r="A29" s="11">
        <v>140</v>
      </c>
      <c r="B29">
        <v>0.46800000000000003</v>
      </c>
      <c r="C29">
        <v>0.43730000000000002</v>
      </c>
      <c r="D29">
        <v>0.42430000000000001</v>
      </c>
      <c r="E29">
        <v>0.45469999999999999</v>
      </c>
      <c r="F29">
        <v>0.4486</v>
      </c>
      <c r="G29">
        <v>0.46989999999999998</v>
      </c>
      <c r="H29">
        <v>0.48309999999999997</v>
      </c>
      <c r="I29">
        <v>0.49919999999999998</v>
      </c>
      <c r="K29">
        <v>117.93</v>
      </c>
      <c r="L29">
        <v>0</v>
      </c>
      <c r="N29" s="11">
        <v>140</v>
      </c>
      <c r="O29" cm="1">
        <f t="array" ref="O29">theta_call(K29,N29,0.08333,0.056131,L29,B29)</f>
        <v>-20.048326080432709</v>
      </c>
      <c r="P29" cm="1">
        <f t="array" ref="P29">theta_call(K29,N29,0.1666666,0.010008,L29,C29)</f>
        <v>-17.582684462305799</v>
      </c>
      <c r="Q29" cm="1">
        <f t="array" ref="Q29">theta_call(K29,N29,0.230769,0.026756,0,D29)</f>
        <v>-16.835087571360965</v>
      </c>
      <c r="R29" cm="1">
        <f t="array" ref="R29">theta_call(K29,N29,0.333333,0.020067,L29,E29)</f>
        <v>-17.009176732833282</v>
      </c>
      <c r="S29" cm="1">
        <f t="array" ref="S29">theta_call(K29,N29,0.5,0.026846,L29,F29)</f>
        <v>-15.059608907951143</v>
      </c>
      <c r="T29" cm="1">
        <f t="array" ref="T29">theta_call(K29,N29,0.75,0.022409,L29,G29)</f>
        <v>-13.458237702881114</v>
      </c>
      <c r="U29" cm="1">
        <f t="array" ref="U29">theta_call(K29,N29,1.1666666666,0.03648,L29,H29)</f>
        <v>-12.149378399697076</v>
      </c>
      <c r="V29" cm="1">
        <f t="array" ref="V29">theta_call(K29,N29,1.75,0.021346,L29,I29)</f>
        <v>-9.7265663658217214</v>
      </c>
    </row>
    <row r="30" spans="1:22" x14ac:dyDescent="0.3">
      <c r="A30" s="11">
        <v>145</v>
      </c>
      <c r="B30">
        <v>0.46439999999999998</v>
      </c>
      <c r="C30">
        <v>0.436</v>
      </c>
      <c r="D30">
        <v>0.41699999999999998</v>
      </c>
      <c r="E30">
        <v>0.44679999999999997</v>
      </c>
      <c r="F30">
        <v>0.4451</v>
      </c>
      <c r="G30">
        <v>0.46710000000000002</v>
      </c>
      <c r="H30">
        <v>0.47549999999999998</v>
      </c>
      <c r="I30">
        <v>0.49259999999999998</v>
      </c>
      <c r="K30">
        <v>117.93</v>
      </c>
      <c r="L30">
        <v>0</v>
      </c>
      <c r="N30" s="11">
        <v>145</v>
      </c>
      <c r="O30" cm="1">
        <f t="array" ref="O30">theta_call(K30,N30,0.08333,0.056131,L30,B30)</f>
        <v>-13.900817082844698</v>
      </c>
      <c r="P30" cm="1">
        <f t="array" ref="P30">theta_call(K30,N30,0.1666666,0.010008,L30,C30)</f>
        <v>-14.441610369259097</v>
      </c>
      <c r="Q30" cm="1">
        <f t="array" ref="Q30">theta_call(K30,N30,0.230769,0.026756,0,D30)</f>
        <v>-14.141284648219443</v>
      </c>
      <c r="R30" cm="1">
        <f t="array" ref="R30">theta_call(K30,N30,0.333333,0.020067,L30,E30)</f>
        <v>-15.310571265201599</v>
      </c>
      <c r="S30" cm="1">
        <f t="array" ref="S30">theta_call(K30,N30,0.5,0.026846,L30,F30)</f>
        <v>-14.210858978077539</v>
      </c>
      <c r="T30" cm="1">
        <f t="array" ref="T30">theta_call(K30,N30,0.75,0.022409,L30,G30)</f>
        <v>-13.072542391402717</v>
      </c>
      <c r="U30" cm="1">
        <f t="array" ref="U30">theta_call(K30,N30,1.1666666666,0.03648,L30,H30)</f>
        <v>-11.893134707791948</v>
      </c>
      <c r="V30" cm="1">
        <f t="array" ref="V30">theta_call(K30,N30,1.75,0.021346,L30,I30)</f>
        <v>-9.637072650330472</v>
      </c>
    </row>
    <row r="31" spans="1:22" x14ac:dyDescent="0.3">
      <c r="A31" s="11">
        <v>150</v>
      </c>
      <c r="B31">
        <v>0.51900000000000002</v>
      </c>
      <c r="C31">
        <v>0.43730000000000002</v>
      </c>
      <c r="D31">
        <v>0.4158</v>
      </c>
      <c r="E31">
        <v>0.4385</v>
      </c>
      <c r="F31">
        <v>0.439</v>
      </c>
      <c r="G31">
        <v>0.45910000000000001</v>
      </c>
      <c r="H31">
        <v>0.46960000000000002</v>
      </c>
      <c r="I31">
        <v>0.4854</v>
      </c>
      <c r="K31">
        <v>117.93</v>
      </c>
      <c r="L31">
        <v>0</v>
      </c>
      <c r="N31" s="11">
        <v>150</v>
      </c>
      <c r="O31" cm="1">
        <f t="array" ref="O31">theta_call(K31,N31,0.08333,0.056131,L31,B31)</f>
        <v>-14.161478499322506</v>
      </c>
      <c r="P31" cm="1">
        <f t="array" ref="P31">theta_call(K31,N31,0.1666666,0.010008,L31,C31)</f>
        <v>-11.669373607605078</v>
      </c>
      <c r="Q31" cm="1">
        <f t="array" ref="Q31">theta_call(K31,N31,0.230769,0.026756,0,D31)</f>
        <v>-11.853519030772356</v>
      </c>
      <c r="R31" cm="1">
        <f t="array" ref="R31">theta_call(K31,N31,0.333333,0.020067,L31,E31)</f>
        <v>-13.448170292648939</v>
      </c>
      <c r="S31" cm="1">
        <f t="array" ref="S31">theta_call(K31,N31,0.5,0.026846,L31,F31)</f>
        <v>-13.134354868584708</v>
      </c>
      <c r="T31" cm="1">
        <f t="array" ref="T31">theta_call(K31,N31,0.75,0.022409,L31,G31)</f>
        <v>-12.434198452062958</v>
      </c>
      <c r="U31" cm="1">
        <f t="array" ref="U31">theta_call(K31,N31,1.1666666666,0.03648,L31,H31)</f>
        <v>-11.615598784947556</v>
      </c>
      <c r="V31" cm="1">
        <f t="array" ref="V31">theta_call(K31,N31,1.75,0.021346,L31,I31)</f>
        <v>-9.5018852113444954</v>
      </c>
    </row>
    <row r="32" spans="1:22" x14ac:dyDescent="0.3">
      <c r="A32" s="11">
        <v>155</v>
      </c>
      <c r="B32">
        <v>0.51270000000000004</v>
      </c>
      <c r="C32">
        <v>0.44429999999999997</v>
      </c>
      <c r="D32">
        <v>0.4128</v>
      </c>
      <c r="E32">
        <v>0.43259999999999998</v>
      </c>
      <c r="F32">
        <v>0.43230000000000002</v>
      </c>
      <c r="G32">
        <v>0.45550000000000002</v>
      </c>
      <c r="H32">
        <v>0.46360000000000001</v>
      </c>
      <c r="I32">
        <v>0.48159999999999997</v>
      </c>
      <c r="K32">
        <v>117.93</v>
      </c>
      <c r="L32">
        <v>0</v>
      </c>
      <c r="N32" s="11">
        <v>155</v>
      </c>
      <c r="O32" cm="1">
        <f t="array" ref="O32">theta_call(K32,N32,0.08333,0.056131,L32,B32)</f>
        <v>-9.4320634063057316</v>
      </c>
      <c r="P32" cm="1">
        <f t="array" ref="P32">theta_call(K32,N32,0.1666666,0.010008,L32,C32)</f>
        <v>-9.6010054645698979</v>
      </c>
      <c r="Q32" cm="1">
        <f t="array" ref="Q32">theta_call(K32,N32,0.230769,0.026756,0,D32)</f>
        <v>-9.5858704419386989</v>
      </c>
      <c r="R32" cm="1">
        <f t="array" ref="R32">theta_call(K32,N32,0.333333,0.020067,L32,E32)</f>
        <v>-11.667282148011859</v>
      </c>
      <c r="S32" cm="1">
        <f t="array" ref="S32">theta_call(K32,N32,0.5,0.026846,L32,F32)</f>
        <v>-11.942698582576984</v>
      </c>
      <c r="T32" cm="1">
        <f t="array" ref="T32">theta_call(K32,N32,0.75,0.022409,L32,G32)</f>
        <v>-11.866395889133351</v>
      </c>
      <c r="U32" cm="1">
        <f t="array" ref="U32">theta_call(K32,N32,1.1666666666,0.03648,L32,H32)</f>
        <v>-11.282405952046428</v>
      </c>
      <c r="V32" cm="1">
        <f t="array" ref="V32">theta_call(K32,N32,1.75,0.021346,L32,I32)</f>
        <v>-9.3953429396007078</v>
      </c>
    </row>
    <row r="33" spans="1:22" x14ac:dyDescent="0.3">
      <c r="A33" s="11">
        <v>160</v>
      </c>
      <c r="B33">
        <v>0.52249999999999996</v>
      </c>
      <c r="C33">
        <v>0.44969999999999999</v>
      </c>
      <c r="D33">
        <v>0.41110000000000002</v>
      </c>
      <c r="E33">
        <v>0.42859999999999998</v>
      </c>
      <c r="F33">
        <v>0.42799999999999999</v>
      </c>
      <c r="G33">
        <v>0.44829999999999998</v>
      </c>
      <c r="H33">
        <v>0.45950000000000002</v>
      </c>
      <c r="I33">
        <v>0.47570000000000001</v>
      </c>
      <c r="K33">
        <v>117.93</v>
      </c>
      <c r="L33">
        <v>0</v>
      </c>
      <c r="N33" s="11">
        <v>160</v>
      </c>
      <c r="O33" cm="1">
        <f t="array" ref="O33">theta_call(K33,N33,0.08333,0.056131,L33,B33)</f>
        <v>-6.9637157591674343</v>
      </c>
      <c r="P33" cm="1">
        <f t="array" ref="P33">theta_call(K33,N33,0.1666666,0.010008,L33,C33)</f>
        <v>-7.7289612288090588</v>
      </c>
      <c r="Q33" cm="1">
        <f t="array" ref="Q33">theta_call(K33,N33,0.230769,0.026756,0,D33)</f>
        <v>-7.629578376154134</v>
      </c>
      <c r="R33" cm="1">
        <f t="array" ref="R33">theta_call(K33,N33,0.333333,0.020067,L33,E33)</f>
        <v>-10.020547744034092</v>
      </c>
      <c r="S33" cm="1">
        <f t="array" ref="S33">theta_call(K33,N33,0.5,0.026846,L33,F33)</f>
        <v>-10.812940586645066</v>
      </c>
      <c r="T33" cm="1">
        <f t="array" ref="T33">theta_call(K33,N33,0.75,0.022409,L33,G33)</f>
        <v>-11.113153569532939</v>
      </c>
      <c r="U33" cm="1">
        <f t="array" ref="U33">theta_call(K33,N33,1.1666666666,0.03648,L33,H33)</f>
        <v>-10.951575220702404</v>
      </c>
      <c r="V33" cm="1">
        <f t="array" ref="V33">theta_call(K33,N33,1.75,0.021346,L33,I33)</f>
        <v>-9.2213251180808502</v>
      </c>
    </row>
    <row r="35" spans="1:22" x14ac:dyDescent="0.3">
      <c r="A35" s="15" t="s">
        <v>71</v>
      </c>
    </row>
    <row r="36" spans="1:22" x14ac:dyDescent="0.3">
      <c r="B36" s="12" t="s">
        <v>31</v>
      </c>
      <c r="C36" s="12" t="s">
        <v>32</v>
      </c>
      <c r="D36" s="12" t="s">
        <v>35</v>
      </c>
      <c r="E36" s="12" t="s">
        <v>38</v>
      </c>
      <c r="F36" s="12" t="s">
        <v>41</v>
      </c>
      <c r="G36" s="12" t="s">
        <v>44</v>
      </c>
      <c r="H36" s="12" t="s">
        <v>47</v>
      </c>
      <c r="I36" s="12" t="s">
        <v>50</v>
      </c>
      <c r="K36" s="14" t="s">
        <v>11</v>
      </c>
      <c r="L36" s="14" t="s">
        <v>66</v>
      </c>
      <c r="M36" s="14"/>
      <c r="O36" s="12">
        <v>1</v>
      </c>
      <c r="P36" s="12">
        <v>2</v>
      </c>
      <c r="Q36" s="12">
        <v>3</v>
      </c>
      <c r="R36" s="12">
        <v>4</v>
      </c>
      <c r="S36" s="12">
        <v>6</v>
      </c>
      <c r="T36" s="12">
        <v>9</v>
      </c>
      <c r="U36" s="12">
        <v>14</v>
      </c>
      <c r="V36" s="12">
        <v>21</v>
      </c>
    </row>
    <row r="37" spans="1:22" x14ac:dyDescent="0.3">
      <c r="A37" s="11">
        <v>95</v>
      </c>
      <c r="B37">
        <v>0.69310000000000005</v>
      </c>
      <c r="C37">
        <v>0.60599999999999998</v>
      </c>
      <c r="D37">
        <v>0.57430000000000003</v>
      </c>
      <c r="E37">
        <v>0.59419999999999995</v>
      </c>
      <c r="F37">
        <v>0.56869999999999998</v>
      </c>
      <c r="G37">
        <v>0.57099999999999995</v>
      </c>
      <c r="H37">
        <v>0.44130000000000003</v>
      </c>
      <c r="I37">
        <v>0.56079999999999997</v>
      </c>
      <c r="K37">
        <v>117.93</v>
      </c>
      <c r="L37">
        <v>0</v>
      </c>
      <c r="N37" s="11">
        <v>95</v>
      </c>
      <c r="O37" cm="1">
        <f t="array" ref="O37">gamma_new(K37,N37,0.08333,0.056131,L37,B37)</f>
        <v>8.1897502486530886E-3</v>
      </c>
      <c r="P37" cm="1">
        <f t="array" ref="P37">gamma_new(K37,N37,0.1666666,0.010008,L37,C37)</f>
        <v>8.2571355317054597E-3</v>
      </c>
      <c r="Q37" cm="1">
        <f t="array" ref="Q37">gamma_new(K37,N37,0.230769,0.026756,0,D37)</f>
        <v>7.853004752159283E-3</v>
      </c>
      <c r="R37" cm="1">
        <f t="array" ref="R37">gamma_new(K37,N37,0.333333,0.020067,L37,E37)</f>
        <v>7.0379883737004363E-3</v>
      </c>
      <c r="S37" cm="1">
        <f t="array" ref="S37">gamma_new(K37,N37,0.5,0.026846,L37,F37)</f>
        <v>6.2439923743479384E-3</v>
      </c>
      <c r="T37" cm="1">
        <f t="array" ref="T37">gamma_new(K37,N37,0.75,0.022409,L37,G37)</f>
        <v>5.2847702917316773E-3</v>
      </c>
      <c r="U37" cm="1">
        <f t="array" ref="U37">gamma_new(K37,N37,1.1666666666,0.03648,L37,H37)</f>
        <v>5.2306042095172983E-3</v>
      </c>
      <c r="V37" cm="1">
        <f t="array" ref="V37">gamma_new(K37,N37,1.75,0.021346,L37,I37)</f>
        <v>3.5371251455677778E-3</v>
      </c>
    </row>
    <row r="38" spans="1:22" x14ac:dyDescent="0.3">
      <c r="A38" s="11">
        <v>100</v>
      </c>
      <c r="B38">
        <v>0.60819999999999996</v>
      </c>
      <c r="C38">
        <v>0.57520000000000004</v>
      </c>
      <c r="D38">
        <v>0.54249999999999998</v>
      </c>
      <c r="E38">
        <v>0.56950000000000001</v>
      </c>
      <c r="F38">
        <v>0.54910000000000003</v>
      </c>
      <c r="G38">
        <v>0.55489999999999995</v>
      </c>
      <c r="H38">
        <v>0.55330000000000001</v>
      </c>
      <c r="I38">
        <v>0.55300000000000005</v>
      </c>
      <c r="K38">
        <v>117.93</v>
      </c>
      <c r="L38">
        <v>0</v>
      </c>
      <c r="N38" s="11">
        <v>100</v>
      </c>
      <c r="O38" cm="1">
        <f t="array" ref="O38">gamma_new(K38,N38,0.08333,0.056131,L38,B38)</f>
        <v>1.1058785766165473E-2</v>
      </c>
      <c r="P38" cm="1">
        <f t="array" ref="P38">gamma_new(K38,N38,0.1666666,0.010008,L38,C38)</f>
        <v>1.0235042949390469E-2</v>
      </c>
      <c r="Q38" cm="1">
        <f t="array" ref="Q38">gamma_new(K38,N38,0.230769,0.026756,0,D38)</f>
        <v>9.5249342635274729E-3</v>
      </c>
      <c r="R38" cm="1">
        <f t="array" ref="R38">gamma_new(K38,N38,0.333333,0.020067,L38,E38)</f>
        <v>8.1295532898043258E-3</v>
      </c>
      <c r="S38" cm="1">
        <f t="array" ref="S38">gamma_new(K38,N38,0.5,0.026846,L38,F38)</f>
        <v>7.0375959652573443E-3</v>
      </c>
      <c r="T38" cm="1">
        <f t="array" ref="T38">gamma_new(K38,N38,0.75,0.022409,L38,G38)</f>
        <v>5.8141840332355255E-3</v>
      </c>
      <c r="U38" cm="1">
        <f t="array" ref="U38">gamma_new(K38,N38,1.1666666666,0.03648,L38,H38)</f>
        <v>4.5944770173344156E-3</v>
      </c>
      <c r="V38" cm="1">
        <f t="array" ref="V38">gamma_new(K38,N38,1.75,0.021346,L38,I38)</f>
        <v>3.7623873510659201E-3</v>
      </c>
    </row>
    <row r="39" spans="1:22" x14ac:dyDescent="0.3">
      <c r="A39" s="11">
        <v>105</v>
      </c>
      <c r="B39">
        <v>0.59199999999999997</v>
      </c>
      <c r="C39">
        <v>0.54530000000000001</v>
      </c>
      <c r="D39">
        <v>0.52280000000000004</v>
      </c>
      <c r="E39">
        <v>0.53939999999999999</v>
      </c>
      <c r="F39">
        <v>0.53480000000000005</v>
      </c>
      <c r="G39">
        <v>0.54369999999999996</v>
      </c>
      <c r="H39">
        <v>0.53969999999999996</v>
      </c>
      <c r="I39">
        <v>0.54669999999999996</v>
      </c>
      <c r="K39">
        <v>117.93</v>
      </c>
      <c r="L39">
        <v>0</v>
      </c>
      <c r="N39" s="11">
        <v>105</v>
      </c>
      <c r="O39" cm="1">
        <f t="array" ref="O39">gamma_new(K39,N39,0.08333,0.056131,L39,B39)</f>
        <v>1.446193850427701E-2</v>
      </c>
      <c r="P39" cm="1">
        <f t="array" ref="P39">gamma_new(K39,N39,0.1666666,0.010008,L39,C39)</f>
        <v>1.2378100751928866E-2</v>
      </c>
      <c r="Q39" cm="1">
        <f t="array" ref="Q39">gamma_new(K39,N39,0.230769,0.026756,0,D39)</f>
        <v>1.1165556941566875E-2</v>
      </c>
      <c r="R39" cm="1">
        <f t="array" ref="R39">gamma_new(K39,N39,0.333333,0.020067,L39,E39)</f>
        <v>9.3374013893020753E-3</v>
      </c>
      <c r="S39" cm="1">
        <f t="array" ref="S39">gamma_new(K39,N39,0.5,0.026846,L39,F39)</f>
        <v>7.766542918501756E-3</v>
      </c>
      <c r="T39" cm="1">
        <f t="array" ref="T39">gamma_new(K39,N39,0.75,0.022409,L39,G39)</f>
        <v>6.2832458417586947E-3</v>
      </c>
      <c r="U39" cm="1">
        <f t="array" ref="U39">gamma_new(K39,N39,1.1666666666,0.03648,L39,H39)</f>
        <v>4.9506353235096471E-3</v>
      </c>
      <c r="V39" cm="1">
        <f t="array" ref="V39">gamma_new(K39,N39,1.75,0.021346,L39,I39)</f>
        <v>3.9674717333508828E-3</v>
      </c>
    </row>
    <row r="40" spans="1:22" x14ac:dyDescent="0.3">
      <c r="A40" s="11">
        <v>110</v>
      </c>
      <c r="B40">
        <v>0.56469999999999998</v>
      </c>
      <c r="C40">
        <v>0.52649999999999997</v>
      </c>
      <c r="D40">
        <v>0.50529999999999997</v>
      </c>
      <c r="E40">
        <v>0.52490000000000003</v>
      </c>
      <c r="F40">
        <v>0.50980000000000003</v>
      </c>
      <c r="G40">
        <v>0.52749999999999997</v>
      </c>
      <c r="H40">
        <v>0.53129999999999999</v>
      </c>
      <c r="I40">
        <v>0.53569999999999995</v>
      </c>
      <c r="K40">
        <v>117.93</v>
      </c>
      <c r="L40">
        <v>0</v>
      </c>
      <c r="N40" s="11">
        <v>110</v>
      </c>
      <c r="O40" cm="1">
        <f t="array" ref="O40">gamma_new(K40,N40,0.08333,0.056131,L40,B40)</f>
        <v>1.7963675533971078E-2</v>
      </c>
      <c r="P40" cm="1">
        <f t="array" ref="P40">gamma_new(K40,N40,0.1666666,0.010008,L40,C40)</f>
        <v>1.4292139150489968E-2</v>
      </c>
      <c r="Q40" cm="1">
        <f t="array" ref="Q40">gamma_new(K40,N40,0.230769,0.026756,0,D40)</f>
        <v>1.2686038263274059E-2</v>
      </c>
      <c r="R40" cm="1">
        <f t="array" ref="R40">gamma_new(K40,N40,0.333333,0.020067,L40,E40)</f>
        <v>1.0290849522849477E-2</v>
      </c>
      <c r="S40" cm="1">
        <f t="array" ref="S40">gamma_new(K40,N40,0.5,0.026846,L40,F40)</f>
        <v>8.6257082546701905E-3</v>
      </c>
      <c r="T40" cm="1">
        <f t="array" ref="T40">gamma_new(K40,N40,0.75,0.022409,L40,G40)</f>
        <v>6.7868386812976926E-3</v>
      </c>
      <c r="U40" cm="1">
        <f t="array" ref="U40">gamma_new(K40,N40,1.1666666666,0.03648,L40,H40)</f>
        <v>5.2473558945557199E-3</v>
      </c>
      <c r="V40" cm="1">
        <f t="array" ref="V40">gamma_new(K40,N40,1.75,0.021346,L40,I40)</f>
        <v>4.2015276746307367E-3</v>
      </c>
    </row>
    <row r="41" spans="1:22" x14ac:dyDescent="0.3">
      <c r="A41" s="11">
        <v>115</v>
      </c>
      <c r="B41" s="13">
        <v>0.52580000000000005</v>
      </c>
      <c r="C41" s="13">
        <v>0.50390000000000001</v>
      </c>
      <c r="D41" s="13">
        <v>0.48609999999999998</v>
      </c>
      <c r="E41" s="13">
        <v>0.50870000000000004</v>
      </c>
      <c r="F41" s="13">
        <v>0.50019999999999998</v>
      </c>
      <c r="G41" s="13">
        <v>0.51759999999999995</v>
      </c>
      <c r="H41" s="13">
        <v>0.52110000000000001</v>
      </c>
      <c r="I41" s="13">
        <v>0.52969999999999995</v>
      </c>
      <c r="K41">
        <v>117.93</v>
      </c>
      <c r="L41">
        <v>0</v>
      </c>
      <c r="N41" s="11">
        <v>115</v>
      </c>
      <c r="O41" cm="1">
        <f t="array" ref="O41">gamma_new(K41,N41,0.08333,0.056131,L41,B41)</f>
        <v>2.1475537912907027E-2</v>
      </c>
      <c r="P41" cm="1">
        <f t="array" ref="P41">gamma_new(K41,N41,0.1666666,0.010008,L41,C41)</f>
        <v>1.600300139972816E-2</v>
      </c>
      <c r="Q41" cm="1">
        <f t="array" ref="Q41">gamma_new(K41,N41,0.230769,0.026756,0,D41)</f>
        <v>1.403774955446912E-2</v>
      </c>
      <c r="R41" cm="1">
        <f t="array" ref="R41">gamma_new(K41,N41,0.333333,0.020067,L41,E41)</f>
        <v>1.1148926384529278E-2</v>
      </c>
      <c r="S41" cm="1">
        <f t="array" ref="S41">gamma_new(K41,N41,0.5,0.026846,L41,F41)</f>
        <v>9.1812950074998175E-3</v>
      </c>
      <c r="T41" cm="1">
        <f t="array" ref="T41">gamma_new(K41,N41,0.75,0.022409,L41,G41)</f>
        <v>7.1752472607014492E-3</v>
      </c>
      <c r="U41" cm="1">
        <f t="array" ref="U41">gamma_new(K41,N41,1.1666666666,0.03648,L41,H41)</f>
        <v>5.5442749482380819E-3</v>
      </c>
      <c r="V41" cm="1">
        <f t="array" ref="V41">gamma_new(K41,N41,1.75,0.021346,L41,I41)</f>
        <v>4.3830634746512779E-3</v>
      </c>
    </row>
    <row r="42" spans="1:22" x14ac:dyDescent="0.3">
      <c r="A42" s="11">
        <v>120</v>
      </c>
      <c r="B42" s="13">
        <v>0.50649999999999995</v>
      </c>
      <c r="C42" s="13">
        <v>0.47689999999999999</v>
      </c>
      <c r="D42" s="13">
        <v>0.46529999999999999</v>
      </c>
      <c r="E42" s="13">
        <v>0.49719999999999998</v>
      </c>
      <c r="F42" s="13">
        <v>0.49370000000000003</v>
      </c>
      <c r="G42" s="13">
        <v>0.50280000000000002</v>
      </c>
      <c r="H42" s="13">
        <v>0.51200000000000001</v>
      </c>
      <c r="I42" s="13">
        <v>0.52200000000000002</v>
      </c>
      <c r="K42">
        <v>117.93</v>
      </c>
      <c r="L42">
        <v>0</v>
      </c>
      <c r="N42" s="11">
        <v>120</v>
      </c>
      <c r="O42" cm="1">
        <f t="array" ref="O42">gamma_new(K42,N42,0.08333,0.056131,L42,B42)</f>
        <v>2.3134685024129052E-2</v>
      </c>
      <c r="P42" cm="1">
        <f t="array" ref="P42">gamma_new(K42,N42,0.1666666,0.010008,L42,C42)</f>
        <v>1.7372997208631679E-2</v>
      </c>
      <c r="Q42" cm="1">
        <f t="array" ref="Q42">gamma_new(K42,N42,0.230769,0.026756,0,D42)</f>
        <v>1.510572794716309E-2</v>
      </c>
      <c r="R42" cm="1">
        <f t="array" ref="R42">gamma_new(K42,N42,0.333333,0.020067,L42,E42)</f>
        <v>1.1718330547828587E-2</v>
      </c>
      <c r="S42" cm="1">
        <f t="array" ref="S42">gamma_new(K42,N42,0.5,0.026846,L42,F42)</f>
        <v>9.5621869419727518E-3</v>
      </c>
      <c r="T42" cm="1">
        <f t="array" ref="T42">gamma_new(K42,N42,0.75,0.022409,L42,G42)</f>
        <v>7.5891877798117133E-3</v>
      </c>
      <c r="U42" cm="1">
        <f t="array" ref="U42">gamma_new(K42,N42,1.1666666666,0.03648,L42,H42)</f>
        <v>5.8080035186987471E-3</v>
      </c>
      <c r="V42" cm="1">
        <f t="array" ref="V42">gamma_new(K42,N42,1.75,0.021346,L42,I42)</f>
        <v>4.5676754046081753E-3</v>
      </c>
    </row>
    <row r="43" spans="1:22" x14ac:dyDescent="0.3">
      <c r="A43" s="11">
        <v>125</v>
      </c>
      <c r="B43">
        <v>0.49120000000000003</v>
      </c>
      <c r="C43">
        <v>0.46400000000000002</v>
      </c>
      <c r="D43">
        <v>0.45090000000000002</v>
      </c>
      <c r="E43">
        <v>0.48709999999999998</v>
      </c>
      <c r="F43">
        <v>0.47920000000000001</v>
      </c>
      <c r="G43">
        <v>0.49630000000000002</v>
      </c>
      <c r="H43">
        <v>0.50070000000000003</v>
      </c>
      <c r="I43">
        <v>0.51190000000000002</v>
      </c>
      <c r="K43">
        <v>117.93</v>
      </c>
      <c r="L43">
        <v>0</v>
      </c>
      <c r="N43" s="11">
        <v>125</v>
      </c>
      <c r="O43" cm="1">
        <f t="array" ref="O43">gamma_new(K43,N43,0.08333,0.056131,L43,B43)</f>
        <v>2.2761300745475586E-2</v>
      </c>
      <c r="P43" cm="1">
        <f t="array" ref="P43">gamma_new(K43,N43,0.1666666,0.010008,L43,C43)</f>
        <v>1.7491244300504812E-2</v>
      </c>
      <c r="Q43" cm="1">
        <f t="array" ref="Q43">gamma_new(K43,N43,0.230769,0.026756,0,D43)</f>
        <v>1.5482245631494021E-2</v>
      </c>
      <c r="R43" cm="1">
        <f t="array" ref="R43">gamma_new(K43,N43,0.333333,0.020067,L43,E43)</f>
        <v>1.2018045058315711E-2</v>
      </c>
      <c r="S43" cm="1">
        <f t="array" ref="S43">gamma_new(K43,N43,0.5,0.026846,L43,F43)</f>
        <v>9.9766167050522481E-3</v>
      </c>
      <c r="T43" cm="1">
        <f t="array" ref="T43">gamma_new(K43,N43,0.75,0.022409,L43,G43)</f>
        <v>7.8155452136024171E-3</v>
      </c>
      <c r="U43" cm="1">
        <f t="array" ref="U43">gamma_new(K43,N43,1.1666666666,0.03648,L43,H43)</f>
        <v>6.0754116019328553E-3</v>
      </c>
      <c r="V43" cm="1">
        <f t="array" ref="V43">gamma_new(K43,N43,1.75,0.021346,L43,I43)</f>
        <v>4.7644435081255479E-3</v>
      </c>
    </row>
    <row r="44" spans="1:22" x14ac:dyDescent="0.3">
      <c r="A44" s="11">
        <v>130</v>
      </c>
      <c r="B44">
        <v>0.47360000000000002</v>
      </c>
      <c r="C44">
        <v>0.44800000000000001</v>
      </c>
      <c r="D44">
        <v>0.4385</v>
      </c>
      <c r="E44">
        <v>0.4698</v>
      </c>
      <c r="F44">
        <v>0.46860000000000002</v>
      </c>
      <c r="G44">
        <v>0.48920000000000002</v>
      </c>
      <c r="H44">
        <v>0.497</v>
      </c>
      <c r="I44">
        <v>0.50449999999999995</v>
      </c>
      <c r="K44">
        <v>117.93</v>
      </c>
      <c r="L44">
        <v>0</v>
      </c>
      <c r="N44" s="11">
        <v>130</v>
      </c>
      <c r="O44" cm="1">
        <f t="array" ref="O44">gamma_new(K44,N44,0.08333,0.056131,L44,B44)</f>
        <v>2.0541128905580575E-2</v>
      </c>
      <c r="P44" cm="1">
        <f t="array" ref="P44">gamma_new(K44,N44,0.1666666,0.010008,L44,C44)</f>
        <v>1.6846837497971164E-2</v>
      </c>
      <c r="Q44" cm="1">
        <f t="array" ref="Q44">gamma_new(K44,N44,0.230769,0.026756,0,D44)</f>
        <v>1.5218535058320076E-2</v>
      </c>
      <c r="R44" cm="1">
        <f t="array" ref="R44">gamma_new(K44,N44,0.333333,0.020067,L44,E44)</f>
        <v>1.2227475052027413E-2</v>
      </c>
      <c r="S44" cm="1">
        <f t="array" ref="S44">gamma_new(K44,N44,0.5,0.026846,L44,F44)</f>
        <v>1.0169999634052419E-2</v>
      </c>
      <c r="T44" cm="1">
        <f t="array" ref="T44">gamma_new(K44,N44,0.75,0.022409,L44,G44)</f>
        <v>7.9830406749014406E-3</v>
      </c>
      <c r="U44" cm="1">
        <f t="array" ref="U44">gamma_new(K44,N44,1.1666666666,0.03648,L44,H44)</f>
        <v>6.215266800425682E-3</v>
      </c>
      <c r="V44" cm="1">
        <f t="array" ref="V44">gamma_new(K44,N44,1.75,0.021346,L44,I44)</f>
        <v>4.9205463812318851E-3</v>
      </c>
    </row>
    <row r="45" spans="1:22" x14ac:dyDescent="0.3">
      <c r="A45" s="11">
        <v>135</v>
      </c>
      <c r="B45">
        <v>0.47</v>
      </c>
      <c r="C45">
        <v>0.43990000000000001</v>
      </c>
      <c r="D45">
        <v>0.4289</v>
      </c>
      <c r="E45">
        <v>0.4612</v>
      </c>
      <c r="F45">
        <v>0.46039999999999998</v>
      </c>
      <c r="G45">
        <v>0.4778</v>
      </c>
      <c r="H45">
        <v>0.49030000000000001</v>
      </c>
      <c r="I45">
        <v>0.50449999999999995</v>
      </c>
      <c r="K45">
        <v>117.93</v>
      </c>
      <c r="L45">
        <v>0</v>
      </c>
      <c r="N45" s="11">
        <v>135</v>
      </c>
      <c r="O45" cm="1">
        <f t="array" ref="O45">gamma_new(K45,N45,0.08333,0.056131,L45,B45)</f>
        <v>1.6718942951679482E-2</v>
      </c>
      <c r="P45" cm="1">
        <f t="array" ref="P45">gamma_new(K45,N45,0.1666666,0.010008,L45,C45)</f>
        <v>1.5213425446583146E-2</v>
      </c>
      <c r="Q45" cm="1">
        <f t="array" ref="Q45">gamma_new(K45,N45,0.230769,0.026756,0,D45)</f>
        <v>1.4319107606072638E-2</v>
      </c>
      <c r="R45" cm="1">
        <f t="array" ref="R45">gamma_new(K45,N45,0.333333,0.020067,L45,E45)</f>
        <v>1.1952081870210159E-2</v>
      </c>
      <c r="S45" cm="1">
        <f t="array" ref="S45">gamma_new(K45,N45,0.5,0.026846,L45,F45)</f>
        <v>1.0161928590516678E-2</v>
      </c>
      <c r="T45" cm="1">
        <f t="array" ref="T45">gamma_new(K45,N45,0.75,0.022409,L45,G45)</f>
        <v>8.1498068165327901E-3</v>
      </c>
      <c r="U45" cm="1">
        <f t="array" ref="U45">gamma_new(K45,N45,1.1666666666,0.03648,L45,H45)</f>
        <v>6.3620303611837334E-3</v>
      </c>
      <c r="V45" cm="1">
        <f t="array" ref="V45">gamma_new(K45,N45,1.75,0.021346,L45,I45)</f>
        <v>4.980844800681475E-3</v>
      </c>
    </row>
    <row r="46" spans="1:22" x14ac:dyDescent="0.3">
      <c r="A46" s="11">
        <v>140</v>
      </c>
      <c r="B46">
        <v>0.46800000000000003</v>
      </c>
      <c r="C46">
        <v>0.43730000000000002</v>
      </c>
      <c r="D46">
        <v>0.42430000000000001</v>
      </c>
      <c r="E46">
        <v>0.45469999999999999</v>
      </c>
      <c r="F46">
        <v>0.4486</v>
      </c>
      <c r="G46">
        <v>0.46989999999999998</v>
      </c>
      <c r="H46">
        <v>0.48309999999999997</v>
      </c>
      <c r="I46">
        <v>0.49919999999999998</v>
      </c>
      <c r="K46">
        <v>117.93</v>
      </c>
      <c r="L46">
        <v>0</v>
      </c>
      <c r="N46" s="11">
        <v>140</v>
      </c>
      <c r="O46" cm="1">
        <f t="array" ref="O46">gamma_new(K46,N46,0.08333,0.056131,L46,B46)</f>
        <v>1.266404156707958E-2</v>
      </c>
      <c r="P46" cm="1">
        <f t="array" ref="P46">gamma_new(K46,N46,0.1666666,0.010008,L46,C46)</f>
        <v>1.306509048109524E-2</v>
      </c>
      <c r="Q46" cm="1">
        <f t="array" ref="Q46">gamma_new(K46,N46,0.230769,0.026756,0,D46)</f>
        <v>1.2904204111076813E-2</v>
      </c>
      <c r="R46" cm="1">
        <f t="array" ref="R46">gamma_new(K46,N46,0.333333,0.020067,L46,E46)</f>
        <v>1.1390463085860787E-2</v>
      </c>
      <c r="S46" cm="1">
        <f t="array" ref="S46">gamma_new(K46,N46,0.5,0.026846,L46,F46)</f>
        <v>1.0065947414984603E-2</v>
      </c>
      <c r="T46" cm="1">
        <f t="array" ref="T46">gamma_new(K46,N46,0.75,0.022409,L46,G46)</f>
        <v>8.183953137893149E-3</v>
      </c>
      <c r="U46" cm="1">
        <f t="array" ref="U46">gamma_new(K46,N46,1.1666666666,0.03648,L46,H46)</f>
        <v>6.4823811025990982E-3</v>
      </c>
      <c r="V46" cm="1">
        <f t="array" ref="V46">gamma_new(K46,N46,1.75,0.021346,L46,I46)</f>
        <v>5.081488090173873E-3</v>
      </c>
    </row>
    <row r="47" spans="1:22" x14ac:dyDescent="0.3">
      <c r="A47" s="11">
        <v>145</v>
      </c>
      <c r="B47">
        <v>0.46439999999999998</v>
      </c>
      <c r="C47">
        <v>0.436</v>
      </c>
      <c r="D47">
        <v>0.41699999999999998</v>
      </c>
      <c r="E47">
        <v>0.44679999999999997</v>
      </c>
      <c r="F47">
        <v>0.4451</v>
      </c>
      <c r="G47">
        <v>0.46710000000000002</v>
      </c>
      <c r="H47">
        <v>0.47549999999999998</v>
      </c>
      <c r="I47">
        <v>0.49259999999999998</v>
      </c>
      <c r="K47">
        <v>117.93</v>
      </c>
      <c r="L47">
        <v>0</v>
      </c>
      <c r="N47" s="11">
        <v>145</v>
      </c>
      <c r="O47" cm="1">
        <f t="array" ref="O47">gamma_new(K47,N47,0.08333,0.056131,L47,B47)</f>
        <v>8.9539786334442584E-3</v>
      </c>
      <c r="P47" cm="1">
        <f t="array" ref="P47">gamma_new(K47,N47,0.1666666,0.010008,L47,C47)</f>
        <v>1.0806983057840541E-2</v>
      </c>
      <c r="Q47" cm="1">
        <f t="array" ref="Q47">gamma_new(K47,N47,0.230769,0.026756,0,D47)</f>
        <v>1.1257598587840685E-2</v>
      </c>
      <c r="R47" cm="1">
        <f t="array" ref="R47">gamma_new(K47,N47,0.333333,0.020067,L47,E47)</f>
        <v>1.0643175910792634E-2</v>
      </c>
      <c r="S47" cm="1">
        <f t="array" ref="S47">gamma_new(K47,N47,0.5,0.026846,L47,F47)</f>
        <v>9.6846010466294236E-3</v>
      </c>
      <c r="T47" cm="1">
        <f t="array" ref="T47">gamma_new(K47,N47,0.75,0.022409,L47,G47)</f>
        <v>8.0697871234849811E-3</v>
      </c>
      <c r="U47" cm="1">
        <f t="array" ref="U47">gamma_new(K47,N47,1.1666666666,0.03648,L47,H47)</f>
        <v>6.5736838738170772E-3</v>
      </c>
      <c r="V47" cm="1">
        <f t="array" ref="V47">gamma_new(K47,N47,1.75,0.021346,L47,I47)</f>
        <v>5.1799462085133467E-3</v>
      </c>
    </row>
    <row r="48" spans="1:22" x14ac:dyDescent="0.3">
      <c r="A48" s="11">
        <v>150</v>
      </c>
      <c r="B48">
        <v>0.51900000000000002</v>
      </c>
      <c r="C48">
        <v>0.43730000000000002</v>
      </c>
      <c r="D48">
        <v>0.4158</v>
      </c>
      <c r="E48">
        <v>0.4385</v>
      </c>
      <c r="F48">
        <v>0.439</v>
      </c>
      <c r="G48">
        <v>0.45910000000000001</v>
      </c>
      <c r="H48">
        <v>0.46960000000000002</v>
      </c>
      <c r="I48">
        <v>0.4854</v>
      </c>
      <c r="K48">
        <v>117.93</v>
      </c>
      <c r="L48">
        <v>0</v>
      </c>
      <c r="N48" s="11">
        <v>150</v>
      </c>
      <c r="O48" cm="1">
        <f t="array" ref="O48">gamma_new(K48,N48,0.08333,0.056131,L48,B48)</f>
        <v>7.3368136743775887E-3</v>
      </c>
      <c r="P48" cm="1">
        <f t="array" ref="P48">gamma_new(K48,N48,0.1666666,0.010008,L48,C48)</f>
        <v>8.6886773096643711E-3</v>
      </c>
      <c r="Q48" cm="1">
        <f t="array" ref="Q48">gamma_new(K48,N48,0.230769,0.026756,0,D48)</f>
        <v>9.5187768920734789E-3</v>
      </c>
      <c r="R48" cm="1">
        <f t="array" ref="R48">gamma_new(K48,N48,0.333333,0.020067,L48,E48)</f>
        <v>9.7251821843126526E-3</v>
      </c>
      <c r="S48" cm="1">
        <f t="array" ref="S48">gamma_new(K48,N48,0.5,0.026846,L48,F48)</f>
        <v>9.2295381882854573E-3</v>
      </c>
      <c r="T48" cm="1">
        <f t="array" ref="T48">gamma_new(K48,N48,0.75,0.022409,L48,G48)</f>
        <v>7.9631897994921572E-3</v>
      </c>
      <c r="U48" cm="1">
        <f t="array" ref="U48">gamma_new(K48,N48,1.1666666666,0.03648,L48,H48)</f>
        <v>6.6073245070992709E-3</v>
      </c>
      <c r="V48" cm="1">
        <f t="array" ref="V48">gamma_new(K48,N48,1.75,0.021346,L48,I48)</f>
        <v>5.26820075505674E-3</v>
      </c>
    </row>
    <row r="49" spans="1:22" x14ac:dyDescent="0.3">
      <c r="A49" s="11">
        <v>155</v>
      </c>
      <c r="B49">
        <v>0.51270000000000004</v>
      </c>
      <c r="C49">
        <v>0.44429999999999997</v>
      </c>
      <c r="D49">
        <v>0.4128</v>
      </c>
      <c r="E49">
        <v>0.43259999999999998</v>
      </c>
      <c r="F49">
        <v>0.43230000000000002</v>
      </c>
      <c r="G49">
        <v>0.45550000000000002</v>
      </c>
      <c r="H49">
        <v>0.46360000000000001</v>
      </c>
      <c r="I49">
        <v>0.48159999999999997</v>
      </c>
      <c r="K49">
        <v>117.93</v>
      </c>
      <c r="L49">
        <v>0</v>
      </c>
      <c r="N49" s="11">
        <v>155</v>
      </c>
      <c r="O49" cm="1">
        <f t="array" ref="O49">gamma_new(K49,N49,0.08333,0.056131,L49,B49)</f>
        <v>5.0194019847537106E-3</v>
      </c>
      <c r="P49" cm="1">
        <f t="array" ref="P49">gamma_new(K49,N49,0.1666666,0.010008,L49,C49)</f>
        <v>6.9308223400004086E-3</v>
      </c>
      <c r="Q49" cm="1">
        <f t="array" ref="Q49">gamma_new(K49,N49,0.230769,0.026756,0,D49)</f>
        <v>7.829002133938787E-3</v>
      </c>
      <c r="R49" cm="1">
        <f t="array" ref="R49">gamma_new(K49,N49,0.333333,0.020067,L49,E49)</f>
        <v>8.6851651180185098E-3</v>
      </c>
      <c r="S49" cm="1">
        <f t="array" ref="S49">gamma_new(K49,N49,0.5,0.026846,L49,F49)</f>
        <v>8.6775103209579228E-3</v>
      </c>
      <c r="T49" cm="1">
        <f t="array" ref="T49">gamma_new(K49,N49,0.75,0.022409,L49,G49)</f>
        <v>7.7391574984772204E-3</v>
      </c>
      <c r="U49" cm="1">
        <f t="array" ref="U49">gamma_new(K49,N49,1.1666666666,0.03648,L49,H49)</f>
        <v>6.6076673220343074E-3</v>
      </c>
      <c r="V49" cm="1">
        <f t="array" ref="V49">gamma_new(K49,N49,1.75,0.021346,L49,I49)</f>
        <v>5.3026935337742139E-3</v>
      </c>
    </row>
    <row r="50" spans="1:22" x14ac:dyDescent="0.3">
      <c r="A50" s="11">
        <v>160</v>
      </c>
      <c r="B50">
        <v>0.52249999999999996</v>
      </c>
      <c r="C50">
        <v>0.44969999999999999</v>
      </c>
      <c r="D50">
        <v>0.41110000000000002</v>
      </c>
      <c r="E50">
        <v>0.42859999999999998</v>
      </c>
      <c r="F50">
        <v>0.42799999999999999</v>
      </c>
      <c r="G50">
        <v>0.44829999999999998</v>
      </c>
      <c r="H50">
        <v>0.45950000000000002</v>
      </c>
      <c r="I50">
        <v>0.47570000000000001</v>
      </c>
      <c r="K50">
        <v>117.93</v>
      </c>
      <c r="L50">
        <v>0</v>
      </c>
      <c r="N50" s="11">
        <v>160</v>
      </c>
      <c r="O50" cm="1">
        <f t="array" ref="O50">gamma_new(K50,N50,0.08333,0.056131,L50,B50)</f>
        <v>3.5761447646038861E-3</v>
      </c>
      <c r="P50" cm="1">
        <f t="array" ref="P50">gamma_new(K50,N50,0.1666666,0.010008,L50,C50)</f>
        <v>5.4498898948084212E-3</v>
      </c>
      <c r="Q50" cm="1">
        <f t="array" ref="Q50">gamma_new(K50,N50,0.230769,0.026756,0,D50)</f>
        <v>6.2962264308707707E-3</v>
      </c>
      <c r="R50" cm="1">
        <f t="array" ref="R50">gamma_new(K50,N50,0.333333,0.020067,L50,E50)</f>
        <v>7.6122029677079019E-3</v>
      </c>
      <c r="S50" cm="1">
        <f t="array" ref="S50">gamma_new(K50,N50,0.5,0.026846,L50,F50)</f>
        <v>8.0360776344489317E-3</v>
      </c>
      <c r="T50" cm="1">
        <f t="array" ref="T50">gamma_new(K50,N50,0.75,0.022409,L50,G50)</f>
        <v>7.4968805581172781E-3</v>
      </c>
      <c r="U50" cm="1">
        <f t="array" ref="U50">gamma_new(K50,N50,1.1666666666,0.03648,L50,H50)</f>
        <v>6.5525015183986925E-3</v>
      </c>
      <c r="V50" cm="1">
        <f t="array" ref="V50">gamma_new(K50,N50,1.75,0.021346,L50,I50)</f>
        <v>5.3427881597256669E-3</v>
      </c>
    </row>
    <row r="52" spans="1:22" x14ac:dyDescent="0.3">
      <c r="A52" s="15" t="s">
        <v>72</v>
      </c>
    </row>
    <row r="53" spans="1:22" x14ac:dyDescent="0.3">
      <c r="B53" s="12" t="s">
        <v>31</v>
      </c>
      <c r="C53" s="12" t="s">
        <v>32</v>
      </c>
      <c r="D53" s="12" t="s">
        <v>35</v>
      </c>
      <c r="E53" s="12" t="s">
        <v>38</v>
      </c>
      <c r="F53" s="12" t="s">
        <v>41</v>
      </c>
      <c r="G53" s="12" t="s">
        <v>44</v>
      </c>
      <c r="H53" s="12" t="s">
        <v>47</v>
      </c>
      <c r="I53" s="12" t="s">
        <v>50</v>
      </c>
      <c r="K53" s="14" t="s">
        <v>11</v>
      </c>
      <c r="L53" s="14" t="s">
        <v>66</v>
      </c>
      <c r="M53" s="14"/>
      <c r="O53" s="12">
        <v>1</v>
      </c>
      <c r="P53" s="12">
        <v>2</v>
      </c>
      <c r="Q53" s="12">
        <v>3</v>
      </c>
      <c r="R53" s="12">
        <v>4</v>
      </c>
      <c r="S53" s="12">
        <v>6</v>
      </c>
      <c r="T53" s="12">
        <v>9</v>
      </c>
      <c r="U53" s="12">
        <v>14</v>
      </c>
      <c r="V53" s="12">
        <v>21</v>
      </c>
    </row>
    <row r="54" spans="1:22" x14ac:dyDescent="0.3">
      <c r="A54" s="11">
        <v>95</v>
      </c>
      <c r="B54">
        <v>0.69310000000000005</v>
      </c>
      <c r="C54">
        <v>0.60599999999999998</v>
      </c>
      <c r="D54">
        <v>0.57430000000000003</v>
      </c>
      <c r="E54">
        <v>0.59419999999999995</v>
      </c>
      <c r="F54">
        <v>0.56869999999999998</v>
      </c>
      <c r="G54">
        <v>0.57099999999999995</v>
      </c>
      <c r="H54">
        <v>0.44130000000000003</v>
      </c>
      <c r="I54">
        <v>0.56079999999999997</v>
      </c>
      <c r="K54">
        <v>117.93</v>
      </c>
      <c r="L54">
        <v>0</v>
      </c>
      <c r="N54" s="11">
        <v>95</v>
      </c>
      <c r="O54" cm="1">
        <f t="array" ref="O54">vega_new(K54,N54,0.08333,0.056131,L54,B54)</f>
        <v>6.5783433249000867</v>
      </c>
      <c r="P54" cm="1">
        <f t="array" ref="P54">vega_new(K54,N54,0.1666666,0.010008,L54,C54)</f>
        <v>11.59843012079526</v>
      </c>
      <c r="Q54" cm="1">
        <f t="array" ref="Q54">vega_new(K54,N54,0.230769,0.026756,0,D54)</f>
        <v>14.474405717750379</v>
      </c>
      <c r="R54" cm="1">
        <f t="array" ref="R54">vega_new(K54,N54,0.333333,0.020067,L54,E54)</f>
        <v>19.386887966883865</v>
      </c>
      <c r="S54" cm="1">
        <f t="array" ref="S54">vega_new(K54,N54,0.5,0.026846,L54,F54)</f>
        <v>24.69245060437807</v>
      </c>
      <c r="T54" cm="1">
        <f t="array" ref="T54">vega_new(K54,N54,0.75,0.022409,L54,G54)</f>
        <v>31.475459843551171</v>
      </c>
      <c r="U54" cm="1">
        <f t="array" ref="U54">vega_new(K54,N54,1.1666666666,0.03648,L54,H54)</f>
        <v>37.452531082295813</v>
      </c>
      <c r="V54" cm="1">
        <f t="array" ref="V54">vega_new(K54,N54,1.75,0.021346,L54,I54)</f>
        <v>48.277533780738253</v>
      </c>
    </row>
    <row r="55" spans="1:22" x14ac:dyDescent="0.3">
      <c r="A55" s="11">
        <v>100</v>
      </c>
      <c r="B55">
        <v>0.60819999999999996</v>
      </c>
      <c r="C55">
        <v>0.57520000000000004</v>
      </c>
      <c r="D55">
        <v>0.54249999999999998</v>
      </c>
      <c r="E55">
        <v>0.56950000000000001</v>
      </c>
      <c r="F55">
        <v>0.54910000000000003</v>
      </c>
      <c r="G55">
        <v>0.55489999999999995</v>
      </c>
      <c r="H55">
        <v>0.55330000000000001</v>
      </c>
      <c r="I55">
        <v>0.55300000000000005</v>
      </c>
      <c r="K55">
        <v>117.93</v>
      </c>
      <c r="L55">
        <v>0</v>
      </c>
      <c r="N55" s="11">
        <v>100</v>
      </c>
      <c r="O55" cm="1">
        <f t="array" ref="O55">vega_new(K55,N55,0.08333,0.056131,L55,B55)</f>
        <v>7.7947795947459015</v>
      </c>
      <c r="P55" cm="1">
        <f t="array" ref="P55">vega_new(K55,N55,0.1666666,0.010008,L55,C55)</f>
        <v>13.646011086762728</v>
      </c>
      <c r="Q55" cm="1">
        <f t="array" ref="Q55">vega_new(K55,N55,0.230769,0.026756,0,D55)</f>
        <v>16.583942938678771</v>
      </c>
      <c r="R55" cm="1">
        <f t="array" ref="R55">vega_new(K55,N55,0.333333,0.020067,L55,E55)</f>
        <v>21.462846458651267</v>
      </c>
      <c r="S55" cm="1">
        <f t="array" ref="S55">vega_new(K55,N55,0.5,0.026846,L55,F55)</f>
        <v>26.871652528428701</v>
      </c>
      <c r="T55" cm="1">
        <f t="array" ref="T55">vega_new(K55,N55,0.75,0.022409,L55,G55)</f>
        <v>33.652192103999781</v>
      </c>
      <c r="U55" cm="1">
        <f t="array" ref="U55">vega_new(K55,N55,1.1666666666,0.03648,L55,H55)</f>
        <v>41.24697850141721</v>
      </c>
      <c r="V55" cm="1">
        <f t="array" ref="V55">vega_new(K55,N55,1.75,0.021346,L55,I55)</f>
        <v>50.63785288784927</v>
      </c>
    </row>
    <row r="56" spans="1:22" x14ac:dyDescent="0.3">
      <c r="A56" s="11">
        <v>105</v>
      </c>
      <c r="B56">
        <v>0.59199999999999997</v>
      </c>
      <c r="C56">
        <v>0.54530000000000001</v>
      </c>
      <c r="D56">
        <v>0.52280000000000004</v>
      </c>
      <c r="E56">
        <v>0.53939999999999999</v>
      </c>
      <c r="F56">
        <v>0.53480000000000005</v>
      </c>
      <c r="G56">
        <v>0.54369999999999996</v>
      </c>
      <c r="H56">
        <v>0.53969999999999996</v>
      </c>
      <c r="I56">
        <v>0.54669999999999996</v>
      </c>
      <c r="K56">
        <v>117.93</v>
      </c>
      <c r="L56">
        <v>0</v>
      </c>
      <c r="N56" s="11">
        <v>105</v>
      </c>
      <c r="O56" cm="1">
        <f t="array" ref="O56">vega_new(K56,N56,0.08333,0.056131,L56,B56)</f>
        <v>9.9219765461284375</v>
      </c>
      <c r="P56" cm="1">
        <f t="array" ref="P56">vega_new(K56,N56,0.1666666,0.010008,L56,C56)</f>
        <v>15.645400465548967</v>
      </c>
      <c r="Q56" cm="1">
        <f t="array" ref="Q56">vega_new(K56,N56,0.230769,0.026756,0,D56)</f>
        <v>18.734496893456569</v>
      </c>
      <c r="R56" cm="1">
        <f t="array" ref="R56">vega_new(K56,N56,0.333333,0.020067,L56,E56)</f>
        <v>23.348763086300554</v>
      </c>
      <c r="S56" cm="1">
        <f t="array" ref="S56">vega_new(K56,N56,0.5,0.026846,L56,F56)</f>
        <v>28.8826971546045</v>
      </c>
      <c r="T56" cm="1">
        <f t="array" ref="T56">vega_new(K56,N56,0.75,0.022409,L56,G56)</f>
        <v>35.633070407236573</v>
      </c>
      <c r="U56" cm="1">
        <f t="array" ref="U56">vega_new(K56,N56,1.1666666666,0.03648,L56,H56)</f>
        <v>43.351960371903992</v>
      </c>
      <c r="V56" cm="1">
        <f t="array" ref="V56">vega_new(K56,N56,1.75,0.021346,L56,I56)</f>
        <v>52.789744607039545</v>
      </c>
    </row>
    <row r="57" spans="1:22" x14ac:dyDescent="0.3">
      <c r="A57" s="11">
        <v>110</v>
      </c>
      <c r="B57">
        <v>0.56469999999999998</v>
      </c>
      <c r="C57">
        <v>0.52649999999999997</v>
      </c>
      <c r="D57">
        <v>0.50529999999999997</v>
      </c>
      <c r="E57">
        <v>0.52490000000000003</v>
      </c>
      <c r="F57">
        <v>0.50980000000000003</v>
      </c>
      <c r="G57">
        <v>0.52749999999999997</v>
      </c>
      <c r="H57">
        <v>0.53129999999999999</v>
      </c>
      <c r="I57">
        <v>0.53569999999999995</v>
      </c>
      <c r="K57">
        <v>117.93</v>
      </c>
      <c r="L57">
        <v>0</v>
      </c>
      <c r="N57" s="11">
        <v>110</v>
      </c>
      <c r="O57" cm="1">
        <f t="array" ref="O57">vega_new(K57,N57,0.08333,0.056131,L57,B57)</f>
        <v>11.756091800863139</v>
      </c>
      <c r="P57" cm="1">
        <f t="array" ref="P57">vega_new(K57,N57,0.1666666,0.010008,L57,C57)</f>
        <v>17.441859525221517</v>
      </c>
      <c r="Q57" cm="1">
        <f t="array" ref="Q57">vega_new(K57,N57,0.230769,0.026756,0,D57)</f>
        <v>20.573177846939846</v>
      </c>
      <c r="R57" cm="1">
        <f t="array" ref="R57">vega_new(K57,N57,0.333333,0.020067,L57,E57)</f>
        <v>25.041175308414978</v>
      </c>
      <c r="S57" cm="1">
        <f t="array" ref="S57">vega_new(K57,N57,0.5,0.026846,L57,F57)</f>
        <v>30.57829017169556</v>
      </c>
      <c r="T57" cm="1">
        <f t="array" ref="T57">vega_new(K57,N57,0.75,0.022409,L57,G57)</f>
        <v>37.342195719458317</v>
      </c>
      <c r="U57" cm="1">
        <f t="array" ref="U57">vega_new(K57,N57,1.1666666666,0.03648,L57,H57)</f>
        <v>45.235117547429873</v>
      </c>
      <c r="V57" cm="1">
        <f t="array" ref="V57">vega_new(K57,N57,1.75,0.021346,L57,I57)</f>
        <v>54.779179206550602</v>
      </c>
    </row>
    <row r="58" spans="1:22" x14ac:dyDescent="0.3">
      <c r="A58" s="11">
        <v>115</v>
      </c>
      <c r="B58" s="13">
        <v>0.52580000000000005</v>
      </c>
      <c r="C58" s="13">
        <v>0.50390000000000001</v>
      </c>
      <c r="D58" s="13">
        <v>0.48609999999999998</v>
      </c>
      <c r="E58" s="13">
        <v>0.50870000000000004</v>
      </c>
      <c r="F58" s="13">
        <v>0.50019999999999998</v>
      </c>
      <c r="G58" s="13">
        <v>0.51759999999999995</v>
      </c>
      <c r="H58" s="13">
        <v>0.52110000000000001</v>
      </c>
      <c r="I58" s="13">
        <v>0.52969999999999995</v>
      </c>
      <c r="K58">
        <v>117.93</v>
      </c>
      <c r="L58">
        <v>0</v>
      </c>
      <c r="N58" s="11">
        <v>115</v>
      </c>
      <c r="O58" cm="1">
        <f t="array" ref="O58">vega_new(K58,N58,0.08333,0.056131,L58,B58)</f>
        <v>13.086231877955973</v>
      </c>
      <c r="P58" cm="1">
        <f t="array" ref="P58">vega_new(K58,N58,0.1666666,0.010008,L58,C58)</f>
        <v>18.691449192076096</v>
      </c>
      <c r="Q58" cm="1">
        <f t="array" ref="Q58">vega_new(K58,N58,0.230769,0.026756,0,D58)</f>
        <v>21.900255230250654</v>
      </c>
      <c r="R58" cm="1">
        <f t="array" ref="R58">vega_new(K58,N58,0.333333,0.020067,L58,E58)</f>
        <v>26.291883155597063</v>
      </c>
      <c r="S58" cm="1">
        <f t="array" ref="S58">vega_new(K58,N58,0.5,0.026846,L58,F58)</f>
        <v>31.934949291980207</v>
      </c>
      <c r="T58" cm="1">
        <f t="array" ref="T58">vega_new(K58,N58,0.75,0.022409,L58,G58)</f>
        <v>38.738339386191441</v>
      </c>
      <c r="U58" cm="1">
        <f t="array" ref="U58">vega_new(K58,N58,1.1666666666,0.03648,L58,H58)</f>
        <v>46.877152086749312</v>
      </c>
      <c r="V58" cm="1">
        <f t="array" ref="V58">vega_new(K58,N58,1.75,0.021346,L58,I58)</f>
        <v>56.5059757511968</v>
      </c>
    </row>
    <row r="59" spans="1:22" x14ac:dyDescent="0.3">
      <c r="A59" s="11">
        <v>120</v>
      </c>
      <c r="B59" s="13">
        <v>0.50649999999999995</v>
      </c>
      <c r="C59" s="13">
        <v>0.47689999999999999</v>
      </c>
      <c r="D59" s="13">
        <v>0.46529999999999999</v>
      </c>
      <c r="E59" s="13">
        <v>0.49719999999999998</v>
      </c>
      <c r="F59" s="13">
        <v>0.49370000000000003</v>
      </c>
      <c r="G59" s="13">
        <v>0.50280000000000002</v>
      </c>
      <c r="H59" s="13">
        <v>0.51200000000000001</v>
      </c>
      <c r="I59" s="13">
        <v>0.52200000000000002</v>
      </c>
      <c r="K59">
        <v>117.93</v>
      </c>
      <c r="L59">
        <v>0</v>
      </c>
      <c r="N59" s="11">
        <v>120</v>
      </c>
      <c r="O59" cm="1">
        <f t="array" ref="O59">vega_new(K59,N59,0.08333,0.056131,L59,B59)</f>
        <v>13.579788924782903</v>
      </c>
      <c r="P59" cm="1">
        <f t="array" ref="P59">vega_new(K59,N59,0.1666666,0.010008,L59,C59)</f>
        <v>19.204333766227222</v>
      </c>
      <c r="Q59" cm="1">
        <f t="array" ref="Q59">vega_new(K59,N59,0.230769,0.026756,0,D59)</f>
        <v>22.558009569544996</v>
      </c>
      <c r="R59" cm="1">
        <f t="array" ref="R59">vega_new(K59,N59,0.333333,0.020067,L59,E59)</f>
        <v>27.009949509741958</v>
      </c>
      <c r="S59" cm="1">
        <f t="array" ref="S59">vega_new(K59,N59,0.5,0.026846,L59,F59)</f>
        <v>32.827586819520462</v>
      </c>
      <c r="T59" cm="1">
        <f t="array" ref="T59">vega_new(K59,N59,0.75,0.022409,L59,G59)</f>
        <v>39.801590599470572</v>
      </c>
      <c r="U59" cm="1">
        <f t="array" ref="U59">vega_new(K59,N59,1.1666666666,0.03648,L59,H59)</f>
        <v>48.249433481884857</v>
      </c>
      <c r="V59" cm="1">
        <f t="array" ref="V59">vega_new(K59,N59,1.75,0.021346,L59,I59)</f>
        <v>58.029974881609469</v>
      </c>
    </row>
    <row r="60" spans="1:22" x14ac:dyDescent="0.3">
      <c r="A60" s="11">
        <v>125</v>
      </c>
      <c r="B60">
        <v>0.49120000000000003</v>
      </c>
      <c r="C60">
        <v>0.46400000000000002</v>
      </c>
      <c r="D60">
        <v>0.45090000000000002</v>
      </c>
      <c r="E60">
        <v>0.48709999999999998</v>
      </c>
      <c r="F60">
        <v>0.47920000000000001</v>
      </c>
      <c r="G60">
        <v>0.49630000000000002</v>
      </c>
      <c r="H60">
        <v>0.50070000000000003</v>
      </c>
      <c r="I60">
        <v>0.51190000000000002</v>
      </c>
      <c r="K60">
        <v>117.93</v>
      </c>
      <c r="L60">
        <v>0</v>
      </c>
      <c r="N60" s="11">
        <v>125</v>
      </c>
      <c r="O60" cm="1">
        <f t="array" ref="O60">vega_new(K60,N60,0.08333,0.056131,L60,B60)</f>
        <v>12.957028505004068</v>
      </c>
      <c r="P60" cm="1">
        <f t="array" ref="P60">vega_new(K60,N60,0.1666666,0.010008,L60,C60)</f>
        <v>18.812038511856173</v>
      </c>
      <c r="Q60" cm="1">
        <f t="array" ref="Q60">vega_new(K60,N60,0.230769,0.026756,0,D60)</f>
        <v>22.404757823622838</v>
      </c>
      <c r="R60" cm="1">
        <f t="array" ref="R60">vega_new(K60,N60,0.333333,0.020067,L60,E60)</f>
        <v>27.138064203159225</v>
      </c>
      <c r="S60" cm="1">
        <f t="array" ref="S60">vega_new(K60,N60,0.5,0.026846,L60,F60)</f>
        <v>33.244415224393023</v>
      </c>
      <c r="T60" cm="1">
        <f t="array" ref="T60">vega_new(K60,N60,0.75,0.022409,L60,G60)</f>
        <v>40.458838939995537</v>
      </c>
      <c r="U60" cm="1">
        <f t="array" ref="U60">vega_new(K60,N60,1.1666666666,0.03648,L60,H60)</f>
        <v>49.356991998703833</v>
      </c>
      <c r="V60" cm="1">
        <f t="array" ref="V60">vega_new(K60,N60,1.75,0.021346,L60,I60)</f>
        <v>59.358642077382974</v>
      </c>
    </row>
    <row r="61" spans="1:22" x14ac:dyDescent="0.3">
      <c r="A61" s="11">
        <v>130</v>
      </c>
      <c r="B61">
        <v>0.47360000000000002</v>
      </c>
      <c r="C61">
        <v>0.44800000000000001</v>
      </c>
      <c r="D61">
        <v>0.4385</v>
      </c>
      <c r="E61">
        <v>0.4698</v>
      </c>
      <c r="F61">
        <v>0.46860000000000002</v>
      </c>
      <c r="G61">
        <v>0.48920000000000002</v>
      </c>
      <c r="H61">
        <v>0.497</v>
      </c>
      <c r="I61">
        <v>0.50449999999999995</v>
      </c>
      <c r="K61">
        <v>117.93</v>
      </c>
      <c r="L61">
        <v>0</v>
      </c>
      <c r="N61" s="11">
        <v>130</v>
      </c>
      <c r="O61" cm="1">
        <f t="array" ref="O61">vega_new(K61,N61,0.08333,0.056131,L61,B61)</f>
        <v>11.274206382326769</v>
      </c>
      <c r="P61" cm="1">
        <f t="array" ref="P61">vega_new(K61,N61,0.1666666,0.010008,L61,C61)</f>
        <v>17.494179314970964</v>
      </c>
      <c r="Q61" cm="1">
        <f t="array" ref="Q61">vega_new(K61,N61,0.230769,0.026756,0,D61)</f>
        <v>21.417487001871326</v>
      </c>
      <c r="R61" cm="1">
        <f t="array" ref="R61">vega_new(K61,N61,0.333333,0.020067,L61,E61)</f>
        <v>26.630339670011303</v>
      </c>
      <c r="S61" cm="1">
        <f t="array" ref="S61">vega_new(K61,N61,0.5,0.026846,L61,F61)</f>
        <v>33.139184959303037</v>
      </c>
      <c r="T61" cm="1">
        <f t="array" ref="T61">vega_new(K61,N61,0.75,0.022409,L61,G61)</f>
        <v>40.734712072951652</v>
      </c>
      <c r="U61" cm="1">
        <f t="array" ref="U61">vega_new(K61,N61,1.1666666666,0.03648,L61,H61)</f>
        <v>50.120056464580337</v>
      </c>
      <c r="V61" cm="1">
        <f t="array" ref="V61">vega_new(K61,N61,1.75,0.021346,L61,I61)</f>
        <v>60.417276777552345</v>
      </c>
    </row>
    <row r="62" spans="1:22" x14ac:dyDescent="0.3">
      <c r="A62" s="11">
        <v>135</v>
      </c>
      <c r="B62">
        <v>0.47</v>
      </c>
      <c r="C62">
        <v>0.43990000000000001</v>
      </c>
      <c r="D62">
        <v>0.4289</v>
      </c>
      <c r="E62">
        <v>0.4612</v>
      </c>
      <c r="F62">
        <v>0.46039999999999998</v>
      </c>
      <c r="G62">
        <v>0.4778</v>
      </c>
      <c r="H62">
        <v>0.49030000000000001</v>
      </c>
      <c r="I62">
        <v>0.50449999999999995</v>
      </c>
      <c r="K62">
        <v>117.93</v>
      </c>
      <c r="L62">
        <v>0</v>
      </c>
      <c r="N62" s="11">
        <v>135</v>
      </c>
      <c r="O62" cm="1">
        <f t="array" ref="O62">vega_new(K62,N62,0.08333,0.056131,L62,B62)</f>
        <v>9.1066082146743064</v>
      </c>
      <c r="P62" cm="1">
        <f t="array" ref="P62">vega_new(K62,N62,0.1666666,0.010008,L62,C62)</f>
        <v>15.512369663184659</v>
      </c>
      <c r="Q62" cm="1">
        <f t="array" ref="Q62">vega_new(K62,N62,0.230769,0.026756,0,D62)</f>
        <v>19.710519195491671</v>
      </c>
      <c r="R62" cm="1">
        <f t="array" ref="R62">vega_new(K62,N62,0.333333,0.020067,L62,E62)</f>
        <v>25.554051518981439</v>
      </c>
      <c r="S62" cm="1">
        <f t="array" ref="S62">vega_new(K62,N62,0.5,0.026846,L62,F62)</f>
        <v>32.533445112007968</v>
      </c>
      <c r="T62" cm="1">
        <f t="array" ref="T62">vega_new(K62,N62,0.75,0.022409,L62,G62)</f>
        <v>40.616577015840775</v>
      </c>
      <c r="U62" cm="1">
        <f t="array" ref="U62">vega_new(K62,N62,1.1666666666,0.03648,L62,H62)</f>
        <v>50.61194381694807</v>
      </c>
      <c r="V62" cm="1">
        <f t="array" ref="V62">vega_new(K62,N62,1.75,0.021346,L62,I62)</f>
        <v>61.157655185736921</v>
      </c>
    </row>
    <row r="63" spans="1:22" x14ac:dyDescent="0.3">
      <c r="A63" s="11">
        <v>140</v>
      </c>
      <c r="B63">
        <v>0.46800000000000003</v>
      </c>
      <c r="C63">
        <v>0.43730000000000002</v>
      </c>
      <c r="D63">
        <v>0.42430000000000001</v>
      </c>
      <c r="E63">
        <v>0.45469999999999999</v>
      </c>
      <c r="F63">
        <v>0.4486</v>
      </c>
      <c r="G63">
        <v>0.46989999999999998</v>
      </c>
      <c r="H63">
        <v>0.48309999999999997</v>
      </c>
      <c r="I63">
        <v>0.49919999999999998</v>
      </c>
      <c r="K63">
        <v>117.93</v>
      </c>
      <c r="L63">
        <v>0</v>
      </c>
      <c r="N63" s="11">
        <v>140</v>
      </c>
      <c r="O63" cm="1">
        <f t="array" ref="O63">vega_new(K63,N63,0.08333,0.056131,L63,B63)</f>
        <v>6.8685989528698199</v>
      </c>
      <c r="P63" cm="1">
        <f t="array" ref="P63">vega_new(K63,N63,0.1666666,0.010008,L63,C63)</f>
        <v>13.243082118653525</v>
      </c>
      <c r="Q63" cm="1">
        <f t="array" ref="Q63">vega_new(K63,N63,0.230769,0.026756,0,D63)</f>
        <v>17.572369260086752</v>
      </c>
      <c r="R63" cm="1">
        <f t="array" ref="R63">vega_new(K63,N63,0.333333,0.020067,L63,E63)</f>
        <v>24.010059881789186</v>
      </c>
      <c r="S63" cm="1">
        <f t="array" ref="S63">vega_new(K63,N63,0.5,0.026846,L63,F63)</f>
        <v>31.400208219396138</v>
      </c>
      <c r="T63" cm="1">
        <f t="array" ref="T63">vega_new(K63,N63,0.75,0.022409,L63,G63)</f>
        <v>40.112380787012128</v>
      </c>
      <c r="U63" cm="1">
        <f t="array" ref="U63">vega_new(K63,N63,1.1666666666,0.03648,L63,H63)</f>
        <v>50.812081267914095</v>
      </c>
      <c r="V63" cm="1">
        <f t="array" ref="V63">vega_new(K63,N63,1.75,0.021346,L63,I63)</f>
        <v>61.737940016733049</v>
      </c>
    </row>
    <row r="64" spans="1:22" x14ac:dyDescent="0.3">
      <c r="A64" s="11">
        <v>145</v>
      </c>
      <c r="B64">
        <v>0.46439999999999998</v>
      </c>
      <c r="C64">
        <v>0.436</v>
      </c>
      <c r="D64">
        <v>0.41699999999999998</v>
      </c>
      <c r="E64">
        <v>0.44679999999999997</v>
      </c>
      <c r="F64">
        <v>0.4451</v>
      </c>
      <c r="G64">
        <v>0.46710000000000002</v>
      </c>
      <c r="H64">
        <v>0.47549999999999998</v>
      </c>
      <c r="I64">
        <v>0.49259999999999998</v>
      </c>
      <c r="K64">
        <v>117.93</v>
      </c>
      <c r="L64">
        <v>0</v>
      </c>
      <c r="N64" s="11">
        <v>145</v>
      </c>
      <c r="O64" cm="1">
        <f t="array" ref="O64">vega_new(K64,N64,0.08333,0.056131,L64,B64)</f>
        <v>4.8190146178550863</v>
      </c>
      <c r="P64" cm="1">
        <f t="array" ref="P64">vega_new(K64,N64,0.1666666,0.010008,L64,C64)</f>
        <v>10.921646932919863</v>
      </c>
      <c r="Q64" cm="1">
        <f t="array" ref="Q64">vega_new(K64,N64,0.230769,0.026756,0,D64)</f>
        <v>15.06634399869403</v>
      </c>
      <c r="R64" cm="1">
        <f t="array" ref="R64">vega_new(K64,N64,0.333333,0.020067,L64,E64)</f>
        <v>22.045061399540181</v>
      </c>
      <c r="S64" cm="1">
        <f t="array" ref="S64">vega_new(K64,N64,0.5,0.026846,L64,F64)</f>
        <v>29.974912949262283</v>
      </c>
      <c r="T64" cm="1">
        <f t="array" ref="T64">vega_new(K64,N64,0.75,0.022409,L64,G64)</f>
        <v>39.317129791962607</v>
      </c>
      <c r="U64" cm="1">
        <f t="array" ref="U64">vega_new(K64,N64,1.1666666666,0.03648,L64,H64)</f>
        <v>50.717136257727681</v>
      </c>
      <c r="V64" cm="1">
        <f t="array" ref="V64">vega_new(K64,N64,1.75,0.021346,L64,I64)</f>
        <v>62.102102411371312</v>
      </c>
    </row>
    <row r="65" spans="1:22" x14ac:dyDescent="0.3">
      <c r="A65" s="11">
        <v>150</v>
      </c>
      <c r="B65">
        <v>0.51900000000000002</v>
      </c>
      <c r="C65">
        <v>0.43730000000000002</v>
      </c>
      <c r="D65">
        <v>0.4158</v>
      </c>
      <c r="E65">
        <v>0.4385</v>
      </c>
      <c r="F65">
        <v>0.439</v>
      </c>
      <c r="G65">
        <v>0.45910000000000001</v>
      </c>
      <c r="H65">
        <v>0.46960000000000002</v>
      </c>
      <c r="I65">
        <v>0.4854</v>
      </c>
      <c r="K65">
        <v>117.93</v>
      </c>
      <c r="L65">
        <v>0</v>
      </c>
      <c r="N65" s="11">
        <v>150</v>
      </c>
      <c r="O65" cm="1">
        <f t="array" ref="O65">vega_new(K65,N65,0.08333,0.056131,L65,B65)</f>
        <v>4.4129075247780571</v>
      </c>
      <c r="P65" cm="1">
        <f t="array" ref="P65">vega_new(K65,N65,0.1666666,0.010008,L65,C65)</f>
        <v>8.8070470909376368</v>
      </c>
      <c r="Q65" cm="1">
        <f t="array" ref="Q65">vega_new(K65,N65,0.230769,0.026756,0,D65)</f>
        <v>12.702572953330058</v>
      </c>
      <c r="R65" cm="1">
        <f t="array" ref="R65">vega_new(K65,N65,0.333333,0.020067,L65,E65)</f>
        <v>19.769434727141125</v>
      </c>
      <c r="S65" cm="1">
        <f t="array" ref="S65">vega_new(K65,N65,0.5,0.026846,L65,F65)</f>
        <v>28.174946025767966</v>
      </c>
      <c r="T65" cm="1">
        <f t="array" ref="T65">vega_new(K65,N65,0.75,0.022409,L65,G65)</f>
        <v>38.133285092056283</v>
      </c>
      <c r="U65" cm="1">
        <f t="array" ref="U65">vega_new(K65,N65,1.1666666666,0.03648,L65,H65)</f>
        <v>50.344161493260209</v>
      </c>
      <c r="V65" cm="1">
        <f t="array" ref="V65">vega_new(K65,N65,1.75,0.021346,L65,I65)</f>
        <v>62.237012001104077</v>
      </c>
    </row>
    <row r="66" spans="1:22" x14ac:dyDescent="0.3">
      <c r="A66" s="11">
        <v>155</v>
      </c>
      <c r="B66">
        <v>0.51270000000000004</v>
      </c>
      <c r="C66">
        <v>0.44429999999999997</v>
      </c>
      <c r="D66">
        <v>0.4128</v>
      </c>
      <c r="E66">
        <v>0.43259999999999998</v>
      </c>
      <c r="F66">
        <v>0.43230000000000002</v>
      </c>
      <c r="G66">
        <v>0.45550000000000002</v>
      </c>
      <c r="H66">
        <v>0.46360000000000001</v>
      </c>
      <c r="I66">
        <v>0.48159999999999997</v>
      </c>
      <c r="K66">
        <v>117.93</v>
      </c>
      <c r="L66">
        <v>0</v>
      </c>
      <c r="N66" s="11">
        <v>155</v>
      </c>
      <c r="O66" cm="1">
        <f t="array" ref="O66">vega_new(K66,N66,0.08333,0.056131,L66,B66)</f>
        <v>2.9823957679666764</v>
      </c>
      <c r="P66" cm="1">
        <f t="array" ref="P66">vega_new(K66,N66,0.1666666,0.010008,L66,C66)</f>
        <v>7.1376993810932508</v>
      </c>
      <c r="Q66" cm="1">
        <f t="array" ref="Q66">vega_new(K66,N66,0.230769,0.026756,0,D66)</f>
        <v>10.372230638823828</v>
      </c>
      <c r="R66" cm="1">
        <f t="array" ref="R66">vega_new(K66,N66,0.333333,0.020067,L66,E66)</f>
        <v>17.417727936331492</v>
      </c>
      <c r="S66" cm="1">
        <f t="array" ref="S66">vega_new(K66,N66,0.5,0.026846,L66,F66)</f>
        <v>26.085488603360108</v>
      </c>
      <c r="T66" cm="1">
        <f t="array" ref="T66">vega_new(K66,N66,0.75,0.022409,L66,G66)</f>
        <v>36.76985580766916</v>
      </c>
      <c r="U66" cm="1">
        <f t="array" ref="U66">vega_new(K66,N66,1.1666666666,0.03648,L66,H66)</f>
        <v>49.703501319122246</v>
      </c>
      <c r="V66" cm="1">
        <f t="array" ref="V66">vega_new(K66,N66,1.75,0.021346,L66,I66)</f>
        <v>62.15408137494655</v>
      </c>
    </row>
    <row r="67" spans="1:22" x14ac:dyDescent="0.3">
      <c r="A67" s="11">
        <v>160</v>
      </c>
      <c r="B67">
        <v>0.52249999999999996</v>
      </c>
      <c r="C67">
        <v>0.44969999999999999</v>
      </c>
      <c r="D67">
        <v>0.41110000000000002</v>
      </c>
      <c r="E67">
        <v>0.42859999999999998</v>
      </c>
      <c r="F67">
        <v>0.42799999999999999</v>
      </c>
      <c r="G67">
        <v>0.44829999999999998</v>
      </c>
      <c r="H67">
        <v>0.45950000000000002</v>
      </c>
      <c r="I67">
        <v>0.47570000000000001</v>
      </c>
      <c r="K67">
        <v>117.93</v>
      </c>
      <c r="L67">
        <v>0</v>
      </c>
      <c r="N67" s="11">
        <v>160</v>
      </c>
      <c r="O67" cm="1">
        <f t="array" ref="O67">vega_new(K67,N67,0.08333,0.056131,L67,B67)</f>
        <v>2.1654659771906122</v>
      </c>
      <c r="P67" cm="1">
        <f t="array" ref="P67">vega_new(K67,N67,0.1666666,0.010008,L67,C67)</f>
        <v>5.6807776210204102</v>
      </c>
      <c r="Q67" cm="1">
        <f t="array" ref="Q67">vega_new(K67,N67,0.230769,0.026756,0,D67)</f>
        <v>8.307184959103358</v>
      </c>
      <c r="R67" cm="1">
        <f t="array" ref="R67">vega_new(K67,N67,0.333333,0.020067,L67,E67)</f>
        <v>15.124792818380834</v>
      </c>
      <c r="S67" cm="1">
        <f t="array" ref="S67">vega_new(K67,N67,0.5,0.026846,L67,F67)</f>
        <v>23.916988468253823</v>
      </c>
      <c r="T67" cm="1">
        <f t="array" ref="T67">vega_new(K67,N67,0.75,0.022409,L67,G67)</f>
        <v>35.055744180924989</v>
      </c>
      <c r="U67" cm="1">
        <f t="array" ref="U67">vega_new(K67,N67,1.1666666666,0.03648,L67,H67)</f>
        <v>48.852639400657431</v>
      </c>
      <c r="V67" cm="1">
        <f t="array" ref="V67">vega_new(K67,N67,1.75,0.021346,L67,I67)</f>
        <v>61.85684313938215</v>
      </c>
    </row>
    <row r="69" spans="1:22" x14ac:dyDescent="0.3">
      <c r="A69" s="15" t="s">
        <v>73</v>
      </c>
    </row>
    <row r="70" spans="1:22" x14ac:dyDescent="0.3">
      <c r="B70" s="12" t="s">
        <v>31</v>
      </c>
      <c r="C70" s="12" t="s">
        <v>32</v>
      </c>
      <c r="D70" s="12" t="s">
        <v>35</v>
      </c>
      <c r="E70" s="12" t="s">
        <v>38</v>
      </c>
      <c r="F70" s="12" t="s">
        <v>41</v>
      </c>
      <c r="G70" s="12" t="s">
        <v>44</v>
      </c>
      <c r="H70" s="12" t="s">
        <v>47</v>
      </c>
      <c r="I70" s="12" t="s">
        <v>50</v>
      </c>
      <c r="K70" s="14" t="s">
        <v>11</v>
      </c>
      <c r="L70" s="14" t="s">
        <v>66</v>
      </c>
      <c r="M70" s="14"/>
      <c r="O70" s="12">
        <v>1</v>
      </c>
      <c r="P70" s="12">
        <v>2</v>
      </c>
      <c r="Q70" s="12">
        <v>3</v>
      </c>
      <c r="R70" s="12">
        <v>4</v>
      </c>
      <c r="S70" s="12">
        <v>6</v>
      </c>
      <c r="T70" s="12">
        <v>9</v>
      </c>
      <c r="U70" s="12">
        <v>14</v>
      </c>
      <c r="V70" s="12">
        <v>21</v>
      </c>
    </row>
    <row r="71" spans="1:22" x14ac:dyDescent="0.3">
      <c r="A71" s="11">
        <v>95</v>
      </c>
      <c r="B71">
        <v>0.69310000000000005</v>
      </c>
      <c r="C71">
        <v>0.60599999999999998</v>
      </c>
      <c r="D71">
        <v>0.57430000000000003</v>
      </c>
      <c r="E71">
        <v>0.59419999999999995</v>
      </c>
      <c r="F71">
        <v>0.56869999999999998</v>
      </c>
      <c r="G71">
        <v>0.57099999999999995</v>
      </c>
      <c r="H71">
        <v>0.44130000000000003</v>
      </c>
      <c r="I71">
        <v>0.56079999999999997</v>
      </c>
      <c r="K71">
        <v>117.93</v>
      </c>
      <c r="L71">
        <v>0</v>
      </c>
      <c r="N71" s="11">
        <v>95</v>
      </c>
      <c r="O71" cm="1">
        <f t="array" ref="O71">rho_call(K71,N71,0.08333,0.056131,L71,B71)</f>
        <v>6.6369038371291138</v>
      </c>
      <c r="P71" cm="1">
        <f t="array" ref="P71">rho_call(K71,N71,0.1666666,0.010008,L71,C71)</f>
        <v>12.257863177809424</v>
      </c>
      <c r="Q71" cm="1">
        <f t="array" ref="Q71">rho_call(K71,N71,0.230769,0.026756,0,D71)</f>
        <v>16.297100483187645</v>
      </c>
      <c r="R71" cm="1">
        <f t="array" ref="R71">rho_call(K71,N71,0.333333,0.020067,L71,E71)</f>
        <v>21.507781387009278</v>
      </c>
      <c r="S71" cm="1">
        <f t="array" ref="S71">rho_call(K71,N71,0.5,0.026846,L71,F71)</f>
        <v>30.196331246164281</v>
      </c>
      <c r="T71" cm="1">
        <f t="array" ref="T71">rho_call(K71,N71,0.75,0.022409,L71,G71)</f>
        <v>41.239614786202928</v>
      </c>
      <c r="U71" cm="1">
        <f t="array" ref="U71">rho_call(K71,N71,1.1666666666,0.03648,L71,H71)</f>
        <v>65.816336956196139</v>
      </c>
      <c r="V71" cm="1">
        <f t="array" ref="V71">rho_call(K71,N71,1.75,0.021346,L71,I71)</f>
        <v>78.21583512404321</v>
      </c>
    </row>
    <row r="72" spans="1:22" x14ac:dyDescent="0.3">
      <c r="A72" s="11">
        <v>100</v>
      </c>
      <c r="B72">
        <v>0.60819999999999996</v>
      </c>
      <c r="C72">
        <v>0.57520000000000004</v>
      </c>
      <c r="D72">
        <v>0.54249999999999998</v>
      </c>
      <c r="E72">
        <v>0.56950000000000001</v>
      </c>
      <c r="F72">
        <v>0.54910000000000003</v>
      </c>
      <c r="G72">
        <v>0.55489999999999995</v>
      </c>
      <c r="H72">
        <v>0.55330000000000001</v>
      </c>
      <c r="I72">
        <v>0.55300000000000005</v>
      </c>
      <c r="K72">
        <v>117.93</v>
      </c>
      <c r="L72">
        <v>0</v>
      </c>
      <c r="N72" s="11">
        <v>100</v>
      </c>
      <c r="O72" cm="1">
        <f t="array" ref="O72">rho_call(K72,N72,0.08333,0.056131,L72,B72)</f>
        <v>6.7189393026938093</v>
      </c>
      <c r="P72" cm="1">
        <f t="array" ref="P72">rho_call(K72,N72,0.1666666,0.010008,L72,C72)</f>
        <v>12.031197616177479</v>
      </c>
      <c r="Q72" cm="1">
        <f t="array" ref="Q72">rho_call(K72,N72,0.230769,0.026756,0,D72)</f>
        <v>16.068890553960408</v>
      </c>
      <c r="R72" cm="1">
        <f t="array" ref="R72">rho_call(K72,N72,0.333333,0.020067,L72,E72)</f>
        <v>21.17954080007695</v>
      </c>
      <c r="S72" cm="1">
        <f t="array" ref="S72">rho_call(K72,N72,0.5,0.026846,L72,F72)</f>
        <v>29.825397070687767</v>
      </c>
      <c r="T72" cm="1">
        <f t="array" ref="T72">rho_call(K72,N72,0.75,0.022409,L72,G72)</f>
        <v>40.918949206909254</v>
      </c>
      <c r="U72" cm="1">
        <f t="array" ref="U72">rho_call(K72,N72,1.1666666666,0.03648,L72,H72)</f>
        <v>58.058765619105152</v>
      </c>
      <c r="V72" cm="1">
        <f t="array" ref="V72">rho_call(K72,N72,1.75,0.021346,L72,I72)</f>
        <v>78.29572103753776</v>
      </c>
    </row>
    <row r="73" spans="1:22" x14ac:dyDescent="0.3">
      <c r="A73" s="11">
        <v>105</v>
      </c>
      <c r="B73">
        <v>0.59199999999999997</v>
      </c>
      <c r="C73">
        <v>0.54530000000000001</v>
      </c>
      <c r="D73">
        <v>0.52280000000000004</v>
      </c>
      <c r="E73">
        <v>0.53939999999999999</v>
      </c>
      <c r="F73">
        <v>0.53480000000000005</v>
      </c>
      <c r="G73">
        <v>0.54369999999999996</v>
      </c>
      <c r="H73">
        <v>0.53969999999999996</v>
      </c>
      <c r="I73">
        <v>0.54669999999999996</v>
      </c>
      <c r="K73">
        <v>117.93</v>
      </c>
      <c r="L73">
        <v>0</v>
      </c>
      <c r="N73" s="11">
        <v>105</v>
      </c>
      <c r="O73" cm="1">
        <f t="array" ref="O73">rho_call(K73,N73,0.08333,0.056131,L73,B73)</f>
        <v>6.3823302030692028</v>
      </c>
      <c r="P73" cm="1">
        <f t="array" ref="P73">rho_call(K73,N73,0.1666666,0.010008,L73,C73)</f>
        <v>11.565154894804285</v>
      </c>
      <c r="Q73" cm="1">
        <f t="array" ref="Q73">rho_call(K73,N73,0.230769,0.026756,0,D73)</f>
        <v>15.438873264901414</v>
      </c>
      <c r="R73" cm="1">
        <f t="array" ref="R73">rho_call(K73,N73,0.333333,0.020067,L73,E73)</f>
        <v>20.662506205687986</v>
      </c>
      <c r="S73" cm="1">
        <f t="array" ref="S73">rho_call(K73,N73,0.5,0.026846,L73,F73)</f>
        <v>29.059883536730805</v>
      </c>
      <c r="T73" cm="1">
        <f t="array" ref="T73">rho_call(K73,N73,0.75,0.022409,L73,G73)</f>
        <v>40.167169237866545</v>
      </c>
      <c r="U73" cm="1">
        <f t="array" ref="U73">rho_call(K73,N73,1.1666666666,0.03648,L73,H73)</f>
        <v>57.796510607141194</v>
      </c>
      <c r="V73" cm="1">
        <f t="array" ref="V73">rho_call(K73,N73,1.75,0.021346,L73,I73)</f>
        <v>77.996454436731455</v>
      </c>
    </row>
    <row r="74" spans="1:22" x14ac:dyDescent="0.3">
      <c r="A74" s="11">
        <v>110</v>
      </c>
      <c r="B74">
        <v>0.56469999999999998</v>
      </c>
      <c r="C74">
        <v>0.52649999999999997</v>
      </c>
      <c r="D74">
        <v>0.50529999999999997</v>
      </c>
      <c r="E74">
        <v>0.52490000000000003</v>
      </c>
      <c r="F74">
        <v>0.50980000000000003</v>
      </c>
      <c r="G74">
        <v>0.52749999999999997</v>
      </c>
      <c r="H74">
        <v>0.53129999999999999</v>
      </c>
      <c r="I74">
        <v>0.53569999999999995</v>
      </c>
      <c r="K74">
        <v>117.93</v>
      </c>
      <c r="L74">
        <v>0</v>
      </c>
      <c r="N74" s="11">
        <v>110</v>
      </c>
      <c r="O74" cm="1">
        <f t="array" ref="O74">rho_call(K74,N74,0.08333,0.056131,L74,B74)</f>
        <v>5.8926930270586011</v>
      </c>
      <c r="P74" cm="1">
        <f t="array" ref="P74">rho_call(K74,N74,0.1666666,0.010008,L74,C74)</f>
        <v>10.774446344529235</v>
      </c>
      <c r="Q74" cm="1">
        <f t="array" ref="Q74">rho_call(K74,N74,0.230769,0.026756,0,D74)</f>
        <v>14.523321672114335</v>
      </c>
      <c r="R74" cm="1">
        <f t="array" ref="R74">rho_call(K74,N74,0.333333,0.020067,L74,E74)</f>
        <v>19.665278154150212</v>
      </c>
      <c r="S74" cm="1">
        <f t="array" ref="S74">rho_call(K74,N74,0.5,0.026846,L74,F74)</f>
        <v>28.217487789940495</v>
      </c>
      <c r="T74" cm="1">
        <f t="array" ref="T74">rho_call(K74,N74,0.75,0.022409,L74,G74)</f>
        <v>39.292689940176757</v>
      </c>
      <c r="U74" cm="1">
        <f t="array" ref="U74">rho_call(K74,N74,1.1666666666,0.03648,L74,H74)</f>
        <v>57.011329602529528</v>
      </c>
      <c r="V74" cm="1">
        <f t="array" ref="V74">rho_call(K74,N74,1.75,0.021346,L74,I74)</f>
        <v>77.776951904929604</v>
      </c>
    </row>
    <row r="75" spans="1:22" x14ac:dyDescent="0.3">
      <c r="A75" s="11">
        <v>115</v>
      </c>
      <c r="B75" s="13">
        <v>0.52580000000000005</v>
      </c>
      <c r="C75" s="13">
        <v>0.50390000000000001</v>
      </c>
      <c r="D75" s="13">
        <v>0.48609999999999998</v>
      </c>
      <c r="E75" s="13">
        <v>0.50870000000000004</v>
      </c>
      <c r="F75" s="13">
        <v>0.50019999999999998</v>
      </c>
      <c r="G75" s="13">
        <v>0.51759999999999995</v>
      </c>
      <c r="H75" s="13">
        <v>0.52110000000000001</v>
      </c>
      <c r="I75" s="13">
        <v>0.52969999999999995</v>
      </c>
      <c r="K75">
        <v>117.93</v>
      </c>
      <c r="L75">
        <v>0</v>
      </c>
      <c r="N75" s="11">
        <v>115</v>
      </c>
      <c r="O75" cm="1">
        <f t="array" ref="O75">rho_call(K75,N75,0.08333,0.056131,L75,B75)</f>
        <v>5.2272269700657734</v>
      </c>
      <c r="P75" cm="1">
        <f t="array" ref="P75">rho_call(K75,N75,0.1666666,0.010008,L75,C75)</f>
        <v>9.7776390815911203</v>
      </c>
      <c r="Q75" cm="1">
        <f t="array" ref="Q75">rho_call(K75,N75,0.230769,0.026756,0,D75)</f>
        <v>13.37087802409374</v>
      </c>
      <c r="R75" cm="1">
        <f t="array" ref="R75">rho_call(K75,N75,0.333333,0.020067,L75,E75)</f>
        <v>18.455523045484242</v>
      </c>
      <c r="S75" cm="1">
        <f t="array" ref="S75">rho_call(K75,N75,0.5,0.026846,L75,F75)</f>
        <v>26.834106923256908</v>
      </c>
      <c r="T75" cm="1">
        <f t="array" ref="T75">rho_call(K75,N75,0.75,0.022409,L75,G75)</f>
        <v>38.003029850472821</v>
      </c>
      <c r="U75" cm="1">
        <f t="array" ref="U75">rho_call(K75,N75,1.1666666666,0.03648,L75,H75)</f>
        <v>56.059616794091944</v>
      </c>
      <c r="V75" cm="1">
        <f t="array" ref="V75">rho_call(K75,N75,1.75,0.021346,L75,I75)</f>
        <v>76.964517435093356</v>
      </c>
    </row>
    <row r="76" spans="1:22" x14ac:dyDescent="0.3">
      <c r="A76" s="11">
        <v>120</v>
      </c>
      <c r="B76" s="13">
        <v>0.50649999999999995</v>
      </c>
      <c r="C76" s="13">
        <v>0.47689999999999999</v>
      </c>
      <c r="D76" s="13">
        <v>0.46529999999999999</v>
      </c>
      <c r="E76" s="13">
        <v>0.49719999999999998</v>
      </c>
      <c r="F76" s="13">
        <v>0.49370000000000003</v>
      </c>
      <c r="G76" s="13">
        <v>0.50280000000000002</v>
      </c>
      <c r="H76" s="13">
        <v>0.51200000000000001</v>
      </c>
      <c r="I76" s="13">
        <v>0.52200000000000002</v>
      </c>
      <c r="K76">
        <v>117.93</v>
      </c>
      <c r="L76">
        <v>0</v>
      </c>
      <c r="N76" s="11">
        <v>120</v>
      </c>
      <c r="O76" cm="1">
        <f t="array" ref="O76">rho_call(K76,N76,0.08333,0.056131,L76,B76)</f>
        <v>4.3433776264708728</v>
      </c>
      <c r="P76" cm="1">
        <f t="array" ref="P76">rho_call(K76,N76,0.1666666,0.010008,L76,C76)</f>
        <v>8.5717126040182663</v>
      </c>
      <c r="Q76" cm="1">
        <f t="array" ref="Q76">rho_call(K76,N76,0.230769,0.026756,0,D76)</f>
        <v>11.990127865183924</v>
      </c>
      <c r="R76" cm="1">
        <f t="array" ref="R76">rho_call(K76,N76,0.333333,0.020067,L76,E76)</f>
        <v>17.015584970434663</v>
      </c>
      <c r="S76" cm="1">
        <f t="array" ref="S76">rho_call(K76,N76,0.5,0.026846,L76,F76)</f>
        <v>25.233689033676921</v>
      </c>
      <c r="T76" cm="1">
        <f t="array" ref="T76">rho_call(K76,N76,0.75,0.022409,L76,G76)</f>
        <v>36.576438105825531</v>
      </c>
      <c r="U76" cm="1">
        <f t="array" ref="U76">rho_call(K76,N76,1.1666666666,0.03648,L76,H76)</f>
        <v>54.82728609496246</v>
      </c>
      <c r="V76" cm="1">
        <f t="array" ref="V76">rho_call(K76,N76,1.75,0.021346,L76,I76)</f>
        <v>76.036444622847981</v>
      </c>
    </row>
    <row r="77" spans="1:22" x14ac:dyDescent="0.3">
      <c r="A77" s="11">
        <v>125</v>
      </c>
      <c r="B77">
        <v>0.49120000000000003</v>
      </c>
      <c r="C77">
        <v>0.46400000000000002</v>
      </c>
      <c r="D77">
        <v>0.45090000000000002</v>
      </c>
      <c r="E77">
        <v>0.48709999999999998</v>
      </c>
      <c r="F77">
        <v>0.47920000000000001</v>
      </c>
      <c r="G77">
        <v>0.49630000000000002</v>
      </c>
      <c r="H77">
        <v>0.50070000000000003</v>
      </c>
      <c r="I77">
        <v>0.51190000000000002</v>
      </c>
      <c r="K77">
        <v>117.93</v>
      </c>
      <c r="L77">
        <v>0</v>
      </c>
      <c r="N77" s="11">
        <v>125</v>
      </c>
      <c r="O77" cm="1">
        <f t="array" ref="O77">rho_call(K77,N77,0.08333,0.056131,L77,B77)</f>
        <v>3.3890597896694805</v>
      </c>
      <c r="P77" cm="1">
        <f t="array" ref="P77">rho_call(K77,N77,0.1666666,0.010008,L77,C77)</f>
        <v>7.2183718336986695</v>
      </c>
      <c r="Q77" cm="1">
        <f t="array" ref="Q77">rho_call(K77,N77,0.230769,0.026756,0,D77)</f>
        <v>10.426688697379044</v>
      </c>
      <c r="R77" cm="1">
        <f t="array" ref="R77">rho_call(K77,N77,0.333333,0.020067,L77,E77)</f>
        <v>15.438970964850549</v>
      </c>
      <c r="S77" cm="1">
        <f t="array" ref="S77">rho_call(K77,N77,0.5,0.026846,L77,F77)</f>
        <v>23.523686446077942</v>
      </c>
      <c r="T77" cm="1">
        <f t="array" ref="T77">rho_call(K77,N77,0.75,0.022409,L77,G77)</f>
        <v>34.828487278313212</v>
      </c>
      <c r="U77" cm="1">
        <f t="array" ref="U77">rho_call(K77,N77,1.1666666666,0.03648,L77,H77)</f>
        <v>53.433111122265309</v>
      </c>
      <c r="V77" cm="1">
        <f t="array" ref="V77">rho_call(K77,N77,1.75,0.021346,L77,I77)</f>
        <v>75.001290068249048</v>
      </c>
    </row>
    <row r="78" spans="1:22" x14ac:dyDescent="0.3">
      <c r="A78" s="11">
        <v>130</v>
      </c>
      <c r="B78">
        <v>0.47360000000000002</v>
      </c>
      <c r="C78">
        <v>0.44800000000000001</v>
      </c>
      <c r="D78">
        <v>0.4385</v>
      </c>
      <c r="E78">
        <v>0.4698</v>
      </c>
      <c r="F78">
        <v>0.46860000000000002</v>
      </c>
      <c r="G78">
        <v>0.48920000000000002</v>
      </c>
      <c r="H78">
        <v>0.497</v>
      </c>
      <c r="I78">
        <v>0.50449999999999995</v>
      </c>
      <c r="K78">
        <v>117.93</v>
      </c>
      <c r="L78">
        <v>0</v>
      </c>
      <c r="N78" s="11">
        <v>130</v>
      </c>
      <c r="O78" cm="1">
        <f t="array" ref="O78">rho_call(K78,N78,0.08333,0.056131,L78,B78)</f>
        <v>2.4536615733032932</v>
      </c>
      <c r="P78" cm="1">
        <f t="array" ref="P78">rho_call(K78,N78,0.1666666,0.010008,L78,C78)</f>
        <v>5.8238357662942795</v>
      </c>
      <c r="Q78" cm="1">
        <f t="array" ref="Q78">rho_call(K78,N78,0.230769,0.026756,0,D78)</f>
        <v>8.7979494462863173</v>
      </c>
      <c r="R78" cm="1">
        <f t="array" ref="R78">rho_call(K78,N78,0.333333,0.020067,L78,E78)</f>
        <v>13.735562652984131</v>
      </c>
      <c r="S78" cm="1">
        <f t="array" ref="S78">rho_call(K78,N78,0.5,0.026846,L78,F78)</f>
        <v>21.646205139593409</v>
      </c>
      <c r="T78" cm="1">
        <f t="array" ref="T78">rho_call(K78,N78,0.75,0.022409,L78,G78)</f>
        <v>32.960115965701647</v>
      </c>
      <c r="U78" cm="1">
        <f t="array" ref="U78">rho_call(K78,N78,1.1666666666,0.03648,L78,H78)</f>
        <v>51.663625815043339</v>
      </c>
      <c r="V78" cm="1">
        <f t="array" ref="V78">rho_call(K78,N78,1.75,0.021346,L78,I78)</f>
        <v>73.611287413486593</v>
      </c>
    </row>
    <row r="79" spans="1:22" x14ac:dyDescent="0.3">
      <c r="A79" s="11">
        <v>135</v>
      </c>
      <c r="B79">
        <v>0.47</v>
      </c>
      <c r="C79">
        <v>0.43990000000000001</v>
      </c>
      <c r="D79">
        <v>0.4289</v>
      </c>
      <c r="E79">
        <v>0.4612</v>
      </c>
      <c r="F79">
        <v>0.46039999999999998</v>
      </c>
      <c r="G79">
        <v>0.4778</v>
      </c>
      <c r="H79">
        <v>0.49030000000000001</v>
      </c>
      <c r="I79">
        <v>0.50449999999999995</v>
      </c>
      <c r="K79">
        <v>117.93</v>
      </c>
      <c r="L79">
        <v>0</v>
      </c>
      <c r="N79" s="11">
        <v>135</v>
      </c>
      <c r="O79" cm="1">
        <f t="array" ref="O79">rho_call(K79,N79,0.08333,0.056131,L79,B79)</f>
        <v>1.6970855729244283</v>
      </c>
      <c r="P79" cm="1">
        <f t="array" ref="P79">rho_call(K79,N79,0.1666666,0.010008,L79,C79)</f>
        <v>4.5453442843836322</v>
      </c>
      <c r="Q79" cm="1">
        <f t="array" ref="Q79">rho_call(K79,N79,0.230769,0.026756,0,D79)</f>
        <v>7.2126274892028697</v>
      </c>
      <c r="R79" cm="1">
        <f t="array" ref="R79">rho_call(K79,N79,0.333333,0.020067,L79,E79)</f>
        <v>12.026320504389631</v>
      </c>
      <c r="S79" cm="1">
        <f t="array" ref="S79">rho_call(K79,N79,0.5,0.026846,L79,F79)</f>
        <v>19.694074255726346</v>
      </c>
      <c r="T79" cm="1">
        <f t="array" ref="T79">rho_call(K79,N79,0.75,0.022409,L79,G79)</f>
        <v>30.965454920624047</v>
      </c>
      <c r="U79" cm="1">
        <f t="array" ref="U79">rho_call(K79,N79,1.1666666666,0.03648,L79,H79)</f>
        <v>49.821512156393403</v>
      </c>
      <c r="V79" cm="1">
        <f t="array" ref="V79">rho_call(K79,N79,1.75,0.021346,L79,I79)</f>
        <v>71.807239841762453</v>
      </c>
    </row>
    <row r="80" spans="1:22" x14ac:dyDescent="0.3">
      <c r="A80" s="11">
        <v>140</v>
      </c>
      <c r="B80">
        <v>0.46800000000000003</v>
      </c>
      <c r="C80">
        <v>0.43730000000000002</v>
      </c>
      <c r="D80">
        <v>0.42430000000000001</v>
      </c>
      <c r="E80">
        <v>0.45469999999999999</v>
      </c>
      <c r="F80">
        <v>0.4486</v>
      </c>
      <c r="G80">
        <v>0.46989999999999998</v>
      </c>
      <c r="H80">
        <v>0.48309999999999997</v>
      </c>
      <c r="I80">
        <v>0.49919999999999998</v>
      </c>
      <c r="K80">
        <v>117.93</v>
      </c>
      <c r="L80">
        <v>0</v>
      </c>
      <c r="N80" s="11">
        <v>140</v>
      </c>
      <c r="O80" cm="1">
        <f t="array" ref="O80">rho_call(K80,N80,0.08333,0.056131,L80,B80)</f>
        <v>1.1185398991908051</v>
      </c>
      <c r="P80" cm="1">
        <f t="array" ref="P80">rho_call(K80,N80,0.1666666,0.010008,L80,C80)</f>
        <v>3.4702517312645851</v>
      </c>
      <c r="Q80" cm="1">
        <f t="array" ref="Q80">rho_call(K80,N80,0.230769,0.026756,0,D80)</f>
        <v>5.797236484433089</v>
      </c>
      <c r="R80" cm="1">
        <f t="array" ref="R80">rho_call(K80,N80,0.333333,0.020067,L80,E80)</f>
        <v>10.376658208179832</v>
      </c>
      <c r="S80" cm="1">
        <f t="array" ref="S80">rho_call(K80,N80,0.5,0.026846,L80,F80)</f>
        <v>17.650474090967815</v>
      </c>
      <c r="T80" cm="1">
        <f t="array" ref="T80">rho_call(K80,N80,0.75,0.022409,L80,G80)</f>
        <v>28.87909547423817</v>
      </c>
      <c r="U80" cm="1">
        <f t="array" ref="U80">rho_call(K80,N80,1.1666666666,0.03648,L80,H80)</f>
        <v>47.848963541329105</v>
      </c>
      <c r="V80" cm="1">
        <f t="array" ref="V80">rho_call(K80,N80,1.75,0.021346,L80,I80)</f>
        <v>70.068283635946543</v>
      </c>
    </row>
    <row r="81" spans="1:22" x14ac:dyDescent="0.3">
      <c r="A81" s="11">
        <v>145</v>
      </c>
      <c r="B81">
        <v>0.46439999999999998</v>
      </c>
      <c r="C81">
        <v>0.436</v>
      </c>
      <c r="D81">
        <v>0.41699999999999998</v>
      </c>
      <c r="E81">
        <v>0.44679999999999997</v>
      </c>
      <c r="F81">
        <v>0.4451</v>
      </c>
      <c r="G81">
        <v>0.46710000000000002</v>
      </c>
      <c r="H81">
        <v>0.47549999999999998</v>
      </c>
      <c r="I81">
        <v>0.49259999999999998</v>
      </c>
      <c r="K81">
        <v>117.93</v>
      </c>
      <c r="L81">
        <v>0</v>
      </c>
      <c r="N81" s="11">
        <v>145</v>
      </c>
      <c r="O81" cm="1">
        <f t="array" ref="O81">rho_call(K81,N81,0.08333,0.056131,L81,B81)</f>
        <v>0.69503875341445631</v>
      </c>
      <c r="P81" cm="1">
        <f t="array" ref="P81">rho_call(K81,N81,0.1666666,0.010008,L81,C81)</f>
        <v>2.5907699601375547</v>
      </c>
      <c r="Q81" cm="1">
        <f t="array" ref="Q81">rho_call(K81,N81,0.230769,0.026756,0,D81)</f>
        <v>4.5051439408121086</v>
      </c>
      <c r="R81" cm="1">
        <f t="array" ref="R81">rho_call(K81,N81,0.333333,0.020067,L81,E81)</f>
        <v>8.7844644119411033</v>
      </c>
      <c r="S81" cm="1">
        <f t="array" ref="S81">rho_call(K81,N81,0.5,0.026846,L81,F81)</f>
        <v>15.756644307408468</v>
      </c>
      <c r="T81" cm="1">
        <f t="array" ref="T81">rho_call(K81,N81,0.75,0.022409,L81,G81)</f>
        <v>26.834513667876099</v>
      </c>
      <c r="U81" cm="1">
        <f t="array" ref="U81">rho_call(K81,N81,1.1666666666,0.03648,L81,H81)</f>
        <v>45.752048981958517</v>
      </c>
      <c r="V81" cm="1">
        <f t="array" ref="V81">rho_call(K81,N81,1.75,0.021346,L81,I81)</f>
        <v>68.2174774112801</v>
      </c>
    </row>
    <row r="82" spans="1:22" x14ac:dyDescent="0.3">
      <c r="A82" s="11">
        <v>150</v>
      </c>
      <c r="B82">
        <v>0.51900000000000002</v>
      </c>
      <c r="C82">
        <v>0.43730000000000002</v>
      </c>
      <c r="D82">
        <v>0.4158</v>
      </c>
      <c r="E82">
        <v>0.4385</v>
      </c>
      <c r="F82">
        <v>0.439</v>
      </c>
      <c r="G82">
        <v>0.45910000000000001</v>
      </c>
      <c r="H82">
        <v>0.46960000000000002</v>
      </c>
      <c r="I82">
        <v>0.4854</v>
      </c>
      <c r="K82">
        <v>117.93</v>
      </c>
      <c r="L82">
        <v>0</v>
      </c>
      <c r="N82" s="11">
        <v>150</v>
      </c>
      <c r="O82" cm="1">
        <f t="array" ref="O82">rho_call(K82,N82,0.08333,0.056131,L82,B82)</f>
        <v>0.61643822478879284</v>
      </c>
      <c r="P82" cm="1">
        <f t="array" ref="P82">rho_call(K82,N82,0.1666666,0.010008,L82,C82)</f>
        <v>1.9154595585561922</v>
      </c>
      <c r="Q82" cm="1">
        <f t="array" ref="Q82">rho_call(K82,N82,0.230769,0.026756,0,D82)</f>
        <v>3.4907791103605144</v>
      </c>
      <c r="R82" cm="1">
        <f t="array" ref="R82">rho_call(K82,N82,0.333333,0.020067,L82,E82)</f>
        <v>7.290578265928338</v>
      </c>
      <c r="S82" cm="1">
        <f t="array" ref="S82">rho_call(K82,N82,0.5,0.026846,L82,F82)</f>
        <v>13.880558189350733</v>
      </c>
      <c r="T82" cm="1">
        <f t="array" ref="T82">rho_call(K82,N82,0.75,0.022409,L82,G82)</f>
        <v>24.688331040471809</v>
      </c>
      <c r="U82" cm="1">
        <f t="array" ref="U82">rho_call(K82,N82,1.1666666666,0.03648,L82,H82)</f>
        <v>43.571803673356612</v>
      </c>
      <c r="V82" cm="1">
        <f t="array" ref="V82">rho_call(K82,N82,1.75,0.021346,L82,I82)</f>
        <v>66.22837766564723</v>
      </c>
    </row>
    <row r="83" spans="1:22" x14ac:dyDescent="0.3">
      <c r="A83" s="11">
        <v>155</v>
      </c>
      <c r="B83">
        <v>0.51270000000000004</v>
      </c>
      <c r="C83">
        <v>0.44429999999999997</v>
      </c>
      <c r="D83">
        <v>0.4128</v>
      </c>
      <c r="E83">
        <v>0.43259999999999998</v>
      </c>
      <c r="F83">
        <v>0.43230000000000002</v>
      </c>
      <c r="G83">
        <v>0.45550000000000002</v>
      </c>
      <c r="H83">
        <v>0.46360000000000001</v>
      </c>
      <c r="I83">
        <v>0.48159999999999997</v>
      </c>
      <c r="K83">
        <v>117.93</v>
      </c>
      <c r="L83">
        <v>0</v>
      </c>
      <c r="N83" s="11">
        <v>155</v>
      </c>
      <c r="O83" cm="1">
        <f t="array" ref="O83">rho_call(K83,N83,0.08333,0.056131,L83,B83)</f>
        <v>0.37834864556458042</v>
      </c>
      <c r="P83" cm="1">
        <f t="array" ref="P83">rho_call(K83,N83,0.1666666,0.010008,L83,C83)</f>
        <v>1.4467064825688238</v>
      </c>
      <c r="Q83" cm="1">
        <f t="array" ref="Q83">rho_call(K83,N83,0.230769,0.026756,0,D83)</f>
        <v>2.631871386626631</v>
      </c>
      <c r="R83" cm="1">
        <f t="array" ref="R83">rho_call(K83,N83,0.333333,0.020067,L83,E83)</f>
        <v>5.9809241192785656</v>
      </c>
      <c r="S83" cm="1">
        <f t="array" ref="S83">rho_call(K83,N83,0.5,0.026846,L83,F83)</f>
        <v>12.07445850012113</v>
      </c>
      <c r="T83" cm="1">
        <f t="array" ref="T83">rho_call(K83,N83,0.75,0.022409,L83,G83)</f>
        <v>22.673621496459326</v>
      </c>
      <c r="U83" cm="1">
        <f t="array" ref="U83">rho_call(K83,N83,1.1666666666,0.03648,L83,H83)</f>
        <v>41.32646521979229</v>
      </c>
      <c r="V83" cm="1">
        <f t="array" ref="V83">rho_call(K83,N83,1.75,0.021346,L83,I83)</f>
        <v>64.131636612339847</v>
      </c>
    </row>
    <row r="84" spans="1:22" x14ac:dyDescent="0.3">
      <c r="A84" s="11">
        <v>160</v>
      </c>
      <c r="B84">
        <v>0.52249999999999996</v>
      </c>
      <c r="C84">
        <v>0.44969999999999999</v>
      </c>
      <c r="D84">
        <v>0.41110000000000002</v>
      </c>
      <c r="E84">
        <v>0.42859999999999998</v>
      </c>
      <c r="F84">
        <v>0.42799999999999999</v>
      </c>
      <c r="G84">
        <v>0.44829999999999998</v>
      </c>
      <c r="H84">
        <v>0.45950000000000002</v>
      </c>
      <c r="I84">
        <v>0.47570000000000001</v>
      </c>
      <c r="K84">
        <v>117.93</v>
      </c>
      <c r="L84">
        <v>0</v>
      </c>
      <c r="N84" s="11">
        <v>160</v>
      </c>
      <c r="O84" cm="1">
        <f t="array" ref="O84">rho_call(K84,N84,0.08333,0.056131,L84,B84)</f>
        <v>0.25695055232558084</v>
      </c>
      <c r="P84" cm="1">
        <f t="array" ref="P84">rho_call(K84,N84,0.1666666,0.010008,L84,C84)</f>
        <v>1.0792116303319905</v>
      </c>
      <c r="Q84" cm="1">
        <f t="array" ref="Q84">rho_call(K84,N84,0.230769,0.026756,0,D84)</f>
        <v>1.9612894884600993</v>
      </c>
      <c r="R84" cm="1">
        <f t="array" ref="R84">rho_call(K84,N84,0.333333,0.020067,L84,E84)</f>
        <v>4.8647724025326076</v>
      </c>
      <c r="S84" cm="1">
        <f t="array" ref="S84">rho_call(K84,N84,0.5,0.026846,L84,F84)</f>
        <v>10.452199730517743</v>
      </c>
      <c r="T84" cm="1">
        <f t="array" ref="T84">rho_call(K84,N84,0.75,0.022409,L84,G84)</f>
        <v>20.587665145249527</v>
      </c>
      <c r="U84" cm="1">
        <f t="array" ref="U84">rho_call(K84,N84,1.1666666666,0.03648,L84,H84)</f>
        <v>39.096130751600199</v>
      </c>
      <c r="V84" cm="1">
        <f t="array" ref="V84">rho_call(K84,N84,1.75,0.021346,L84,I84)</f>
        <v>61.937095874142024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572AE0-1C8C-40F4-86B6-64D7A73CF8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Sheet1</vt:lpstr>
      <vt:lpstr>info</vt:lpstr>
      <vt:lpstr>volatility table</vt:lpstr>
      <vt:lpstr>box spread for r</vt:lpstr>
      <vt:lpstr>greeks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Martino</dc:creator>
  <cp:lastModifiedBy>Elena Zoppellari</cp:lastModifiedBy>
  <dcterms:created xsi:type="dcterms:W3CDTF">2022-03-26T20:44:27Z</dcterms:created>
  <dcterms:modified xsi:type="dcterms:W3CDTF">2023-04-28T20:15:05Z</dcterms:modified>
</cp:coreProperties>
</file>