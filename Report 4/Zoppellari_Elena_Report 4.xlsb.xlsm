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3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lena Zoppellari\Desktop\PHYSICS OF DATA\Financial\Report 4\"/>
    </mc:Choice>
  </mc:AlternateContent>
  <xr:revisionPtr revIDLastSave="0" documentId="13_ncr:1_{F8FA12B4-616E-4E1D-B398-62D0CB80DC80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Sheet1" sheetId="1" r:id="rId1"/>
    <sheet name="data" sheetId="2" r:id="rId2"/>
    <sheet name="q=0" sheetId="3" r:id="rId3"/>
    <sheet name="q=0.001" sheetId="4" r:id="rId4"/>
    <sheet name="q=0.025" sheetId="6" r:id="rId5"/>
    <sheet name="q=0.07" sheetId="7" r:id="rId6"/>
    <sheet name="q=0.25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0" i="8" l="1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R99" i="8" a="1"/>
  <c r="N99" i="8" a="1"/>
  <c r="J99" i="8" a="1"/>
  <c r="F99" i="8" a="1"/>
  <c r="S97" i="8" a="1"/>
  <c r="O97" i="8" a="1"/>
  <c r="K97" i="8" a="1"/>
  <c r="G97" i="8" a="1"/>
  <c r="P95" i="8" a="1"/>
  <c r="L95" i="8" a="1"/>
  <c r="H95" i="8" a="1"/>
  <c r="Q93" i="8" a="1"/>
  <c r="M93" i="8" a="1"/>
  <c r="I93" i="8" a="1"/>
  <c r="R91" i="8" a="1"/>
  <c r="N91" i="8" a="1"/>
  <c r="J91" i="8" a="1"/>
  <c r="F91" i="8" a="1"/>
  <c r="S89" i="8" a="1"/>
  <c r="O89" i="8" a="1"/>
  <c r="K89" i="8" a="1"/>
  <c r="G89" i="8" a="1"/>
  <c r="P87" i="8" a="1"/>
  <c r="L87" i="8" a="1"/>
  <c r="H87" i="8" a="1"/>
  <c r="Q85" i="8" a="1"/>
  <c r="M85" i="8" a="1"/>
  <c r="I85" i="8" a="1"/>
  <c r="R80" i="8" a="1"/>
  <c r="N80" i="8" a="1"/>
  <c r="J80" i="8" a="1"/>
  <c r="F80" i="8" a="1"/>
  <c r="S78" i="8" a="1"/>
  <c r="O78" i="8" a="1"/>
  <c r="K78" i="8" a="1"/>
  <c r="G78" i="8" a="1"/>
  <c r="P76" i="8" a="1"/>
  <c r="L76" i="8" a="1"/>
  <c r="H76" i="8" a="1"/>
  <c r="Q74" i="8" a="1"/>
  <c r="M74" i="8" a="1"/>
  <c r="I74" i="8" a="1"/>
  <c r="R72" i="8" a="1"/>
  <c r="N72" i="8" a="1"/>
  <c r="J72" i="8" a="1"/>
  <c r="F72" i="8" a="1"/>
  <c r="S70" i="8" a="1"/>
  <c r="O70" i="8" a="1"/>
  <c r="K70" i="8" a="1"/>
  <c r="S100" i="8" a="1"/>
  <c r="O100" i="8" a="1"/>
  <c r="K100" i="8" a="1"/>
  <c r="G100" i="8" a="1"/>
  <c r="P98" i="8" a="1"/>
  <c r="L98" i="8" a="1"/>
  <c r="H98" i="8" a="1"/>
  <c r="Q96" i="8" a="1"/>
  <c r="M96" i="8" a="1"/>
  <c r="I96" i="8" a="1"/>
  <c r="R94" i="8" a="1"/>
  <c r="N94" i="8" a="1"/>
  <c r="J94" i="8" a="1"/>
  <c r="F94" i="8" a="1"/>
  <c r="S92" i="8" a="1"/>
  <c r="O92" i="8" a="1"/>
  <c r="K92" i="8" a="1"/>
  <c r="G92" i="8" a="1"/>
  <c r="P90" i="8" a="1"/>
  <c r="L90" i="8" a="1"/>
  <c r="H90" i="8" a="1"/>
  <c r="Q88" i="8" a="1"/>
  <c r="M88" i="8" a="1"/>
  <c r="I88" i="8" a="1"/>
  <c r="R86" i="8" a="1"/>
  <c r="N86" i="8" a="1"/>
  <c r="J86" i="8" a="1"/>
  <c r="F86" i="8" a="1"/>
  <c r="S84" i="8" a="1"/>
  <c r="O84" i="8" a="1"/>
  <c r="K84" i="8" a="1"/>
  <c r="G84" i="8" a="1"/>
  <c r="P79" i="8" a="1"/>
  <c r="L79" i="8" a="1"/>
  <c r="H79" i="8" a="1"/>
  <c r="Q77" i="8" a="1"/>
  <c r="M77" i="8" a="1"/>
  <c r="I77" i="8" a="1"/>
  <c r="R75" i="8" a="1"/>
  <c r="N75" i="8" a="1"/>
  <c r="J75" i="8" a="1"/>
  <c r="F75" i="8" a="1"/>
  <c r="S73" i="8" a="1"/>
  <c r="O73" i="8" a="1"/>
  <c r="K73" i="8" a="1"/>
  <c r="G73" i="8" a="1"/>
  <c r="P71" i="8" a="1"/>
  <c r="L71" i="8" a="1"/>
  <c r="H71" i="8" a="1"/>
  <c r="Q69" i="8" a="1"/>
  <c r="M69" i="8" a="1"/>
  <c r="Q99" i="8" a="1"/>
  <c r="M99" i="8" a="1"/>
  <c r="I99" i="8" a="1"/>
  <c r="R97" i="8" a="1"/>
  <c r="N97" i="8" a="1"/>
  <c r="J97" i="8" a="1"/>
  <c r="F97" i="8" a="1"/>
  <c r="S95" i="8" a="1"/>
  <c r="O95" i="8" a="1"/>
  <c r="K95" i="8" a="1"/>
  <c r="G95" i="8" a="1"/>
  <c r="P93" i="8" a="1"/>
  <c r="L93" i="8" a="1"/>
  <c r="H93" i="8" a="1"/>
  <c r="Q91" i="8" a="1"/>
  <c r="M91" i="8" a="1"/>
  <c r="I91" i="8" a="1"/>
  <c r="R89" i="8" a="1"/>
  <c r="N89" i="8" a="1"/>
  <c r="J89" i="8" a="1"/>
  <c r="F89" i="8" a="1"/>
  <c r="S87" i="8" a="1"/>
  <c r="O87" i="8" a="1"/>
  <c r="K87" i="8" a="1"/>
  <c r="G87" i="8" a="1"/>
  <c r="P85" i="8" a="1"/>
  <c r="L85" i="8" a="1"/>
  <c r="H85" i="8" a="1"/>
  <c r="Q80" i="8" a="1"/>
  <c r="M80" i="8" a="1"/>
  <c r="I80" i="8" a="1"/>
  <c r="R78" i="8" a="1"/>
  <c r="N78" i="8" a="1"/>
  <c r="J78" i="8" a="1"/>
  <c r="F78" i="8" a="1"/>
  <c r="S76" i="8" a="1"/>
  <c r="O76" i="8" a="1"/>
  <c r="K76" i="8" a="1"/>
  <c r="G76" i="8" a="1"/>
  <c r="P74" i="8" a="1"/>
  <c r="L74" i="8" a="1"/>
  <c r="H74" i="8" a="1"/>
  <c r="Q72" i="8" a="1"/>
  <c r="M72" i="8" a="1"/>
  <c r="I72" i="8" a="1"/>
  <c r="R70" i="8" a="1"/>
  <c r="N70" i="8" a="1"/>
  <c r="J70" i="8" a="1"/>
  <c r="F70" i="8" a="1"/>
  <c r="R100" i="8" a="1"/>
  <c r="Q98" i="8" a="1"/>
  <c r="J98" i="8" a="1"/>
  <c r="L97" i="8" a="1"/>
  <c r="N96" i="8" a="1"/>
  <c r="G96" i="8" a="1"/>
  <c r="Q94" i="8" a="1"/>
  <c r="N93" i="8" a="1"/>
  <c r="G93" i="8" a="1"/>
  <c r="P92" i="8" a="1"/>
  <c r="I92" i="8" a="1"/>
  <c r="K91" i="8" a="1"/>
  <c r="S90" i="8" a="1"/>
  <c r="P88" i="8" a="1"/>
  <c r="M87" i="8" a="1"/>
  <c r="F87" i="8" a="1"/>
  <c r="O86" i="8" a="1"/>
  <c r="H86" i="8" a="1"/>
  <c r="R84" i="8" a="1"/>
  <c r="Q79" i="8" a="1"/>
  <c r="J79" i="8" a="1"/>
  <c r="L78" i="8" a="1"/>
  <c r="N77" i="8" a="1"/>
  <c r="G77" i="8" a="1"/>
  <c r="Q75" i="8" a="1"/>
  <c r="N74" i="8" a="1"/>
  <c r="G74" i="8" a="1"/>
  <c r="P73" i="8" a="1"/>
  <c r="I73" i="8" a="1"/>
  <c r="K72" i="8" a="1"/>
  <c r="S71" i="8" a="1"/>
  <c r="R69" i="8" a="1"/>
  <c r="L69" i="8" a="1"/>
  <c r="H69" i="8" a="1"/>
  <c r="Q67" i="8" a="1"/>
  <c r="M67" i="8" a="1"/>
  <c r="I67" i="8" a="1"/>
  <c r="R65" i="8" a="1"/>
  <c r="N65" i="8" a="1"/>
  <c r="J65" i="8" a="1"/>
  <c r="F65" i="8" a="1"/>
  <c r="S60" i="8" a="1"/>
  <c r="O60" i="8" a="1"/>
  <c r="K60" i="8" a="1"/>
  <c r="G60" i="8" a="1"/>
  <c r="P58" i="8" a="1"/>
  <c r="L58" i="8" a="1"/>
  <c r="H58" i="8" a="1"/>
  <c r="Q56" i="8" a="1"/>
  <c r="M56" i="8" a="1"/>
  <c r="I56" i="8" a="1"/>
  <c r="Q100" i="8" a="1"/>
  <c r="J100" i="8" a="1"/>
  <c r="S99" i="8" a="1"/>
  <c r="L99" i="8" a="1"/>
  <c r="I98" i="8" a="1"/>
  <c r="F96" i="8" a="1"/>
  <c r="N95" i="8" a="1"/>
  <c r="P94" i="8" a="1"/>
  <c r="I94" i="8" a="1"/>
  <c r="F93" i="8" a="1"/>
  <c r="H92" i="8" a="1"/>
  <c r="R90" i="8" a="1"/>
  <c r="K90" i="8" a="1"/>
  <c r="M89" i="8" a="1"/>
  <c r="O88" i="8" a="1"/>
  <c r="H88" i="8" a="1"/>
  <c r="G86" i="8" a="1"/>
  <c r="O85" i="8" a="1"/>
  <c r="Q84" i="8" a="1"/>
  <c r="J84" i="8" a="1"/>
  <c r="S80" i="8" a="1"/>
  <c r="L80" i="8" a="1"/>
  <c r="I79" i="8" a="1"/>
  <c r="F77" i="8" a="1"/>
  <c r="N76" i="8" a="1"/>
  <c r="P75" i="8" a="1"/>
  <c r="I75" i="8" a="1"/>
  <c r="F74" i="8" a="1"/>
  <c r="H73" i="8" a="1"/>
  <c r="R71" i="8" a="1"/>
  <c r="K71" i="8" a="1"/>
  <c r="M70" i="8" a="1"/>
  <c r="P69" i="8" a="1"/>
  <c r="K69" i="8" a="1"/>
  <c r="G69" i="8" a="1"/>
  <c r="P67" i="8" a="1"/>
  <c r="L67" i="8" a="1"/>
  <c r="H67" i="8" a="1"/>
  <c r="Q65" i="8" a="1"/>
  <c r="M65" i="8" a="1"/>
  <c r="I65" i="8" a="1"/>
  <c r="R60" i="8" a="1"/>
  <c r="N60" i="8" a="1"/>
  <c r="J60" i="8" a="1"/>
  <c r="F60" i="8" a="1"/>
  <c r="S58" i="8" a="1"/>
  <c r="O58" i="8" a="1"/>
  <c r="K58" i="8" a="1"/>
  <c r="G58" i="8" a="1"/>
  <c r="P56" i="8" a="1"/>
  <c r="L56" i="8" a="1"/>
  <c r="H56" i="8" a="1"/>
  <c r="I100" i="8" a="1"/>
  <c r="P99" i="8" a="1"/>
  <c r="H99" i="8" a="1"/>
  <c r="N98" i="8" a="1"/>
  <c r="F98" i="8" a="1"/>
  <c r="R96" i="8" a="1"/>
  <c r="J96" i="8" a="1"/>
  <c r="Q95" i="8" a="1"/>
  <c r="M94" i="8" a="1"/>
  <c r="K93" i="8" a="1"/>
  <c r="O91" i="8" a="1"/>
  <c r="G91" i="8" a="1"/>
  <c r="N90" i="8" a="1"/>
  <c r="L89" i="8" a="1"/>
  <c r="J88" i="8" a="1"/>
  <c r="M86" i="8" a="1"/>
  <c r="I84" i="8" a="1"/>
  <c r="P80" i="8" a="1"/>
  <c r="H80" i="8" a="1"/>
  <c r="N79" i="8" a="1"/>
  <c r="F79" i="8" a="1"/>
  <c r="R77" i="8" a="1"/>
  <c r="J77" i="8" a="1"/>
  <c r="Q76" i="8" a="1"/>
  <c r="M75" i="8" a="1"/>
  <c r="K74" i="8" a="1"/>
  <c r="O72" i="8" a="1"/>
  <c r="G72" i="8" a="1"/>
  <c r="N71" i="8" a="1"/>
  <c r="L70" i="8" a="1"/>
  <c r="S69" i="8" a="1"/>
  <c r="F69" i="8" a="1"/>
  <c r="J68" i="8" a="1"/>
  <c r="R66" i="8" a="1"/>
  <c r="M66" i="8" a="1"/>
  <c r="H66" i="8" a="1"/>
  <c r="O64" i="8" a="1"/>
  <c r="J64" i="8" a="1"/>
  <c r="R59" i="8" a="1"/>
  <c r="L59" i="8" a="1"/>
  <c r="G59" i="8" a="1"/>
  <c r="Q58" i="8" a="1"/>
  <c r="F58" i="8" a="1"/>
  <c r="J57" i="8" a="1"/>
  <c r="R55" i="8" a="1"/>
  <c r="N55" i="8" a="1"/>
  <c r="J55" i="8" a="1"/>
  <c r="F55" i="8" a="1"/>
  <c r="S53" i="8" a="1"/>
  <c r="O53" i="8" a="1"/>
  <c r="G99" i="8" a="1"/>
  <c r="P96" i="8" a="1"/>
  <c r="H96" i="8" a="1"/>
  <c r="F95" i="8" a="1"/>
  <c r="S93" i="8" a="1"/>
  <c r="Q92" i="8" a="1"/>
  <c r="M90" i="8" a="1"/>
  <c r="R88" i="8" a="1"/>
  <c r="L86" i="8" a="1"/>
  <c r="S85" i="8" a="1"/>
  <c r="K85" i="8" a="1"/>
  <c r="G80" i="8" a="1"/>
  <c r="P77" i="8" a="1"/>
  <c r="H77" i="8" a="1"/>
  <c r="F76" i="8" a="1"/>
  <c r="S74" i="8" a="1"/>
  <c r="Q73" i="8" a="1"/>
  <c r="M71" i="8" a="1"/>
  <c r="O68" i="8" a="1"/>
  <c r="I68" i="8" a="1"/>
  <c r="S67" i="8" a="1"/>
  <c r="N67" i="8" a="1"/>
  <c r="G66" i="8" a="1"/>
  <c r="P65" i="8" a="1"/>
  <c r="K65" i="8" a="1"/>
  <c r="M60" i="8" a="1"/>
  <c r="H60" i="8" a="1"/>
  <c r="Q59" i="8" a="1"/>
  <c r="O57" i="8" a="1"/>
  <c r="I57" i="8" a="1"/>
  <c r="S56" i="8" a="1"/>
  <c r="N56" i="8" a="1"/>
  <c r="P54" i="8" a="1"/>
  <c r="L54" i="8" a="1"/>
  <c r="H54" i="8" a="1"/>
  <c r="Q52" i="8" a="1"/>
  <c r="M52" i="8" a="1"/>
  <c r="I52" i="8" a="1"/>
  <c r="R50" i="8" a="1"/>
  <c r="N50" i="8" a="1"/>
  <c r="J50" i="8" a="1"/>
  <c r="F50" i="8" a="1"/>
  <c r="S48" i="8" a="1"/>
  <c r="P100" i="8" a="1"/>
  <c r="M98" i="8" a="1"/>
  <c r="Q97" i="8" a="1"/>
  <c r="M95" i="8" a="1"/>
  <c r="G94" i="8" a="1"/>
  <c r="J93" i="8" a="1"/>
  <c r="M92" i="8" a="1"/>
  <c r="P89" i="8" a="1"/>
  <c r="S88" i="8" a="1"/>
  <c r="J87" i="8" a="1"/>
  <c r="R85" i="8" a="1"/>
  <c r="R79" i="8" a="1"/>
  <c r="I78" i="8" a="1"/>
  <c r="R76" i="8" a="1"/>
  <c r="O74" i="8" a="1"/>
  <c r="R73" i="8" a="1"/>
  <c r="H70" i="8" a="1"/>
  <c r="N69" i="8" a="1"/>
  <c r="M68" i="8" a="1"/>
  <c r="G68" i="8" a="1"/>
  <c r="O67" i="8" a="1"/>
  <c r="G67" i="8" a="1"/>
  <c r="O66" i="8" a="1"/>
  <c r="O65" i="8" a="1"/>
  <c r="H65" i="8" a="1"/>
  <c r="Q64" i="8" a="1"/>
  <c r="I64" i="8" a="1"/>
  <c r="P59" i="8" a="1"/>
  <c r="J59" i="8" a="1"/>
  <c r="R58" i="8" a="1"/>
  <c r="J58" i="8" a="1"/>
  <c r="S57" i="8" a="1"/>
  <c r="L57" i="8" a="1"/>
  <c r="F56" i="8" a="1"/>
  <c r="Q53" i="8" a="1"/>
  <c r="L53" i="8" a="1"/>
  <c r="H52" i="8" a="1"/>
  <c r="R51" i="8" a="1"/>
  <c r="I51" i="8" a="1"/>
  <c r="S50" i="8" a="1"/>
  <c r="O49" i="8" a="1"/>
  <c r="F49" i="8" a="1"/>
  <c r="P48" i="8" a="1"/>
  <c r="L48" i="8" a="1"/>
  <c r="H48" i="8" a="1"/>
  <c r="Q46" i="8" a="1"/>
  <c r="M46" i="8" a="1"/>
  <c r="I46" i="8" a="1"/>
  <c r="R44" i="8" a="1"/>
  <c r="N44" i="8" a="1"/>
  <c r="J44" i="8" a="1"/>
  <c r="F44" i="8" a="1"/>
  <c r="S39" i="8" a="1"/>
  <c r="O39" i="8" a="1"/>
  <c r="K39" i="8" a="1"/>
  <c r="G39" i="8" a="1"/>
  <c r="P37" i="8" a="1"/>
  <c r="L37" i="8" a="1"/>
  <c r="H37" i="8" a="1"/>
  <c r="Q35" i="8" a="1"/>
  <c r="M35" i="8" a="1"/>
  <c r="I35" i="8" a="1"/>
  <c r="R33" i="8" a="1"/>
  <c r="N33" i="8" a="1"/>
  <c r="J33" i="8" a="1"/>
  <c r="F33" i="8" a="1"/>
  <c r="S31" i="8" a="1"/>
  <c r="O31" i="8" a="1"/>
  <c r="K31" i="8" a="1"/>
  <c r="G31" i="8" a="1"/>
  <c r="P29" i="8" a="1"/>
  <c r="L29" i="8" a="1"/>
  <c r="H29" i="8" a="1"/>
  <c r="Q27" i="8" a="1"/>
  <c r="M27" i="8" a="1"/>
  <c r="I27" i="8" a="1"/>
  <c r="R25" i="8" a="1"/>
  <c r="N25" i="8" a="1"/>
  <c r="J25" i="8" a="1"/>
  <c r="F25" i="8" a="1"/>
  <c r="S19" i="8" a="1"/>
  <c r="O19" i="8" a="1"/>
  <c r="K19" i="8" a="1"/>
  <c r="G19" i="8" a="1"/>
  <c r="P17" i="8" a="1"/>
  <c r="L17" i="8" a="1"/>
  <c r="H17" i="8" a="1"/>
  <c r="Q15" i="8" a="1"/>
  <c r="M15" i="8" a="1"/>
  <c r="I15" i="8" a="1"/>
  <c r="R13" i="8" a="1"/>
  <c r="N13" i="8" a="1"/>
  <c r="J13" i="8" a="1"/>
  <c r="F13" i="8" a="1"/>
  <c r="S11" i="8" a="1"/>
  <c r="O11" i="8" a="1"/>
  <c r="K11" i="8" a="1"/>
  <c r="G11" i="8" a="1"/>
  <c r="P9" i="8" a="1"/>
  <c r="L9" i="8" a="1"/>
  <c r="H9" i="8" a="1"/>
  <c r="Q7" i="8" a="1"/>
  <c r="M7" i="8" a="1"/>
  <c r="I7" i="8" a="1"/>
  <c r="R5" i="8" a="1"/>
  <c r="N5" i="8" a="1"/>
  <c r="J5" i="8" a="1"/>
  <c r="F5" i="8" a="1"/>
  <c r="N100" i="8" a="1"/>
  <c r="K98" i="8" a="1"/>
  <c r="P97" i="8" a="1"/>
  <c r="P91" i="8" a="1"/>
  <c r="I90" i="8" a="1"/>
  <c r="F88" i="8" a="1"/>
  <c r="F85" i="8" a="1"/>
  <c r="H84" i="8" a="1"/>
  <c r="L77" i="8" a="1"/>
  <c r="H75" i="8" a="1"/>
  <c r="H72" i="8" a="1"/>
  <c r="Q70" i="8" a="1"/>
  <c r="G70" i="8" a="1"/>
  <c r="F68" i="8" a="1"/>
  <c r="N66" i="8" a="1"/>
  <c r="F66" i="8" a="1"/>
  <c r="P64" i="8" a="1"/>
  <c r="H64" i="8" a="1"/>
  <c r="P60" i="8" a="1"/>
  <c r="I60" i="8" a="1"/>
  <c r="I59" i="8" a="1"/>
  <c r="R57" i="8" a="1"/>
  <c r="M55" i="8" a="1"/>
  <c r="H55" i="8" a="1"/>
  <c r="R54" i="8" a="1"/>
  <c r="M54" i="8" a="1"/>
  <c r="G54" i="8" a="1"/>
  <c r="G53" i="8" a="1"/>
  <c r="L52" i="8" a="1"/>
  <c r="M51" i="8" a="1"/>
  <c r="I50" i="8" a="1"/>
  <c r="S49" i="8" a="1"/>
  <c r="J49" i="8" a="1"/>
  <c r="R47" i="8" a="1"/>
  <c r="N47" i="8" a="1"/>
  <c r="J47" i="8" a="1"/>
  <c r="F47" i="8" a="1"/>
  <c r="S45" i="8" a="1"/>
  <c r="O45" i="8" a="1"/>
  <c r="K45" i="8" a="1"/>
  <c r="G45" i="8" a="1"/>
  <c r="P40" i="8" a="1"/>
  <c r="L40" i="8" a="1"/>
  <c r="R98" i="8" a="1"/>
  <c r="S96" i="8" a="1"/>
  <c r="G90" i="8" a="1"/>
  <c r="I89" i="8" a="1"/>
  <c r="K88" i="8" a="1"/>
  <c r="I87" i="8" a="1"/>
  <c r="F84" i="8" a="1"/>
  <c r="M78" i="8" a="1"/>
  <c r="L75" i="8" a="1"/>
  <c r="O71" i="8" a="1"/>
  <c r="P70" i="8" a="1"/>
  <c r="L68" i="8" a="1"/>
  <c r="R67" i="8" a="1"/>
  <c r="J67" i="8" a="1"/>
  <c r="S65" i="8" a="1"/>
  <c r="N64" i="8" a="1"/>
  <c r="F64" i="8" a="1"/>
  <c r="O59" i="8" a="1"/>
  <c r="F59" i="8" a="1"/>
  <c r="M58" i="8" a="1"/>
  <c r="Q57" i="8" a="1"/>
  <c r="H57" i="8" a="1"/>
  <c r="N53" i="8" a="1"/>
  <c r="P52" i="8" a="1"/>
  <c r="S51" i="8" a="1"/>
  <c r="S47" i="8" a="1"/>
  <c r="M47" i="8" a="1"/>
  <c r="H47" i="8" a="1"/>
  <c r="P45" i="8" a="1"/>
  <c r="J45" i="8" a="1"/>
  <c r="H40" i="8" a="1"/>
  <c r="R39" i="8" a="1"/>
  <c r="I39" i="8" a="1"/>
  <c r="S38" i="8" a="1"/>
  <c r="J38" i="8" a="1"/>
  <c r="K37" i="8" a="1"/>
  <c r="L36" i="8" a="1"/>
  <c r="H35" i="8" a="1"/>
  <c r="R34" i="8" a="1"/>
  <c r="I34" i="8" a="1"/>
  <c r="S33" i="8" a="1"/>
  <c r="O32" i="8" a="1"/>
  <c r="F32" i="8" a="1"/>
  <c r="P31" i="8" a="1"/>
  <c r="L30" i="8" a="1"/>
  <c r="R29" i="8" a="1"/>
  <c r="I29" i="8" a="1"/>
  <c r="S28" i="8" a="1"/>
  <c r="N28" i="8" a="1"/>
  <c r="O27" i="8" a="1"/>
  <c r="F27" i="8" a="1"/>
  <c r="P26" i="8" a="1"/>
  <c r="K26" i="8" a="1"/>
  <c r="L25" i="8" a="1"/>
  <c r="M24" i="8" a="1"/>
  <c r="H24" i="8" a="1"/>
  <c r="R19" i="8" a="1"/>
  <c r="I19" i="8" a="1"/>
  <c r="S18" i="8" a="1"/>
  <c r="J18" i="8" a="1"/>
  <c r="K17" i="8" a="1"/>
  <c r="L16" i="8" a="1"/>
  <c r="H15" i="8" a="1"/>
  <c r="R14" i="8" a="1"/>
  <c r="I14" i="8" a="1"/>
  <c r="S13" i="8" a="1"/>
  <c r="O12" i="8" a="1"/>
  <c r="F12" i="8" a="1"/>
  <c r="P11" i="8" a="1"/>
  <c r="L10" i="8" a="1"/>
  <c r="R9" i="8" a="1"/>
  <c r="I9" i="8" a="1"/>
  <c r="S8" i="8" a="1"/>
  <c r="N8" i="8" a="1"/>
  <c r="O7" i="8" a="1"/>
  <c r="F7" i="8" a="1"/>
  <c r="P6" i="8" a="1"/>
  <c r="K6" i="8" a="1"/>
  <c r="L5" i="8" a="1"/>
  <c r="P3" i="8" a="1"/>
  <c r="L3" i="8" a="1"/>
  <c r="H3" i="8" a="1"/>
  <c r="O99" i="8" a="1"/>
  <c r="F90" i="8" a="1"/>
  <c r="G88" i="8" a="1"/>
  <c r="G85" i="8" a="1"/>
  <c r="H78" i="8" a="1"/>
  <c r="J76" i="8" a="1"/>
  <c r="J74" i="8" a="1"/>
  <c r="L72" i="8" a="1"/>
  <c r="O69" i="8" a="1"/>
  <c r="M100" i="8" a="1"/>
  <c r="R95" i="8" a="1"/>
  <c r="S94" i="8" a="1"/>
  <c r="R93" i="8" a="1"/>
  <c r="H89" i="8" a="1"/>
  <c r="G79" i="8" a="1"/>
  <c r="K75" i="8" a="1"/>
  <c r="L73" i="8" a="1"/>
  <c r="J71" i="8" a="1"/>
  <c r="L100" i="8" a="1"/>
  <c r="O98" i="8" a="1"/>
  <c r="O96" i="8" a="1"/>
  <c r="O94" i="8" a="1"/>
  <c r="R92" i="8" a="1"/>
  <c r="S91" i="8" a="1"/>
  <c r="S86" i="8" a="1"/>
  <c r="S79" i="8" a="1"/>
  <c r="I76" i="8" a="1"/>
  <c r="J73" i="8" a="1"/>
  <c r="S68" i="8" a="1"/>
  <c r="K68" i="8" a="1"/>
  <c r="F67" i="8" a="1"/>
  <c r="K66" i="8" a="1"/>
  <c r="G65" i="8" a="1"/>
  <c r="M64" i="8" a="1"/>
  <c r="N59" i="8" a="1"/>
  <c r="I58" i="8" a="1"/>
  <c r="P57" i="8" a="1"/>
  <c r="G57" i="8" a="1"/>
  <c r="S55" i="8" a="1"/>
  <c r="M53" i="8" a="1"/>
  <c r="F53" i="8" a="1"/>
  <c r="O52" i="8" a="1"/>
  <c r="Q51" i="8" a="1"/>
  <c r="K51" i="8" a="1"/>
  <c r="M50" i="8" a="1"/>
  <c r="P49" i="8" a="1"/>
  <c r="Q47" i="8" a="1"/>
  <c r="L47" i="8" a="1"/>
  <c r="G47" i="8" a="1"/>
  <c r="N45" i="8" a="1"/>
  <c r="I45" i="8" a="1"/>
  <c r="G40" i="8" a="1"/>
  <c r="Q39" i="8" a="1"/>
  <c r="H39" i="8" a="1"/>
  <c r="R38" i="8" a="1"/>
  <c r="M38" i="8" a="1"/>
  <c r="S37" i="8" a="1"/>
  <c r="J37" i="8" a="1"/>
  <c r="K36" i="8" a="1"/>
  <c r="F36" i="8" a="1"/>
  <c r="P35" i="8" a="1"/>
  <c r="G35" i="8" a="1"/>
  <c r="Q34" i="8" a="1"/>
  <c r="H34" i="8" a="1"/>
  <c r="M33" i="8" a="1"/>
  <c r="N32" i="8" a="1"/>
  <c r="J31" i="8" a="1"/>
  <c r="K30" i="8" a="1"/>
  <c r="Q29" i="8" a="1"/>
  <c r="M28" i="8" a="1"/>
  <c r="N27" i="8" a="1"/>
  <c r="S26" i="8" a="1"/>
  <c r="J26" i="8" a="1"/>
  <c r="K25" i="8" a="1"/>
  <c r="P24" i="8" a="1"/>
  <c r="G24" i="8" a="1"/>
  <c r="Q19" i="8" a="1"/>
  <c r="H19" i="8" a="1"/>
  <c r="R18" i="8" a="1"/>
  <c r="M18" i="8" a="1"/>
  <c r="S17" i="8" a="1"/>
  <c r="J17" i="8" a="1"/>
  <c r="K16" i="8" a="1"/>
  <c r="F16" i="8" a="1"/>
  <c r="P15" i="8" a="1"/>
  <c r="G15" i="8" a="1"/>
  <c r="Q14" i="8" a="1"/>
  <c r="H14" i="8" a="1"/>
  <c r="M13" i="8" a="1"/>
  <c r="N12" i="8" a="1"/>
  <c r="J11" i="8" a="1"/>
  <c r="K10" i="8" a="1"/>
  <c r="Q9" i="8" a="1"/>
  <c r="M8" i="8" a="1"/>
  <c r="N7" i="8" a="1"/>
  <c r="S6" i="8" a="1"/>
  <c r="J6" i="8" a="1"/>
  <c r="K5" i="8" a="1"/>
  <c r="S3" i="8" a="1"/>
  <c r="O3" i="8" a="1"/>
  <c r="K3" i="8" a="1"/>
  <c r="G3" i="8" a="1"/>
  <c r="M97" i="8" a="1"/>
  <c r="L94" i="8" a="1"/>
  <c r="Q90" i="8" a="1"/>
  <c r="R87" i="8" a="1"/>
  <c r="Q86" i="8" a="1"/>
  <c r="P84" i="8" a="1"/>
  <c r="G75" i="8" a="1"/>
  <c r="F73" i="8" a="1"/>
  <c r="I71" i="8" a="1"/>
  <c r="J69" i="8" a="1"/>
  <c r="R68" i="8" a="1"/>
  <c r="J66" i="8" a="1"/>
  <c r="H100" i="8" a="1"/>
  <c r="L96" i="8" a="1"/>
  <c r="K94" i="8" a="1"/>
  <c r="L88" i="8" a="1"/>
  <c r="J85" i="8" a="1"/>
  <c r="O80" i="8" a="1"/>
  <c r="O77" i="8" a="1"/>
  <c r="S75" i="8" a="1"/>
  <c r="I70" i="8" a="1"/>
  <c r="R64" i="8" a="1"/>
  <c r="H59" i="8" a="1"/>
  <c r="M57" i="8" a="1"/>
  <c r="F54" i="8" a="1"/>
  <c r="S52" i="8" a="1"/>
  <c r="K52" i="8" a="1"/>
  <c r="H50" i="8" a="1"/>
  <c r="N49" i="8" a="1"/>
  <c r="G49" i="8" a="1"/>
  <c r="O48" i="8" a="1"/>
  <c r="G48" i="8" a="1"/>
  <c r="O46" i="8" a="1"/>
  <c r="H46" i="8" a="1"/>
  <c r="Q45" i="8" a="1"/>
  <c r="R40" i="8" a="1"/>
  <c r="M39" i="8" a="1"/>
  <c r="I38" i="8" a="1"/>
  <c r="M37" i="8" a="1"/>
  <c r="G37" i="8" a="1"/>
  <c r="P36" i="8" a="1"/>
  <c r="L35" i="8" a="1"/>
  <c r="F35" i="8" a="1"/>
  <c r="K33" i="8" a="1"/>
  <c r="S32" i="8" a="1"/>
  <c r="M32" i="8" a="1"/>
  <c r="G32" i="8" a="1"/>
  <c r="I31" i="8" a="1"/>
  <c r="F30" i="8" a="1"/>
  <c r="O29" i="8" a="1"/>
  <c r="Q28" i="8" a="1"/>
  <c r="S25" i="8" a="1"/>
  <c r="M25" i="8" a="1"/>
  <c r="G25" i="8" a="1"/>
  <c r="O24" i="8" a="1"/>
  <c r="N18" i="8" a="1"/>
  <c r="N16" i="8" a="1"/>
  <c r="S14" i="8" a="1"/>
  <c r="M14" i="8" a="1"/>
  <c r="I13" i="8" a="1"/>
  <c r="H11" i="8" a="1"/>
  <c r="Q10" i="8" a="1"/>
  <c r="N9" i="8" a="1"/>
  <c r="G9" i="8" a="1"/>
  <c r="P8" i="8" a="1"/>
  <c r="J8" i="8" a="1"/>
  <c r="R7" i="8" a="1"/>
  <c r="L7" i="8" a="1"/>
  <c r="N6" i="8" a="1"/>
  <c r="I4" i="8" a="1"/>
  <c r="H4" i="8" a="1"/>
  <c r="N92" i="8" a="1"/>
  <c r="K86" i="8" a="1"/>
  <c r="P78" i="8" a="1"/>
  <c r="L65" i="8" a="1"/>
  <c r="K57" i="8" a="1"/>
  <c r="J53" i="8" a="1"/>
  <c r="O51" i="8" a="1"/>
  <c r="O50" i="8" a="1"/>
  <c r="M48" i="8" a="1"/>
  <c r="G46" i="8" a="1"/>
  <c r="H45" i="8" a="1"/>
  <c r="N36" i="8" a="1"/>
  <c r="M34" i="8" a="1"/>
  <c r="H31" i="8" a="1"/>
  <c r="N29" i="8" a="1"/>
  <c r="P28" i="8" a="1"/>
  <c r="R27" i="8" a="1"/>
  <c r="N24" i="8" a="1"/>
  <c r="J19" i="8" a="1"/>
  <c r="M16" i="8" a="1"/>
  <c r="O15" i="8" a="1"/>
  <c r="P12" i="8" a="1"/>
  <c r="R11" i="8" a="1"/>
  <c r="O10" i="8" a="1"/>
  <c r="O8" i="8" a="1"/>
  <c r="K7" i="8" a="1"/>
  <c r="M6" i="8" a="1"/>
  <c r="P5" i="8" a="1"/>
  <c r="M4" i="8" a="1"/>
  <c r="L92" i="8" a="1"/>
  <c r="I86" i="8" a="1"/>
  <c r="M73" i="8" a="1"/>
  <c r="P68" i="8" a="1"/>
  <c r="L64" i="8" a="1"/>
  <c r="K56" i="8" a="1"/>
  <c r="K54" i="8" a="1"/>
  <c r="G52" i="8" a="1"/>
  <c r="L49" i="8" a="1"/>
  <c r="O44" i="8" a="1"/>
  <c r="O40" i="8" a="1"/>
  <c r="G38" i="8" a="1"/>
  <c r="F100" i="8" a="1"/>
  <c r="G98" i="8" a="1"/>
  <c r="K96" i="8" a="1"/>
  <c r="Q89" i="8" a="1"/>
  <c r="P86" i="8" a="1"/>
  <c r="K80" i="8" a="1"/>
  <c r="Q78" i="8" a="1"/>
  <c r="K77" i="8" a="1"/>
  <c r="Q68" i="8" a="1"/>
  <c r="P66" i="8" a="1"/>
  <c r="Q60" i="8" a="1"/>
  <c r="Q55" i="8" a="1"/>
  <c r="I55" i="8" a="1"/>
  <c r="O54" i="8" a="1"/>
  <c r="K53" i="8" a="1"/>
  <c r="J52" i="8" a="1"/>
  <c r="P51" i="8" a="1"/>
  <c r="H51" i="8" a="1"/>
  <c r="P50" i="8" a="1"/>
  <c r="G50" i="8" a="1"/>
  <c r="N48" i="8" a="1"/>
  <c r="O47" i="8" a="1"/>
  <c r="P44" i="8" a="1"/>
  <c r="I44" i="8" a="1"/>
  <c r="Q40" i="8" a="1"/>
  <c r="J40" i="8" a="1"/>
  <c r="L39" i="8" a="1"/>
  <c r="F39" i="8" a="1"/>
  <c r="O38" i="8" a="1"/>
  <c r="H38" i="8" a="1"/>
  <c r="R37" i="8" a="1"/>
  <c r="F37" i="8" a="1"/>
  <c r="O36" i="8" a="1"/>
  <c r="I36" i="8" a="1"/>
  <c r="R35" i="8" a="1"/>
  <c r="K35" i="8" a="1"/>
  <c r="N34" i="8" a="1"/>
  <c r="G34" i="8" a="1"/>
  <c r="P33" i="8" a="1"/>
  <c r="R32" i="8" a="1"/>
  <c r="L32" i="8" a="1"/>
  <c r="N31" i="8" a="1"/>
  <c r="R30" i="8" a="1"/>
  <c r="K28" i="8" a="1"/>
  <c r="S27" i="8" a="1"/>
  <c r="G27" i="8" a="1"/>
  <c r="O26" i="8" a="1"/>
  <c r="I26" i="8" a="1"/>
  <c r="I24" i="8" a="1"/>
  <c r="G18" i="8" a="1"/>
  <c r="Q17" i="8" a="1"/>
  <c r="H16" i="8" a="1"/>
  <c r="J15" i="8" a="1"/>
  <c r="L14" i="8" a="1"/>
  <c r="F14" i="8" a="1"/>
  <c r="O13" i="8" a="1"/>
  <c r="H13" i="8" a="1"/>
  <c r="Q12" i="8" a="1"/>
  <c r="K12" i="8" a="1"/>
  <c r="M11" i="8" a="1"/>
  <c r="P10" i="8" a="1"/>
  <c r="J10" i="8" a="1"/>
  <c r="S9" i="8" a="1"/>
  <c r="M9" i="8" a="1"/>
  <c r="I8" i="8" a="1"/>
  <c r="H6" i="8" a="1"/>
  <c r="Q5" i="8" a="1"/>
  <c r="S4" i="8" a="1"/>
  <c r="N4" i="8" a="1"/>
  <c r="R3" i="8" a="1"/>
  <c r="M3" i="8" a="1"/>
  <c r="H94" i="8" a="1"/>
  <c r="H91" i="8" a="1"/>
  <c r="N84" i="8" a="1"/>
  <c r="N73" i="8" a="1"/>
  <c r="L66" i="8" a="1"/>
  <c r="S59" i="8" a="1"/>
  <c r="O56" i="8" a="1"/>
  <c r="N54" i="8" a="1"/>
  <c r="R52" i="8" a="1"/>
  <c r="G51" i="8" a="1"/>
  <c r="M49" i="8" a="1"/>
  <c r="F48" i="8" a="1"/>
  <c r="N46" i="8" a="1"/>
  <c r="H44" i="8" a="1"/>
  <c r="N38" i="8" a="1"/>
  <c r="S34" i="8" a="1"/>
  <c r="I33" i="8" a="1"/>
  <c r="Q30" i="8" a="1"/>
  <c r="G29" i="8" a="1"/>
  <c r="J28" i="8" a="1"/>
  <c r="L27" i="8" a="1"/>
  <c r="N26" i="8" a="1"/>
  <c r="P19" i="8" a="1"/>
  <c r="L18" i="8" a="1"/>
  <c r="S16" i="8" a="1"/>
  <c r="G16" i="8" a="1"/>
  <c r="K14" i="8" a="1"/>
  <c r="J12" i="8" a="1"/>
  <c r="F11" i="8" a="1"/>
  <c r="I10" i="8" a="1"/>
  <c r="F9" i="8" a="1"/>
  <c r="H8" i="8" a="1"/>
  <c r="G6" i="8" a="1"/>
  <c r="Q87" i="8" a="1"/>
  <c r="O75" i="8" a="1"/>
  <c r="Q71" i="8" a="1"/>
  <c r="K67" i="8" a="1"/>
  <c r="P55" i="8" a="1"/>
  <c r="G55" i="8" a="1"/>
  <c r="R53" i="8" a="1"/>
  <c r="F51" i="8" a="1"/>
  <c r="F46" i="8" a="1"/>
  <c r="G44" i="8" a="1"/>
  <c r="I40" i="8" a="1"/>
  <c r="Q37" i="8" a="1"/>
  <c r="H97" i="8" a="1"/>
  <c r="O93" i="8" a="1"/>
  <c r="S77" i="8" a="1"/>
  <c r="R74" i="8" a="1"/>
  <c r="S54" i="8" a="1"/>
  <c r="N51" i="8" a="1"/>
  <c r="L50" i="8" a="1"/>
  <c r="Q48" i="8" a="1"/>
  <c r="S46" i="8" a="1"/>
  <c r="F45" i="8" a="1"/>
  <c r="J39" i="8" a="1"/>
  <c r="P38" i="8" a="1"/>
  <c r="L34" i="8" a="1"/>
  <c r="R31" i="8" a="1"/>
  <c r="K29" i="8" a="1"/>
  <c r="G28" i="8" a="1"/>
  <c r="G26" i="8" a="1"/>
  <c r="J24" i="8" a="1"/>
  <c r="N19" i="8" a="1"/>
  <c r="O17" i="8" a="1"/>
  <c r="G17" i="8" a="1"/>
  <c r="N14" i="8" a="1"/>
  <c r="F10" i="8" a="1"/>
  <c r="F8" i="8" a="1"/>
  <c r="J7" i="8" a="1"/>
  <c r="Q6" i="8" a="1"/>
  <c r="F6" i="8" a="1"/>
  <c r="M5" i="8" a="1"/>
  <c r="Q4" i="8" a="1"/>
  <c r="J4" i="8" a="1"/>
  <c r="F3" i="8" a="1"/>
  <c r="K49" i="8" a="1"/>
  <c r="O35" i="8" a="1"/>
  <c r="Q33" i="8" a="1"/>
  <c r="K32" i="8" a="1"/>
  <c r="N30" i="8" a="1"/>
  <c r="F28" i="8" a="1"/>
  <c r="Q26" i="8" a="1"/>
  <c r="F26" i="8" a="1"/>
  <c r="M19" i="8" a="1"/>
  <c r="I18" i="8" a="1"/>
  <c r="F17" i="8" a="1"/>
  <c r="Q13" i="8" a="1"/>
  <c r="M12" i="8" a="1"/>
  <c r="N10" i="8" a="1"/>
  <c r="J9" i="8" a="1"/>
  <c r="P4" i="8" a="1"/>
  <c r="F71" i="8" a="1"/>
  <c r="Q54" i="8" a="1"/>
  <c r="I49" i="8" a="1"/>
  <c r="P47" i="8" a="1"/>
  <c r="R45" i="8" a="1"/>
  <c r="F40" i="8" a="1"/>
  <c r="O37" i="8" a="1"/>
  <c r="J32" i="8" a="1"/>
  <c r="M30" i="8" a="1"/>
  <c r="J27" i="8" a="1"/>
  <c r="F24" i="8" a="1"/>
  <c r="H18" i="8" a="1"/>
  <c r="F15" i="8" a="1"/>
  <c r="L12" i="8" a="1"/>
  <c r="S7" i="8" a="1"/>
  <c r="O6" i="8" a="1"/>
  <c r="N87" i="8" a="1"/>
  <c r="N68" i="8" a="1"/>
  <c r="K64" i="8" a="1"/>
  <c r="H49" i="8" a="1"/>
  <c r="P46" i="8" a="1"/>
  <c r="S40" i="8" a="1"/>
  <c r="N37" i="8" a="1"/>
  <c r="H36" i="8" a="1"/>
  <c r="J34" i="8" a="1"/>
  <c r="I32" i="8" a="1"/>
  <c r="M26" i="8" a="1"/>
  <c r="F18" i="8" a="1"/>
  <c r="R16" i="8" a="1"/>
  <c r="P13" i="8" a="1"/>
  <c r="P7" i="8" a="1"/>
  <c r="O4" i="8" a="1"/>
  <c r="J95" i="8" a="1"/>
  <c r="J90" i="8" a="1"/>
  <c r="M76" i="8" a="1"/>
  <c r="O55" i="8" a="1"/>
  <c r="I53" i="8" a="1"/>
  <c r="K47" i="8" a="1"/>
  <c r="M45" i="8" a="1"/>
  <c r="P39" i="8" a="1"/>
  <c r="R36" i="8" a="1"/>
  <c r="H32" i="8" a="1"/>
  <c r="I30" i="8" a="1"/>
  <c r="L28" i="8" a="1"/>
  <c r="H27" i="8" a="1"/>
  <c r="H12" i="8" a="1"/>
  <c r="G7" i="8" a="1"/>
  <c r="H5" i="8" a="1"/>
  <c r="I95" i="8" a="1"/>
  <c r="L84" i="8" a="1"/>
  <c r="G64" i="8" a="1"/>
  <c r="L55" i="8" a="1"/>
  <c r="F52" i="8" a="1"/>
  <c r="K46" i="8" a="1"/>
  <c r="L44" i="8" a="1"/>
  <c r="F34" i="8" a="1"/>
  <c r="P32" i="8" a="1"/>
  <c r="S30" i="8" a="1"/>
  <c r="I28" i="8" a="1"/>
  <c r="P25" i="8" a="1"/>
  <c r="L24" i="8" a="1"/>
  <c r="O18" i="8" a="1"/>
  <c r="Q16" i="8" a="1"/>
  <c r="P14" i="8" a="1"/>
  <c r="G14" i="8" a="1"/>
  <c r="R12" i="8" a="1"/>
  <c r="S10" i="8" a="1"/>
  <c r="K8" i="8" a="1"/>
  <c r="O5" i="8" a="1"/>
  <c r="J3" i="8" a="1"/>
  <c r="M59" i="8" a="1"/>
  <c r="I54" i="8" a="1"/>
  <c r="R48" i="8" a="1"/>
  <c r="I47" i="8" a="1"/>
  <c r="L45" i="8" a="1"/>
  <c r="Q38" i="8" a="1"/>
  <c r="I37" i="8" a="1"/>
  <c r="L31" i="8" a="1"/>
  <c r="H30" i="8" a="1"/>
  <c r="O25" i="8" a="1"/>
  <c r="K15" i="8" a="1"/>
  <c r="L11" i="8" a="1"/>
  <c r="R8" i="8" a="1"/>
  <c r="R6" i="8" a="1"/>
  <c r="K4" i="8" a="1"/>
  <c r="L91" i="8" a="1"/>
  <c r="I69" i="8" a="1"/>
  <c r="K59" i="8" a="1"/>
  <c r="Q50" i="8" a="1"/>
  <c r="K40" i="8" a="1"/>
  <c r="M36" i="8" a="1"/>
  <c r="O34" i="8" a="1"/>
  <c r="O30" i="8" a="1"/>
  <c r="R26" i="8" a="1"/>
  <c r="S24" i="8" a="1"/>
  <c r="K18" i="8" a="1"/>
  <c r="O16" i="8" a="1"/>
  <c r="K13" i="8" a="1"/>
  <c r="G10" i="8" a="1"/>
  <c r="Q8" i="8" a="1"/>
  <c r="I6" i="8" a="1"/>
  <c r="I3" i="8" a="1"/>
  <c r="K99" i="8" a="1"/>
  <c r="O90" i="8" a="1"/>
  <c r="N88" i="8" a="1"/>
  <c r="N85" i="8" a="1"/>
  <c r="O79" i="8" a="1"/>
  <c r="G71" i="8" a="1"/>
  <c r="S66" i="8" a="1"/>
  <c r="S64" i="8" a="1"/>
  <c r="L60" i="8" a="1"/>
  <c r="N57" i="8" a="1"/>
  <c r="G56" i="8" a="1"/>
  <c r="P53" i="8" a="1"/>
  <c r="N52" i="8" a="1"/>
  <c r="L51" i="8" a="1"/>
  <c r="L38" i="8" a="1"/>
  <c r="K34" i="8" a="1"/>
  <c r="G33" i="8" a="1"/>
  <c r="S29" i="8" a="1"/>
  <c r="O28" i="8" a="1"/>
  <c r="K27" i="8" a="1"/>
  <c r="R24" i="8" a="1"/>
  <c r="Q18" i="8" a="1"/>
  <c r="N17" i="8" a="1"/>
  <c r="R15" i="8" a="1"/>
  <c r="G13" i="8" a="1"/>
  <c r="I11" i="8" a="1"/>
  <c r="G4" i="8" a="1"/>
  <c r="M79" i="8" a="1"/>
  <c r="Q66" i="8" a="1"/>
  <c r="K50" i="8" a="1"/>
  <c r="K48" i="8" a="1"/>
  <c r="R46" i="8" a="1"/>
  <c r="S44" i="8" a="1"/>
  <c r="J36" i="8" a="1"/>
  <c r="O33" i="8" a="1"/>
  <c r="Q31" i="8" a="1"/>
  <c r="F31" i="8" a="1"/>
  <c r="J29" i="8" a="1"/>
  <c r="Q24" i="8" a="1"/>
  <c r="L19" i="8" a="1"/>
  <c r="J16" i="8" a="1"/>
  <c r="J14" i="8" a="1"/>
  <c r="Q11" i="8" a="1"/>
  <c r="M10" i="8" a="1"/>
  <c r="H7" i="8" a="1"/>
  <c r="I5" i="8" a="1"/>
  <c r="N3" i="8" a="1"/>
  <c r="S98" i="8" a="1"/>
  <c r="K79" i="8" a="1"/>
  <c r="I66" i="8" a="1"/>
  <c r="F57" i="8" a="1"/>
  <c r="J51" i="8" a="1"/>
  <c r="Q44" i="8" a="1"/>
  <c r="K38" i="8" a="1"/>
  <c r="S36" i="8" a="1"/>
  <c r="N35" i="8" a="1"/>
  <c r="J30" i="8" a="1"/>
  <c r="I25" i="8" a="1"/>
  <c r="P18" i="8" a="1"/>
  <c r="M17" i="8" a="1"/>
  <c r="N15" i="8" a="1"/>
  <c r="I12" i="8" a="1"/>
  <c r="L8" i="8" a="1"/>
  <c r="S5" i="8" a="1"/>
  <c r="F4" i="8" a="1"/>
  <c r="J92" i="8" a="1"/>
  <c r="M84" i="8" a="1"/>
  <c r="H68" i="8" a="1"/>
  <c r="N58" i="8" a="1"/>
  <c r="J54" i="8" a="1"/>
  <c r="J48" i="8" a="1"/>
  <c r="L46" i="8" a="1"/>
  <c r="M44" i="8" a="1"/>
  <c r="G36" i="8" a="1"/>
  <c r="Q32" i="8" a="1"/>
  <c r="M31" i="8" a="1"/>
  <c r="F29" i="8" a="1"/>
  <c r="Q25" i="8" a="1"/>
  <c r="I16" i="8" a="1"/>
  <c r="S12" i="8" a="1"/>
  <c r="L6" i="8" a="1"/>
  <c r="L4" i="8" a="1"/>
  <c r="F92" i="8" a="1"/>
  <c r="S72" i="8" a="1"/>
  <c r="R56" i="8" a="1"/>
  <c r="H53" i="8" a="1"/>
  <c r="I48" i="8" a="1"/>
  <c r="N40" i="8" a="1"/>
  <c r="J35" i="8" a="1"/>
  <c r="L33" i="8" a="1"/>
  <c r="P27" i="8" a="1"/>
  <c r="L26" i="8" a="1"/>
  <c r="H25" i="8" a="1"/>
  <c r="I17" i="8" a="1"/>
  <c r="L15" i="8" a="1"/>
  <c r="L13" i="8" a="1"/>
  <c r="N11" i="8" a="1"/>
  <c r="O9" i="8" a="1"/>
  <c r="G5" i="8" a="1"/>
  <c r="I97" i="8" a="1"/>
  <c r="K55" i="8" a="1"/>
  <c r="R49" i="8" a="1"/>
  <c r="J46" i="8" a="1"/>
  <c r="M40" i="8" a="1"/>
  <c r="F38" i="8" a="1"/>
  <c r="Q36" i="8" a="1"/>
  <c r="P34" i="8" a="1"/>
  <c r="P30" i="8" a="1"/>
  <c r="M29" i="8" a="1"/>
  <c r="H28" i="8" a="1"/>
  <c r="K24" i="8" a="1"/>
  <c r="P16" i="8" a="1"/>
  <c r="O14" i="8" a="1"/>
  <c r="G12" i="8" a="1"/>
  <c r="H10" i="8" a="1"/>
  <c r="Q3" i="8" a="1"/>
  <c r="P72" i="8" a="1"/>
  <c r="J56" i="8" a="1"/>
  <c r="Q49" i="8" a="1"/>
  <c r="K44" i="8" a="1"/>
  <c r="N39" i="8" a="1"/>
  <c r="S35" i="8" a="1"/>
  <c r="H33" i="8" a="1"/>
  <c r="G30" i="8" a="1"/>
  <c r="R28" i="8" a="1"/>
  <c r="H26" i="8" a="1"/>
  <c r="F19" i="8" a="1"/>
  <c r="R17" i="8" a="1"/>
  <c r="S15" i="8" a="1"/>
  <c r="R10" i="8" a="1"/>
  <c r="K9" i="8" a="1"/>
  <c r="G8" i="8" a="1"/>
  <c r="R4" i="8" a="1"/>
  <c r="R99" i="7" a="1"/>
  <c r="N99" i="7" a="1"/>
  <c r="J99" i="7" a="1"/>
  <c r="F99" i="7" a="1"/>
  <c r="S97" i="7" a="1"/>
  <c r="O97" i="7" a="1"/>
  <c r="K97" i="7" a="1"/>
  <c r="G97" i="7" a="1"/>
  <c r="P95" i="7" a="1"/>
  <c r="L95" i="7" a="1"/>
  <c r="H95" i="7" a="1"/>
  <c r="Q93" i="7" a="1"/>
  <c r="M93" i="7" a="1"/>
  <c r="I93" i="7" a="1"/>
  <c r="R91" i="7" a="1"/>
  <c r="N91" i="7" a="1"/>
  <c r="J91" i="7" a="1"/>
  <c r="F91" i="7" a="1"/>
  <c r="S89" i="7" a="1"/>
  <c r="O89" i="7" a="1"/>
  <c r="K89" i="7" a="1"/>
  <c r="G89" i="7" a="1"/>
  <c r="P87" i="7" a="1"/>
  <c r="L87" i="7" a="1"/>
  <c r="H87" i="7" a="1"/>
  <c r="Q85" i="7" a="1"/>
  <c r="M85" i="7" a="1"/>
  <c r="I85" i="7" a="1"/>
  <c r="R80" i="7" a="1"/>
  <c r="N80" i="7" a="1"/>
  <c r="J80" i="7" a="1"/>
  <c r="F80" i="7" a="1"/>
  <c r="S78" i="7" a="1"/>
  <c r="O78" i="7" a="1"/>
  <c r="K78" i="7" a="1"/>
  <c r="G78" i="7" a="1"/>
  <c r="P76" i="7" a="1"/>
  <c r="L76" i="7" a="1"/>
  <c r="H76" i="7" a="1"/>
  <c r="Q74" i="7" a="1"/>
  <c r="M74" i="7" a="1"/>
  <c r="I74" i="7" a="1"/>
  <c r="R72" i="7" a="1"/>
  <c r="N72" i="7" a="1"/>
  <c r="J72" i="7" a="1"/>
  <c r="F72" i="7" a="1"/>
  <c r="S70" i="7" a="1"/>
  <c r="O70" i="7" a="1"/>
  <c r="K70" i="7" a="1"/>
  <c r="G70" i="7" a="1"/>
  <c r="S100" i="7" a="1"/>
  <c r="J100" i="7" a="1"/>
  <c r="K99" i="7" a="1"/>
  <c r="P98" i="7" a="1"/>
  <c r="G98" i="7" a="1"/>
  <c r="Q97" i="7" a="1"/>
  <c r="H97" i="7" a="1"/>
  <c r="R96" i="7" a="1"/>
  <c r="M96" i="7" a="1"/>
  <c r="S95" i="7" a="1"/>
  <c r="J95" i="7" a="1"/>
  <c r="K94" i="7" a="1"/>
  <c r="F94" i="7" a="1"/>
  <c r="P93" i="7" a="1"/>
  <c r="G93" i="7" a="1"/>
  <c r="Q92" i="7" a="1"/>
  <c r="H92" i="7" a="1"/>
  <c r="M91" i="7" a="1"/>
  <c r="N90" i="7" a="1"/>
  <c r="J89" i="7" a="1"/>
  <c r="K88" i="7" a="1"/>
  <c r="Q87" i="7" a="1"/>
  <c r="M86" i="7" a="1"/>
  <c r="N85" i="7" a="1"/>
  <c r="S84" i="7" a="1"/>
  <c r="J84" i="7" a="1"/>
  <c r="K80" i="7" a="1"/>
  <c r="P79" i="7" a="1"/>
  <c r="G79" i="7" a="1"/>
  <c r="Q78" i="7" a="1"/>
  <c r="H78" i="7" a="1"/>
  <c r="R77" i="7" a="1"/>
  <c r="M77" i="7" a="1"/>
  <c r="S76" i="7" a="1"/>
  <c r="J76" i="7" a="1"/>
  <c r="K75" i="7" a="1"/>
  <c r="F75" i="7" a="1"/>
  <c r="P74" i="7" a="1"/>
  <c r="G74" i="7" a="1"/>
  <c r="Q73" i="7" a="1"/>
  <c r="H73" i="7" a="1"/>
  <c r="M72" i="7" a="1"/>
  <c r="N71" i="7" a="1"/>
  <c r="J70" i="7" a="1"/>
  <c r="K69" i="7" a="1"/>
  <c r="Q68" i="7" a="1"/>
  <c r="M68" i="7" a="1"/>
  <c r="I68" i="7" a="1"/>
  <c r="R66" i="7" a="1"/>
  <c r="N66" i="7" a="1"/>
  <c r="J66" i="7" a="1"/>
  <c r="F66" i="7" a="1"/>
  <c r="S64" i="7" a="1"/>
  <c r="O64" i="7" a="1"/>
  <c r="K64" i="7" a="1"/>
  <c r="G64" i="7" a="1"/>
  <c r="P59" i="7" a="1"/>
  <c r="L59" i="7" a="1"/>
  <c r="H59" i="7" a="1"/>
  <c r="Q57" i="7" a="1"/>
  <c r="M57" i="7" a="1"/>
  <c r="I57" i="7" a="1"/>
  <c r="R55" i="7" a="1"/>
  <c r="N55" i="7" a="1"/>
  <c r="J55" i="7" a="1"/>
  <c r="F55" i="7" a="1"/>
  <c r="S53" i="7" a="1"/>
  <c r="O53" i="7" a="1"/>
  <c r="K53" i="7" a="1"/>
  <c r="G53" i="7" a="1"/>
  <c r="P51" i="7" a="1"/>
  <c r="L51" i="7" a="1"/>
  <c r="H51" i="7" a="1"/>
  <c r="Q49" i="7" a="1"/>
  <c r="M49" i="7" a="1"/>
  <c r="I49" i="7" a="1"/>
  <c r="R47" i="7" a="1"/>
  <c r="N47" i="7" a="1"/>
  <c r="J47" i="7" a="1"/>
  <c r="F47" i="7" a="1"/>
  <c r="S45" i="7" a="1"/>
  <c r="O45" i="7" a="1"/>
  <c r="K45" i="7" a="1"/>
  <c r="G45" i="7" a="1"/>
  <c r="P40" i="7" a="1"/>
  <c r="L40" i="7" a="1"/>
  <c r="H40" i="7" a="1"/>
  <c r="Q38" i="7" a="1"/>
  <c r="M38" i="7" a="1"/>
  <c r="I38" i="7" a="1"/>
  <c r="R36" i="7" a="1"/>
  <c r="N36" i="7" a="1"/>
  <c r="J36" i="7" a="1"/>
  <c r="F36" i="7" a="1"/>
  <c r="S34" i="7" a="1"/>
  <c r="O34" i="7" a="1"/>
  <c r="K34" i="7" a="1"/>
  <c r="G34" i="7" a="1"/>
  <c r="P32" i="7" a="1"/>
  <c r="L32" i="7" a="1"/>
  <c r="H32" i="7" a="1"/>
  <c r="Q30" i="7" a="1"/>
  <c r="M30" i="7" a="1"/>
  <c r="I30" i="7" a="1"/>
  <c r="M99" i="7" a="1"/>
  <c r="H99" i="7" a="1"/>
  <c r="L98" i="7" a="1"/>
  <c r="P97" i="7" a="1"/>
  <c r="O96" i="7" a="1"/>
  <c r="J96" i="7" a="1"/>
  <c r="N95" i="7" a="1"/>
  <c r="I95" i="7" a="1"/>
  <c r="S94" i="7" a="1"/>
  <c r="R93" i="7" a="1"/>
  <c r="K92" i="7" a="1"/>
  <c r="F92" i="7" a="1"/>
  <c r="I90" i="7" a="1"/>
  <c r="R89" i="7" a="1"/>
  <c r="M89" i="7" a="1"/>
  <c r="H89" i="7" a="1"/>
  <c r="R88" i="7" a="1"/>
  <c r="P86" i="7" a="1"/>
  <c r="K86" i="7" a="1"/>
  <c r="O85" i="7" a="1"/>
  <c r="J85" i="7" a="1"/>
  <c r="M80" i="7" a="1"/>
  <c r="H80" i="7" a="1"/>
  <c r="L79" i="7" a="1"/>
  <c r="P78" i="7" a="1"/>
  <c r="O77" i="7" a="1"/>
  <c r="J77" i="7" a="1"/>
  <c r="N76" i="7" a="1"/>
  <c r="I76" i="7" a="1"/>
  <c r="S75" i="7" a="1"/>
  <c r="R74" i="7" a="1"/>
  <c r="K73" i="7" a="1"/>
  <c r="F73" i="7" a="1"/>
  <c r="I71" i="7" a="1"/>
  <c r="R70" i="7" a="1"/>
  <c r="M70" i="7" a="1"/>
  <c r="H70" i="7" a="1"/>
  <c r="R69" i="7" a="1"/>
  <c r="H68" i="7" a="1"/>
  <c r="R67" i="7" a="1"/>
  <c r="I67" i="7" a="1"/>
  <c r="S66" i="7" a="1"/>
  <c r="O65" i="7" a="1"/>
  <c r="F65" i="7" a="1"/>
  <c r="P64" i="7" a="1"/>
  <c r="L60" i="7" a="1"/>
  <c r="R59" i="7" a="1"/>
  <c r="I59" i="7" a="1"/>
  <c r="S58" i="7" a="1"/>
  <c r="N58" i="7" a="1"/>
  <c r="O57" i="7" a="1"/>
  <c r="F57" i="7" a="1"/>
  <c r="P56" i="7" a="1"/>
  <c r="K56" i="7" a="1"/>
  <c r="L55" i="7" a="1"/>
  <c r="M54" i="7" a="1"/>
  <c r="H54" i="7" a="1"/>
  <c r="R53" i="7" a="1"/>
  <c r="I53" i="7" a="1"/>
  <c r="S52" i="7" a="1"/>
  <c r="J52" i="7" a="1"/>
  <c r="K51" i="7" a="1"/>
  <c r="L50" i="7" a="1"/>
  <c r="H49" i="7" a="1"/>
  <c r="R48" i="7" a="1"/>
  <c r="I48" i="7" a="1"/>
  <c r="S47" i="7" a="1"/>
  <c r="O46" i="7" a="1"/>
  <c r="F46" i="7" a="1"/>
  <c r="P45" i="7" a="1"/>
  <c r="L44" i="7" a="1"/>
  <c r="R40" i="7" a="1"/>
  <c r="I40" i="7" a="1"/>
  <c r="S39" i="7" a="1"/>
  <c r="N39" i="7" a="1"/>
  <c r="O38" i="7" a="1"/>
  <c r="F38" i="7" a="1"/>
  <c r="P37" i="7" a="1"/>
  <c r="K37" i="7" a="1"/>
  <c r="L36" i="7" a="1"/>
  <c r="M35" i="7" a="1"/>
  <c r="H35" i="7" a="1"/>
  <c r="R34" i="7" a="1"/>
  <c r="I34" i="7" a="1"/>
  <c r="S33" i="7" a="1"/>
  <c r="J33" i="7" a="1"/>
  <c r="K32" i="7" a="1"/>
  <c r="L31" i="7" a="1"/>
  <c r="H30" i="7" a="1"/>
  <c r="R29" i="7" a="1"/>
  <c r="I29" i="7" a="1"/>
  <c r="R27" i="7" a="1"/>
  <c r="N27" i="7" a="1"/>
  <c r="J27" i="7" a="1"/>
  <c r="F27" i="7" a="1"/>
  <c r="S25" i="7" a="1"/>
  <c r="O25" i="7" a="1"/>
  <c r="K25" i="7" a="1"/>
  <c r="G25" i="7" a="1"/>
  <c r="P19" i="7" a="1"/>
  <c r="L19" i="7" a="1"/>
  <c r="H19" i="7" a="1"/>
  <c r="Q17" i="7" a="1"/>
  <c r="M17" i="7" a="1"/>
  <c r="I17" i="7" a="1"/>
  <c r="R15" i="7" a="1"/>
  <c r="N15" i="7" a="1"/>
  <c r="J15" i="7" a="1"/>
  <c r="F15" i="7" a="1"/>
  <c r="S13" i="7" a="1"/>
  <c r="O13" i="7" a="1"/>
  <c r="K13" i="7" a="1"/>
  <c r="G13" i="7" a="1"/>
  <c r="P11" i="7" a="1"/>
  <c r="L11" i="7" a="1"/>
  <c r="H11" i="7" a="1"/>
  <c r="Q9" i="7" a="1"/>
  <c r="M9" i="7" a="1"/>
  <c r="I9" i="7" a="1"/>
  <c r="R7" i="7" a="1"/>
  <c r="N7" i="7" a="1"/>
  <c r="J7" i="7" a="1"/>
  <c r="F7" i="7" a="1"/>
  <c r="S5" i="7" a="1"/>
  <c r="O5" i="7" a="1"/>
  <c r="K5" i="7" a="1"/>
  <c r="G5" i="7" a="1"/>
  <c r="P3" i="7" a="1"/>
  <c r="L3" i="7" a="1"/>
  <c r="H3" i="7" a="1"/>
  <c r="R100" i="7" a="1"/>
  <c r="M100" i="7" a="1"/>
  <c r="H100" i="7" a="1"/>
  <c r="Q98" i="7" a="1"/>
  <c r="K98" i="7" a="1"/>
  <c r="F98" i="7" a="1"/>
  <c r="J97" i="7" a="1"/>
  <c r="I96" i="7" a="1"/>
  <c r="R94" i="7" a="1"/>
  <c r="M94" i="7" a="1"/>
  <c r="H94" i="7" a="1"/>
  <c r="L93" i="7" a="1"/>
  <c r="P92" i="7" a="1"/>
  <c r="O91" i="7" a="1"/>
  <c r="S90" i="7" a="1"/>
  <c r="H90" i="7" a="1"/>
  <c r="Q88" i="7" a="1"/>
  <c r="L88" i="7" a="1"/>
  <c r="G88" i="7" a="1"/>
  <c r="K87" i="7" a="1"/>
  <c r="F87" i="7" a="1"/>
  <c r="J86" i="7" a="1"/>
  <c r="R84" i="7" a="1"/>
  <c r="M84" i="7" a="1"/>
  <c r="H84" i="7" a="1"/>
  <c r="Q79" i="7" a="1"/>
  <c r="K79" i="7" a="1"/>
  <c r="F79" i="7" a="1"/>
  <c r="J78" i="7" a="1"/>
  <c r="I77" i="7" a="1"/>
  <c r="R75" i="7" a="1"/>
  <c r="M75" i="7" a="1"/>
  <c r="H75" i="7" a="1"/>
  <c r="L74" i="7" a="1"/>
  <c r="P73" i="7" a="1"/>
  <c r="O72" i="7" a="1"/>
  <c r="S71" i="7" a="1"/>
  <c r="H71" i="7" a="1"/>
  <c r="Q69" i="7" a="1"/>
  <c r="L69" i="7" a="1"/>
  <c r="G69" i="7" a="1"/>
  <c r="L68" i="7" a="1"/>
  <c r="M67" i="7" a="1"/>
  <c r="I66" i="7" a="1"/>
  <c r="S65" i="7" a="1"/>
  <c r="J65" i="7" a="1"/>
  <c r="F64" i="7" a="1"/>
  <c r="P60" i="7" a="1"/>
  <c r="G60" i="7" a="1"/>
  <c r="M59" i="7" a="1"/>
  <c r="R58" i="7" a="1"/>
  <c r="I58" i="7" a="1"/>
  <c r="S57" i="7" a="1"/>
  <c r="J57" i="7" a="1"/>
  <c r="O56" i="7" a="1"/>
  <c r="F56" i="7" a="1"/>
  <c r="P55" i="7" a="1"/>
  <c r="G55" i="7" a="1"/>
  <c r="Q54" i="7" a="1"/>
  <c r="L54" i="7" a="1"/>
  <c r="M53" i="7" a="1"/>
  <c r="N52" i="7" a="1"/>
  <c r="I52" i="7" a="1"/>
  <c r="O51" i="7" a="1"/>
  <c r="F51" i="7" a="1"/>
  <c r="P50" i="7" a="1"/>
  <c r="G50" i="7" a="1"/>
  <c r="L49" i="7" a="1"/>
  <c r="M48" i="7" a="1"/>
  <c r="I47" i="7" a="1"/>
  <c r="S46" i="7" a="1"/>
  <c r="J46" i="7" a="1"/>
  <c r="F45" i="7" a="1"/>
  <c r="P44" i="7" a="1"/>
  <c r="G44" i="7" a="1"/>
  <c r="K100" i="7" a="1"/>
  <c r="L99" i="7" a="1"/>
  <c r="Q94" i="7" a="1"/>
  <c r="J94" i="7" a="1"/>
  <c r="L92" i="7" a="1"/>
  <c r="M90" i="7" a="1"/>
  <c r="N89" i="7" a="1"/>
  <c r="O88" i="7" a="1"/>
  <c r="Q86" i="7" a="1"/>
  <c r="R85" i="7" a="1"/>
  <c r="L84" i="7" a="1"/>
  <c r="N79" i="7" a="1"/>
  <c r="N78" i="7" a="1"/>
  <c r="P77" i="7" a="1"/>
  <c r="H77" i="7" a="1"/>
  <c r="Q76" i="7" a="1"/>
  <c r="S74" i="7" a="1"/>
  <c r="K74" i="7" a="1"/>
  <c r="S73" i="7" a="1"/>
  <c r="M73" i="7" a="1"/>
  <c r="G72" i="7" a="1"/>
  <c r="O71" i="7" a="1"/>
  <c r="G71" i="7" a="1"/>
  <c r="P69" i="7" a="1"/>
  <c r="I69" i="7" a="1"/>
  <c r="R68" i="7" a="1"/>
  <c r="K68" i="7" a="1"/>
  <c r="N67" i="7" a="1"/>
  <c r="G67" i="7" a="1"/>
  <c r="P66" i="7" a="1"/>
  <c r="R65" i="7" a="1"/>
  <c r="L65" i="7" a="1"/>
  <c r="I64" i="7" a="1"/>
  <c r="R60" i="7" a="1"/>
  <c r="K60" i="7" a="1"/>
  <c r="K58" i="7" a="1"/>
  <c r="G57" i="7" a="1"/>
  <c r="I54" i="7" a="1"/>
  <c r="G52" i="7" a="1"/>
  <c r="Q51" i="7" a="1"/>
  <c r="J51" i="7" a="1"/>
  <c r="S50" i="7" a="1"/>
  <c r="M50" i="7" a="1"/>
  <c r="F50" i="7" a="1"/>
  <c r="O49" i="7" a="1"/>
  <c r="Q48" i="7" a="1"/>
  <c r="K48" i="7" a="1"/>
  <c r="M47" i="7" a="1"/>
  <c r="P46" i="7" a="1"/>
  <c r="M45" i="7" a="1"/>
  <c r="O44" i="7" a="1"/>
  <c r="I44" i="7" a="1"/>
  <c r="M40" i="7" a="1"/>
  <c r="Q39" i="7" a="1"/>
  <c r="L39" i="7" a="1"/>
  <c r="G39" i="7" a="1"/>
  <c r="P38" i="7" a="1"/>
  <c r="K38" i="7" a="1"/>
  <c r="S36" i="7" a="1"/>
  <c r="R35" i="7" a="1"/>
  <c r="L35" i="7" a="1"/>
  <c r="G35" i="7" a="1"/>
  <c r="F34" i="7" a="1"/>
  <c r="O32" i="7" a="1"/>
  <c r="J32" i="7" a="1"/>
  <c r="N31" i="7" a="1"/>
  <c r="I31" i="7" a="1"/>
  <c r="Q29" i="7" a="1"/>
  <c r="L29" i="7" a="1"/>
  <c r="G29" i="7" a="1"/>
  <c r="Q28" i="7" a="1"/>
  <c r="H28" i="7" a="1"/>
  <c r="M27" i="7" a="1"/>
  <c r="N26" i="7" a="1"/>
  <c r="J25" i="7" a="1"/>
  <c r="K24" i="7" a="1"/>
  <c r="Q19" i="7" a="1"/>
  <c r="M18" i="7" a="1"/>
  <c r="N17" i="7" a="1"/>
  <c r="S16" i="7" a="1"/>
  <c r="J16" i="7" a="1"/>
  <c r="K15" i="7" a="1"/>
  <c r="P14" i="7" a="1"/>
  <c r="G14" i="7" a="1"/>
  <c r="Q13" i="7" a="1"/>
  <c r="H13" i="7" a="1"/>
  <c r="R12" i="7" a="1"/>
  <c r="M12" i="7" a="1"/>
  <c r="S11" i="7" a="1"/>
  <c r="J11" i="7" a="1"/>
  <c r="K10" i="7" a="1"/>
  <c r="F10" i="7" a="1"/>
  <c r="P9" i="7" a="1"/>
  <c r="G9" i="7" a="1"/>
  <c r="Q8" i="7" a="1"/>
  <c r="H8" i="7" a="1"/>
  <c r="M7" i="7" a="1"/>
  <c r="N6" i="7" a="1"/>
  <c r="J5" i="7" a="1"/>
  <c r="K4" i="7" a="1"/>
  <c r="Q3" i="7" a="1"/>
  <c r="Q100" i="7" a="1"/>
  <c r="S99" i="7" a="1"/>
  <c r="S98" i="7" a="1"/>
  <c r="M98" i="7" a="1"/>
  <c r="M97" i="7" a="1"/>
  <c r="F97" i="7" a="1"/>
  <c r="N96" i="7" a="1"/>
  <c r="G96" i="7" a="1"/>
  <c r="J93" i="7" a="1"/>
  <c r="R92" i="7" a="1"/>
  <c r="J92" i="7" a="1"/>
  <c r="S91" i="7" a="1"/>
  <c r="L91" i="7" a="1"/>
  <c r="L90" i="7" a="1"/>
  <c r="F90" i="7" a="1"/>
  <c r="F89" i="7" a="1"/>
  <c r="H88" i="7" a="1"/>
  <c r="O87" i="7" a="1"/>
  <c r="I87" i="7" a="1"/>
  <c r="I86" i="7" a="1"/>
  <c r="K85" i="7" a="1"/>
  <c r="K84" i="7" a="1"/>
  <c r="L80" i="7" a="1"/>
  <c r="Q75" i="7" a="1"/>
  <c r="J75" i="7" a="1"/>
  <c r="L73" i="7" a="1"/>
  <c r="M71" i="7" a="1"/>
  <c r="N70" i="7" a="1"/>
  <c r="O69" i="7" a="1"/>
  <c r="P68" i="7" a="1"/>
  <c r="S67" i="7" a="1"/>
  <c r="N64" i="7" a="1"/>
  <c r="Q60" i="7" a="1"/>
  <c r="N59" i="7" a="1"/>
  <c r="G59" i="7" a="1"/>
  <c r="P58" i="7" a="1"/>
  <c r="J58" i="7" a="1"/>
  <c r="R57" i="7" a="1"/>
  <c r="L57" i="7" a="1"/>
  <c r="I56" i="7" a="1"/>
  <c r="K55" i="7" a="1"/>
  <c r="N54" i="7" a="1"/>
  <c r="G54" i="7" a="1"/>
  <c r="P53" i="7" a="1"/>
  <c r="J53" i="7" a="1"/>
  <c r="R52" i="7" a="1"/>
  <c r="L52" i="7" a="1"/>
  <c r="R50" i="7" a="1"/>
  <c r="G47" i="7" a="1"/>
  <c r="I46" i="7" a="1"/>
  <c r="R45" i="7" a="1"/>
  <c r="G40" i="7" a="1"/>
  <c r="F39" i="7" a="1"/>
  <c r="J38" i="7" a="1"/>
  <c r="S37" i="7" a="1"/>
  <c r="N37" i="7" a="1"/>
  <c r="I37" i="7" a="1"/>
  <c r="M36" i="7" a="1"/>
  <c r="H36" i="7" a="1"/>
  <c r="Q35" i="7" a="1"/>
  <c r="P34" i="7" a="1"/>
  <c r="O33" i="7" a="1"/>
  <c r="I33" i="7" a="1"/>
  <c r="S31" i="7" a="1"/>
  <c r="R30" i="7" a="1"/>
  <c r="L30" i="7" a="1"/>
  <c r="G30" i="7" a="1"/>
  <c r="K29" i="7" a="1"/>
  <c r="L28" i="7" a="1"/>
  <c r="G28" i="7" a="1"/>
  <c r="Q27" i="7" a="1"/>
  <c r="H27" i="7" a="1"/>
  <c r="R26" i="7" a="1"/>
  <c r="I26" i="7" a="1"/>
  <c r="N25" i="7" a="1"/>
  <c r="O24" i="7" a="1"/>
  <c r="F24" i="7" a="1"/>
  <c r="G19" i="7" a="1"/>
  <c r="Q18" i="7" a="1"/>
  <c r="H18" i="7" a="1"/>
  <c r="R17" i="7" a="1"/>
  <c r="N16" i="7" a="1"/>
  <c r="O15" i="7" a="1"/>
  <c r="K14" i="7" a="1"/>
  <c r="L13" i="7" a="1"/>
  <c r="Q12" i="7" a="1"/>
  <c r="H12" i="7" a="1"/>
  <c r="N11" i="7" a="1"/>
  <c r="O10" i="7" a="1"/>
  <c r="J10" i="7" a="1"/>
  <c r="K9" i="7" a="1"/>
  <c r="L8" i="7" a="1"/>
  <c r="G8" i="7" a="1"/>
  <c r="Q7" i="7" a="1"/>
  <c r="H7" i="7" a="1"/>
  <c r="R6" i="7" a="1"/>
  <c r="I6" i="7" a="1"/>
  <c r="N5" i="7" a="1"/>
  <c r="O4" i="7" a="1"/>
  <c r="F4" i="7" a="1"/>
  <c r="G3" i="7" a="1"/>
  <c r="Q99" i="7" a="1"/>
  <c r="L97" i="7" a="1"/>
  <c r="O95" i="7" a="1"/>
  <c r="G95" i="7" a="1"/>
  <c r="P94" i="7" a="1"/>
  <c r="I94" i="7" a="1"/>
  <c r="R90" i="7" a="1"/>
  <c r="L89" i="7" a="1"/>
  <c r="N88" i="7" a="1"/>
  <c r="F88" i="7" a="1"/>
  <c r="O86" i="7" a="1"/>
  <c r="H86" i="7" a="1"/>
  <c r="Q84" i="7" a="1"/>
  <c r="S80" i="7" a="1"/>
  <c r="S79" i="7" a="1"/>
  <c r="M79" i="7" a="1"/>
  <c r="M78" i="7" a="1"/>
  <c r="F78" i="7" a="1"/>
  <c r="N77" i="7" a="1"/>
  <c r="G77" i="7" a="1"/>
  <c r="J74" i="7" a="1"/>
  <c r="R73" i="7" a="1"/>
  <c r="J73" i="7" a="1"/>
  <c r="S72" i="7" a="1"/>
  <c r="L72" i="7" a="1"/>
  <c r="L71" i="7" a="1"/>
  <c r="F71" i="7" a="1"/>
  <c r="F70" i="7" a="1"/>
  <c r="H69" i="7" a="1"/>
  <c r="J68" i="7" a="1"/>
  <c r="L67" i="7" a="1"/>
  <c r="F67" i="7" a="1"/>
  <c r="O66" i="7" a="1"/>
  <c r="H66" i="7" a="1"/>
  <c r="Q65" i="7" a="1"/>
  <c r="K65" i="7" a="1"/>
  <c r="H64" i="7" a="1"/>
  <c r="J60" i="7" a="1"/>
  <c r="S59" i="7" a="1"/>
  <c r="N56" i="7" a="1"/>
  <c r="Q55" i="7" a="1"/>
  <c r="S54" i="7" a="1"/>
  <c r="Q52" i="7" a="1"/>
  <c r="F52" i="7" a="1"/>
  <c r="I51" i="7" a="1"/>
  <c r="K50" i="7" a="1"/>
  <c r="N49" i="7" a="1"/>
  <c r="G49" i="7" a="1"/>
  <c r="P48" i="7" a="1"/>
  <c r="J48" i="7" a="1"/>
  <c r="P39" i="7" a="1"/>
  <c r="P35" i="7" a="1"/>
  <c r="F35" i="7" a="1"/>
  <c r="J34" i="7" a="1"/>
  <c r="N32" i="7" a="1"/>
  <c r="R31" i="7" a="1"/>
  <c r="H31" i="7" a="1"/>
  <c r="F29" i="7" a="1"/>
  <c r="K28" i="7" a="1"/>
  <c r="L27" i="7" a="1"/>
  <c r="H26" i="7" a="1"/>
  <c r="I25" i="7" a="1"/>
  <c r="K19" i="7" a="1"/>
  <c r="H17" i="7" a="1"/>
  <c r="I16" i="7" a="1"/>
  <c r="S4" i="7" a="1"/>
  <c r="I100" i="7" a="1"/>
  <c r="J98" i="7" a="1"/>
  <c r="S96" i="7" a="1"/>
  <c r="F96" i="7" a="1"/>
  <c r="O94" i="7" a="1"/>
  <c r="I92" i="7" a="1"/>
  <c r="K91" i="7" a="1"/>
  <c r="M88" i="7" a="1"/>
  <c r="G87" i="7" a="1"/>
  <c r="P85" i="7" a="1"/>
  <c r="Q80" i="7" a="1"/>
  <c r="L47" i="7" a="1"/>
  <c r="N46" i="7" a="1"/>
  <c r="H46" i="7" a="1"/>
  <c r="L45" i="7" a="1"/>
  <c r="N44" i="7" a="1"/>
  <c r="H44" i="7" a="1"/>
  <c r="Q40" i="7" a="1"/>
  <c r="K39" i="7" a="1"/>
  <c r="G36" i="7" a="1"/>
  <c r="K35" i="7" a="1"/>
  <c r="N33" i="7" a="1"/>
  <c r="S32" i="7" a="1"/>
  <c r="I32" i="7" a="1"/>
  <c r="M31" i="7" a="1"/>
  <c r="P29" i="7" a="1"/>
  <c r="P28" i="7" a="1"/>
  <c r="M26" i="7" a="1"/>
  <c r="R25" i="7" a="1"/>
  <c r="S24" i="7" a="1"/>
  <c r="J24" i="7" a="1"/>
  <c r="L18" i="7" a="1"/>
  <c r="R16" i="7" a="1"/>
  <c r="S15" i="7" a="1"/>
  <c r="O14" i="7" a="1"/>
  <c r="F14" i="7" a="1"/>
  <c r="P13" i="7" a="1"/>
  <c r="L12" i="7" a="1"/>
  <c r="R11" i="7" a="1"/>
  <c r="I11" i="7" a="1"/>
  <c r="S10" i="7" a="1"/>
  <c r="N10" i="7" a="1"/>
  <c r="O9" i="7" a="1"/>
  <c r="F9" i="7" a="1"/>
  <c r="P8" i="7" a="1"/>
  <c r="K8" i="7" a="1"/>
  <c r="L7" i="7" a="1"/>
  <c r="M6" i="7" a="1"/>
  <c r="H6" i="7" a="1"/>
  <c r="R5" i="7" a="1"/>
  <c r="I5" i="7" a="1"/>
  <c r="J4" i="7" a="1"/>
  <c r="K3" i="7" a="1"/>
  <c r="P100" i="7" a="1"/>
  <c r="R98" i="7" a="1"/>
  <c r="R97" i="7" a="1"/>
  <c r="L96" i="7" a="1"/>
  <c r="M95" i="7" a="1"/>
  <c r="O93" i="7" a="1"/>
  <c r="O92" i="7" a="1"/>
  <c r="Q91" i="7" a="1"/>
  <c r="K90" i="7" a="1"/>
  <c r="N87" i="7" a="1"/>
  <c r="N86" i="7" a="1"/>
  <c r="H85" i="7" a="1"/>
  <c r="O100" i="7" a="1"/>
  <c r="P99" i="7" a="1"/>
  <c r="K95" i="7" a="1"/>
  <c r="L94" i="7" a="1"/>
  <c r="P90" i="7" a="1"/>
  <c r="Q89" i="7" a="1"/>
  <c r="I88" i="7" a="1"/>
  <c r="L86" i="7" a="1"/>
  <c r="O84" i="7" a="1"/>
  <c r="O75" i="7" a="1"/>
  <c r="H74" i="7" a="1"/>
  <c r="L70" i="7" a="1"/>
  <c r="H67" i="7" a="1"/>
  <c r="L66" i="7" a="1"/>
  <c r="P65" i="7" a="1"/>
  <c r="M64" i="7" a="1"/>
  <c r="S60" i="7" a="1"/>
  <c r="H55" i="7" a="1"/>
  <c r="M52" i="7" a="1"/>
  <c r="N50" i="7" a="1"/>
  <c r="S49" i="7" a="1"/>
  <c r="F48" i="7" a="1"/>
  <c r="K47" i="7" a="1"/>
  <c r="Q46" i="7" a="1"/>
  <c r="J45" i="7" a="1"/>
  <c r="R44" i="7" a="1"/>
  <c r="J37" i="7" a="1"/>
  <c r="N35" i="7" a="1"/>
  <c r="L34" i="7" a="1"/>
  <c r="R33" i="7" a="1"/>
  <c r="K33" i="7" a="1"/>
  <c r="R32" i="7" a="1"/>
  <c r="P31" i="7" a="1"/>
  <c r="G31" i="7" a="1"/>
  <c r="S27" i="7" a="1"/>
  <c r="K27" i="7" a="1"/>
  <c r="S26" i="7" a="1"/>
  <c r="K26" i="7" a="1"/>
  <c r="L24" i="7" a="1"/>
  <c r="L17" i="7" a="1"/>
  <c r="F17" i="7" a="1"/>
  <c r="F16" i="7" a="1"/>
  <c r="M15" i="7" a="1"/>
  <c r="G15" i="7" a="1"/>
  <c r="N14" i="7" a="1"/>
  <c r="N13" i="7" a="1"/>
  <c r="F13" i="7" a="1"/>
  <c r="O11" i="7" a="1"/>
  <c r="G11" i="7" a="1"/>
  <c r="P10" i="7" a="1"/>
  <c r="H10" i="7" a="1"/>
  <c r="O8" i="7" a="1"/>
  <c r="I8" i="7" a="1"/>
  <c r="I7" i="7" a="1"/>
  <c r="P5" i="7" a="1"/>
  <c r="H5" i="7" a="1"/>
  <c r="R3" i="7" a="1"/>
  <c r="J3" i="7" a="1"/>
  <c r="F95" i="7" a="1"/>
  <c r="O90" i="7" a="1"/>
  <c r="O80" i="7" a="1"/>
  <c r="H79" i="7" a="1"/>
  <c r="O74" i="7" a="1"/>
  <c r="N69" i="7" a="1"/>
  <c r="K66" i="7" a="1"/>
  <c r="L64" i="7" a="1"/>
  <c r="G51" i="7" a="1"/>
  <c r="R49" i="7" a="1"/>
  <c r="M46" i="7" a="1"/>
  <c r="K40" i="7" a="1"/>
  <c r="I39" i="7" a="1"/>
  <c r="G37" i="7" a="1"/>
  <c r="Q32" i="7" a="1"/>
  <c r="P26" i="7" a="1"/>
  <c r="Q24" i="7" a="1"/>
  <c r="S18" i="7" a="1"/>
  <c r="S17" i="7" a="1"/>
  <c r="L15" i="7" a="1"/>
  <c r="M14" i="7" a="1"/>
  <c r="F11" i="7" a="1"/>
  <c r="G10" i="7" a="1"/>
  <c r="F8" i="7" a="1"/>
  <c r="M5" i="7" a="1"/>
  <c r="O3" i="7" a="1"/>
  <c r="N98" i="7" a="1"/>
  <c r="Q96" i="7" a="1"/>
  <c r="G92" i="7" a="1"/>
  <c r="S87" i="7" a="1"/>
  <c r="G85" i="7" a="1"/>
  <c r="L75" i="7" a="1"/>
  <c r="G73" i="7" a="1"/>
  <c r="M69" i="7" a="1"/>
  <c r="J64" i="7" a="1"/>
  <c r="K59" i="7" a="1"/>
  <c r="G58" i="7" a="1"/>
  <c r="N100" i="7" a="1"/>
  <c r="O99" i="7" a="1"/>
  <c r="O98" i="7" a="1"/>
  <c r="H96" i="7" a="1"/>
  <c r="K93" i="7" a="1"/>
  <c r="M92" i="7" a="1"/>
  <c r="S88" i="7" a="1"/>
  <c r="J87" i="7" a="1"/>
  <c r="L85" i="7" a="1"/>
  <c r="N84" i="7" a="1"/>
  <c r="P80" i="7" a="1"/>
  <c r="I79" i="7" a="1"/>
  <c r="L78" i="7" a="1"/>
  <c r="Q77" i="7" a="1"/>
  <c r="F77" i="7" a="1"/>
  <c r="K76" i="7" a="1"/>
  <c r="N75" i="7" a="1"/>
  <c r="F74" i="7" a="1"/>
  <c r="I73" i="7" a="1"/>
  <c r="P72" i="7" a="1"/>
  <c r="R71" i="7" a="1"/>
  <c r="J71" i="7" a="1"/>
  <c r="P67" i="7" a="1"/>
  <c r="G65" i="7" a="1"/>
  <c r="H60" i="7" a="1"/>
  <c r="O59" i="7" a="1"/>
  <c r="H58" i="7" a="1"/>
  <c r="N57" i="7" a="1"/>
  <c r="S56" i="7" a="1"/>
  <c r="L56" i="7" a="1"/>
  <c r="O55" i="7" a="1"/>
  <c r="K54" i="7" a="1"/>
  <c r="Q53" i="7" a="1"/>
  <c r="K52" i="7" a="1"/>
  <c r="R51" i="7" a="1"/>
  <c r="J49" i="7" a="1"/>
  <c r="N48" i="7" a="1"/>
  <c r="Q44" i="7" a="1"/>
  <c r="F44" i="7" a="1"/>
  <c r="N40" i="7" a="1"/>
  <c r="J39" i="7" a="1"/>
  <c r="R38" i="7" a="1"/>
  <c r="Q37" i="7" a="1"/>
  <c r="H37" i="7" a="1"/>
  <c r="O36" i="7" a="1"/>
  <c r="Q33" i="7" a="1"/>
  <c r="H33" i="7" a="1"/>
  <c r="F31" i="7" a="1"/>
  <c r="N30" i="7" a="1"/>
  <c r="S29" i="7" a="1"/>
  <c r="J29" i="7" a="1"/>
  <c r="R28" i="7" a="1"/>
  <c r="J28" i="7" a="1"/>
  <c r="Q26" i="7" a="1"/>
  <c r="Q25" i="7" a="1"/>
  <c r="R24" i="7" a="1"/>
  <c r="S19" i="7" a="1"/>
  <c r="M19" i="7" a="1"/>
  <c r="L16" i="7" a="1"/>
  <c r="N12" i="7" a="1"/>
  <c r="F12" i="7" a="1"/>
  <c r="M11" i="7" a="1"/>
  <c r="H9" i="7" a="1"/>
  <c r="O7" i="7" a="1"/>
  <c r="G7" i="7" a="1"/>
  <c r="O6" i="7" a="1"/>
  <c r="G6" i="7" a="1"/>
  <c r="P4" i="7" a="1"/>
  <c r="H4" i="7" a="1"/>
  <c r="G94" i="7" a="1"/>
  <c r="H93" i="7" a="1"/>
  <c r="I91" i="7" a="1"/>
  <c r="P89" i="7" a="1"/>
  <c r="G86" i="7" a="1"/>
  <c r="R79" i="7" a="1"/>
  <c r="G76" i="7" a="1"/>
  <c r="S68" i="7" a="1"/>
  <c r="O67" i="7" a="1"/>
  <c r="N65" i="7" a="1"/>
  <c r="O60" i="7" a="1"/>
  <c r="J56" i="7" a="1"/>
  <c r="F53" i="7" a="1"/>
  <c r="J50" i="7" a="1"/>
  <c r="Q47" i="7" a="1"/>
  <c r="I45" i="7" a="1"/>
  <c r="R39" i="7" a="1"/>
  <c r="H38" i="7" a="1"/>
  <c r="O31" i="7" a="1"/>
  <c r="K30" i="7" a="1"/>
  <c r="P27" i="7" a="1"/>
  <c r="J26" i="7" a="1"/>
  <c r="I24" i="7" a="1"/>
  <c r="K18" i="7" a="1"/>
  <c r="K17" i="7" a="1"/>
  <c r="K16" i="7" a="1"/>
  <c r="S14" i="7" a="1"/>
  <c r="M13" i="7" a="1"/>
  <c r="M10" i="7" a="1"/>
  <c r="N9" i="7" a="1"/>
  <c r="N8" i="7" a="1"/>
  <c r="N4" i="7" a="1"/>
  <c r="I3" i="7" a="1"/>
  <c r="L100" i="7" a="1"/>
  <c r="R95" i="7" a="1"/>
  <c r="F93" i="7" a="1"/>
  <c r="H91" i="7" a="1"/>
  <c r="F86" i="7" a="1"/>
  <c r="I84" i="7" a="1"/>
  <c r="R76" i="7" a="1"/>
  <c r="Q71" i="7" a="1"/>
  <c r="G68" i="7" a="1"/>
  <c r="F60" i="7" a="1"/>
  <c r="Q58" i="7" a="1"/>
  <c r="G100" i="7" a="1"/>
  <c r="Q95" i="7" a="1"/>
  <c r="N92" i="7" a="1"/>
  <c r="Q90" i="7" a="1"/>
  <c r="R87" i="7" a="1"/>
  <c r="G84" i="7" a="1"/>
  <c r="K77" i="7" a="1"/>
  <c r="J69" i="7" a="1"/>
  <c r="F68" i="7" a="1"/>
  <c r="Q66" i="7" a="1"/>
  <c r="M65" i="7" a="1"/>
  <c r="I60" i="7" a="1"/>
  <c r="F59" i="7" a="1"/>
  <c r="R56" i="7" a="1"/>
  <c r="S51" i="7" a="1"/>
  <c r="Q50" i="7" a="1"/>
  <c r="P49" i="7" a="1"/>
  <c r="R46" i="7" a="1"/>
  <c r="Q45" i="7" a="1"/>
  <c r="S44" i="7" a="1"/>
  <c r="M37" i="7" a="1"/>
  <c r="P36" i="7" a="1"/>
  <c r="G33" i="7" a="1"/>
  <c r="P25" i="7" a="1"/>
  <c r="F25" i="7" a="1"/>
  <c r="H24" i="7" a="1"/>
  <c r="N19" i="7" a="1"/>
  <c r="P18" i="7" a="1"/>
  <c r="F18" i="7" a="1"/>
  <c r="J17" i="7" a="1"/>
  <c r="O16" i="7" a="1"/>
  <c r="H15" i="7" a="1"/>
  <c r="L14" i="7" a="1"/>
  <c r="J12" i="7" a="1"/>
  <c r="J9" i="7" a="1"/>
  <c r="M8" i="7" a="1"/>
  <c r="P7" i="7" a="1"/>
  <c r="S6" i="7" a="1"/>
  <c r="F6" i="7" a="1"/>
  <c r="S12" i="7" a="1"/>
  <c r="Q6" i="7" a="1"/>
  <c r="L4" i="7" a="1"/>
  <c r="F100" i="7" a="1"/>
  <c r="P88" i="7" a="1"/>
  <c r="F84" i="7" a="1"/>
  <c r="P75" i="7" a="1"/>
  <c r="I70" i="7" a="1"/>
  <c r="M66" i="7" a="1"/>
  <c r="K57" i="7" a="1"/>
  <c r="P54" i="7" a="1"/>
  <c r="O50" i="7" a="1"/>
  <c r="L46" i="7" a="1"/>
  <c r="L37" i="7" a="1"/>
  <c r="O35" i="7" a="1"/>
  <c r="G32" i="7" a="1"/>
  <c r="O28" i="7" a="1"/>
  <c r="M25" i="7" a="1"/>
  <c r="O18" i="7" a="1"/>
  <c r="K11" i="7" a="1"/>
  <c r="J8" i="7" a="1"/>
  <c r="F5" i="7" a="1"/>
  <c r="G90" i="7" a="1"/>
  <c r="I75" i="7" a="1"/>
  <c r="O68" i="7" a="1"/>
  <c r="H65" i="7" a="1"/>
  <c r="M58" i="7" a="1"/>
  <c r="O52" i="7" a="1"/>
  <c r="N45" i="7" a="1"/>
  <c r="G38" i="7" a="1"/>
  <c r="P33" i="7" a="1"/>
  <c r="J30" i="7" a="1"/>
  <c r="I19" i="7" a="1"/>
  <c r="P17" i="7" a="1"/>
  <c r="I14" i="7" a="1"/>
  <c r="R9" i="7" a="1"/>
  <c r="L6" i="7" a="1"/>
  <c r="Q5" i="7" a="1"/>
  <c r="N93" i="7" a="1"/>
  <c r="S86" i="7" a="1"/>
  <c r="O76" i="7" a="1"/>
  <c r="O73" i="7" a="1"/>
  <c r="K71" i="7" a="1"/>
  <c r="O54" i="7" a="1"/>
  <c r="I50" i="7" a="1"/>
  <c r="H48" i="7" a="1"/>
  <c r="K44" i="7" a="1"/>
  <c r="S38" i="7" a="1"/>
  <c r="M34" i="7" a="1"/>
  <c r="M29" i="7" a="1"/>
  <c r="G26" i="7" a="1"/>
  <c r="N24" i="7" a="1"/>
  <c r="J18" i="7" a="1"/>
  <c r="R14" i="7" a="1"/>
  <c r="J13" i="7" a="1"/>
  <c r="L10" i="7" a="1"/>
  <c r="M3" i="7" a="1"/>
  <c r="N97" i="7" a="1"/>
  <c r="R86" i="7" a="1"/>
  <c r="I80" i="7" a="1"/>
  <c r="M76" i="7" a="1"/>
  <c r="I72" i="7" a="1"/>
  <c r="N68" i="7" a="1"/>
  <c r="R64" i="7" a="1"/>
  <c r="L58" i="7" a="1"/>
  <c r="H56" i="7" a="1"/>
  <c r="H52" i="7" a="1"/>
  <c r="F49" i="7" a="1"/>
  <c r="H47" i="7" a="1"/>
  <c r="O39" i="7" a="1"/>
  <c r="I36" i="7" a="1"/>
  <c r="O27" i="7" a="1"/>
  <c r="H25" i="7" a="1"/>
  <c r="M24" i="7" a="1"/>
  <c r="F19" i="7" a="1"/>
  <c r="O17" i="7" a="1"/>
  <c r="Q16" i="7" a="1"/>
  <c r="G16" i="7" a="1"/>
  <c r="O12" i="7" a="1"/>
  <c r="R8" i="7" a="1"/>
  <c r="K6" i="7" a="1"/>
  <c r="R4" i="7" a="1"/>
  <c r="N94" i="7" a="1"/>
  <c r="G91" i="7" a="1"/>
  <c r="N73" i="7" a="1"/>
  <c r="M60" i="7" a="1"/>
  <c r="F58" i="7" a="1"/>
  <c r="H53" i="7" a="1"/>
  <c r="H45" i="7" a="1"/>
  <c r="J40" i="7" a="1"/>
  <c r="N38" i="7" a="1"/>
  <c r="I35" i="7" a="1"/>
  <c r="L33" i="7" a="1"/>
  <c r="S30" i="7" a="1"/>
  <c r="H29" i="7" a="1"/>
  <c r="F26" i="7" a="1"/>
  <c r="I18" i="7" a="1"/>
  <c r="Q14" i="7" a="1"/>
  <c r="I13" i="7" a="1"/>
  <c r="Q11" i="7" a="1"/>
  <c r="S7" i="7" a="1"/>
  <c r="Q4" i="7" a="1"/>
  <c r="I97" i="7" a="1"/>
  <c r="I89" i="7" a="1"/>
  <c r="G80" i="7" a="1"/>
  <c r="F76" i="7" a="1"/>
  <c r="Q64" i="7" a="1"/>
  <c r="F54" i="7" a="1"/>
  <c r="O37" i="7" a="1"/>
  <c r="S35" i="7" a="1"/>
  <c r="P30" i="7" a="1"/>
  <c r="I28" i="7" a="1"/>
  <c r="R18" i="7" a="1"/>
  <c r="R13" i="7" a="1"/>
  <c r="R10" i="7" a="1"/>
  <c r="J6" i="7" a="1"/>
  <c r="S3" i="7" a="1"/>
  <c r="I98" i="7" a="1"/>
  <c r="J90" i="7" a="1"/>
  <c r="S85" i="7" a="1"/>
  <c r="O79" i="7" a="1"/>
  <c r="P71" i="7" a="1"/>
  <c r="P70" i="7" a="1"/>
  <c r="F69" i="7" a="1"/>
  <c r="P57" i="7" a="1"/>
  <c r="S55" i="7" a="1"/>
  <c r="R54" i="7" a="1"/>
  <c r="P52" i="7" a="1"/>
  <c r="N51" i="7" a="1"/>
  <c r="O48" i="7" a="1"/>
  <c r="P47" i="7" a="1"/>
  <c r="S40" i="7" a="1"/>
  <c r="F40" i="7" a="1"/>
  <c r="H39" i="7" a="1"/>
  <c r="L38" i="7" a="1"/>
  <c r="Q34" i="7" a="1"/>
  <c r="K31" i="7" a="1"/>
  <c r="O30" i="7" a="1"/>
  <c r="O29" i="7" a="1"/>
  <c r="S28" i="7" a="1"/>
  <c r="F28" i="7" a="1"/>
  <c r="I27" i="7" a="1"/>
  <c r="L26" i="7" a="1"/>
  <c r="J19" i="7" a="1"/>
  <c r="M16" i="7" a="1"/>
  <c r="Q15" i="7" a="1"/>
  <c r="J14" i="7" a="1"/>
  <c r="I12" i="7" a="1"/>
  <c r="Q10" i="7" a="1"/>
  <c r="S9" i="7" a="1"/>
  <c r="H98" i="7" a="1"/>
  <c r="S93" i="7" a="1"/>
  <c r="M87" i="7" a="1"/>
  <c r="I78" i="7" a="1"/>
  <c r="Q67" i="7" a="1"/>
  <c r="I65" i="7" a="1"/>
  <c r="O58" i="7" a="1"/>
  <c r="Q56" i="7" a="1"/>
  <c r="N53" i="7" a="1"/>
  <c r="L48" i="7" a="1"/>
  <c r="M44" i="7" a="1"/>
  <c r="K36" i="7" a="1"/>
  <c r="F33" i="7" a="1"/>
  <c r="J31" i="7" a="1"/>
  <c r="G27" i="7" a="1"/>
  <c r="G24" i="7" a="1"/>
  <c r="G17" i="7" a="1"/>
  <c r="G12" i="7" a="1"/>
  <c r="P6" i="7" a="1"/>
  <c r="N3" i="7" a="1"/>
  <c r="P96" i="7" a="1"/>
  <c r="Q72" i="7" a="1"/>
  <c r="K67" i="7" a="1"/>
  <c r="Q59" i="7" a="1"/>
  <c r="M55" i="7" a="1"/>
  <c r="M51" i="7" a="1"/>
  <c r="O47" i="7" a="1"/>
  <c r="N34" i="7" a="1"/>
  <c r="F32" i="7" a="1"/>
  <c r="N29" i="7" a="1"/>
  <c r="P24" i="7" a="1"/>
  <c r="N18" i="7" a="1"/>
  <c r="P15" i="7" a="1"/>
  <c r="P12" i="7" a="1"/>
  <c r="S8" i="7" a="1"/>
  <c r="K7" i="7" a="1"/>
  <c r="I4" i="7" a="1"/>
  <c r="I99" i="7" a="1"/>
  <c r="P91" i="7" a="1"/>
  <c r="J79" i="7" a="1"/>
  <c r="K72" i="7" a="1"/>
  <c r="G66" i="7" a="1"/>
  <c r="M56" i="7" a="1"/>
  <c r="L53" i="7" a="1"/>
  <c r="K49" i="7" a="1"/>
  <c r="K46" i="7" a="1"/>
  <c r="O40" i="7" a="1"/>
  <c r="F37" i="7" a="1"/>
  <c r="J35" i="7" a="1"/>
  <c r="M33" i="7" a="1"/>
  <c r="N28" i="7" a="1"/>
  <c r="L25" i="7" a="1"/>
  <c r="R19" i="7" a="1"/>
  <c r="H16" i="7" a="1"/>
  <c r="H14" i="7" a="1"/>
  <c r="G4" i="7" a="1"/>
  <c r="K96" i="7" a="1"/>
  <c r="J88" i="7" a="1"/>
  <c r="F85" i="7" a="1"/>
  <c r="S77" i="7" a="1"/>
  <c r="G75" i="7" a="1"/>
  <c r="S69" i="7" a="1"/>
  <c r="J67" i="7" a="1"/>
  <c r="N60" i="7" a="1"/>
  <c r="H57" i="7" a="1"/>
  <c r="I55" i="7" a="1"/>
  <c r="J54" i="7" a="1"/>
  <c r="G48" i="7" a="1"/>
  <c r="G99" i="7" a="1"/>
  <c r="S92" i="7" a="1"/>
  <c r="L77" i="7" a="1"/>
  <c r="H72" i="7" a="1"/>
  <c r="J59" i="7" a="1"/>
  <c r="G56" i="7" a="1"/>
  <c r="H50" i="7" a="1"/>
  <c r="G46" i="7" a="1"/>
  <c r="J44" i="7" a="1"/>
  <c r="R37" i="7" a="1"/>
  <c r="H34" i="7" a="1"/>
  <c r="Q31" i="7" a="1"/>
  <c r="F30" i="7" a="1"/>
  <c r="M28" i="7" a="1"/>
  <c r="O19" i="7" a="1"/>
  <c r="I15" i="7" a="1"/>
  <c r="K12" i="7" a="1"/>
  <c r="I10" i="7" a="1"/>
  <c r="L5" i="7" a="1"/>
  <c r="P84" i="7" a="1"/>
  <c r="R78" i="7" a="1"/>
  <c r="N74" i="7" a="1"/>
  <c r="Q70" i="7" a="1"/>
  <c r="S48" i="7" a="1"/>
  <c r="M39" i="7" a="1"/>
  <c r="Q36" i="7" a="1"/>
  <c r="M32" i="7" a="1"/>
  <c r="O26" i="7" a="1"/>
  <c r="G18" i="7" a="1"/>
  <c r="P16" i="7" a="1"/>
  <c r="L9" i="7" a="1"/>
  <c r="M4" i="7" a="1"/>
  <c r="F3" i="7" a="1"/>
  <c r="R99" i="6" a="1"/>
  <c r="N99" i="6" a="1"/>
  <c r="J99" i="6" a="1"/>
  <c r="F99" i="6" a="1"/>
  <c r="S97" i="6" a="1"/>
  <c r="O97" i="6" a="1"/>
  <c r="K97" i="6" a="1"/>
  <c r="G97" i="6" a="1"/>
  <c r="P95" i="6" a="1"/>
  <c r="L95" i="6" a="1"/>
  <c r="H95" i="6" a="1"/>
  <c r="Q93" i="6" a="1"/>
  <c r="M93" i="6" a="1"/>
  <c r="I93" i="6" a="1"/>
  <c r="R91" i="6" a="1"/>
  <c r="N91" i="6" a="1"/>
  <c r="J91" i="6" a="1"/>
  <c r="F91" i="6" a="1"/>
  <c r="S89" i="6" a="1"/>
  <c r="O89" i="6" a="1"/>
  <c r="K89" i="6" a="1"/>
  <c r="G89" i="6" a="1"/>
  <c r="P87" i="6" a="1"/>
  <c r="L87" i="6" a="1"/>
  <c r="H87" i="6" a="1"/>
  <c r="Q85" i="6" a="1"/>
  <c r="M85" i="6" a="1"/>
  <c r="I85" i="6" a="1"/>
  <c r="R80" i="6" a="1"/>
  <c r="N80" i="6" a="1"/>
  <c r="J80" i="6" a="1"/>
  <c r="F80" i="6" a="1"/>
  <c r="S78" i="6" a="1"/>
  <c r="O78" i="6" a="1"/>
  <c r="K78" i="6" a="1"/>
  <c r="G78" i="6" a="1"/>
  <c r="P76" i="6" a="1"/>
  <c r="L76" i="6" a="1"/>
  <c r="H76" i="6" a="1"/>
  <c r="Q74" i="6" a="1"/>
  <c r="M74" i="6" a="1"/>
  <c r="I74" i="6" a="1"/>
  <c r="R72" i="6" a="1"/>
  <c r="N72" i="6" a="1"/>
  <c r="J72" i="6" a="1"/>
  <c r="F72" i="6" a="1"/>
  <c r="S70" i="6" a="1"/>
  <c r="O70" i="6" a="1"/>
  <c r="K70" i="6" a="1"/>
  <c r="G70" i="6" a="1"/>
  <c r="S100" i="6" a="1"/>
  <c r="J100" i="6" a="1"/>
  <c r="K99" i="6" a="1"/>
  <c r="P98" i="6" a="1"/>
  <c r="G98" i="6" a="1"/>
  <c r="Q97" i="6" a="1"/>
  <c r="H97" i="6" a="1"/>
  <c r="R96" i="6" a="1"/>
  <c r="M96" i="6" a="1"/>
  <c r="S95" i="6" a="1"/>
  <c r="J95" i="6" a="1"/>
  <c r="K94" i="6" a="1"/>
  <c r="F94" i="6" a="1"/>
  <c r="P93" i="6" a="1"/>
  <c r="G93" i="6" a="1"/>
  <c r="Q92" i="6" a="1"/>
  <c r="H92" i="6" a="1"/>
  <c r="M91" i="6" a="1"/>
  <c r="N90" i="6" a="1"/>
  <c r="J89" i="6" a="1"/>
  <c r="K88" i="6" a="1"/>
  <c r="Q87" i="6" a="1"/>
  <c r="M86" i="6" a="1"/>
  <c r="N85" i="6" a="1"/>
  <c r="S84" i="6" a="1"/>
  <c r="J84" i="6" a="1"/>
  <c r="K80" i="6" a="1"/>
  <c r="P79" i="6" a="1"/>
  <c r="G79" i="6" a="1"/>
  <c r="Q78" i="6" a="1"/>
  <c r="H78" i="6" a="1"/>
  <c r="R77" i="6" a="1"/>
  <c r="M77" i="6" a="1"/>
  <c r="S76" i="6" a="1"/>
  <c r="J76" i="6" a="1"/>
  <c r="K75" i="6" a="1"/>
  <c r="F75" i="6" a="1"/>
  <c r="P74" i="6" a="1"/>
  <c r="G74" i="6" a="1"/>
  <c r="Q73" i="6" a="1"/>
  <c r="H73" i="6" a="1"/>
  <c r="M72" i="6" a="1"/>
  <c r="N71" i="6" a="1"/>
  <c r="J70" i="6" a="1"/>
  <c r="K69" i="6" a="1"/>
  <c r="Q68" i="6" a="1"/>
  <c r="M68" i="6" a="1"/>
  <c r="I68" i="6" a="1"/>
  <c r="R66" i="6" a="1"/>
  <c r="N66" i="6" a="1"/>
  <c r="J66" i="6" a="1"/>
  <c r="F66" i="6" a="1"/>
  <c r="S64" i="6" a="1"/>
  <c r="O64" i="6" a="1"/>
  <c r="K64" i="6" a="1"/>
  <c r="G64" i="6" a="1"/>
  <c r="P59" i="6" a="1"/>
  <c r="L59" i="6" a="1"/>
  <c r="H59" i="6" a="1"/>
  <c r="Q57" i="6" a="1"/>
  <c r="M57" i="6" a="1"/>
  <c r="I57" i="6" a="1"/>
  <c r="R55" i="6" a="1"/>
  <c r="N55" i="6" a="1"/>
  <c r="J55" i="6" a="1"/>
  <c r="F55" i="6" a="1"/>
  <c r="S53" i="6" a="1"/>
  <c r="O53" i="6" a="1"/>
  <c r="K53" i="6" a="1"/>
  <c r="G53" i="6" a="1"/>
  <c r="P51" i="6" a="1"/>
  <c r="L51" i="6" a="1"/>
  <c r="H51" i="6" a="1"/>
  <c r="Q49" i="6" a="1"/>
  <c r="M49" i="6" a="1"/>
  <c r="I49" i="6" a="1"/>
  <c r="R47" i="6" a="1"/>
  <c r="N47" i="6" a="1"/>
  <c r="J47" i="6" a="1"/>
  <c r="F47" i="6" a="1"/>
  <c r="S45" i="6" a="1"/>
  <c r="O45" i="6" a="1"/>
  <c r="K45" i="6" a="1"/>
  <c r="G45" i="6" a="1"/>
  <c r="P40" i="6" a="1"/>
  <c r="L40" i="6" a="1"/>
  <c r="H40" i="6" a="1"/>
  <c r="Q38" i="6" a="1"/>
  <c r="M38" i="6" a="1"/>
  <c r="I38" i="6" a="1"/>
  <c r="R36" i="6" a="1"/>
  <c r="N36" i="6" a="1"/>
  <c r="J36" i="6" a="1"/>
  <c r="F36" i="6" a="1"/>
  <c r="S34" i="6" a="1"/>
  <c r="O34" i="6" a="1"/>
  <c r="K34" i="6" a="1"/>
  <c r="G34" i="6" a="1"/>
  <c r="P32" i="6" a="1"/>
  <c r="L32" i="6" a="1"/>
  <c r="H32" i="6" a="1"/>
  <c r="Q30" i="6" a="1"/>
  <c r="M30" i="6" a="1"/>
  <c r="I30" i="6" a="1"/>
  <c r="M99" i="6" a="1"/>
  <c r="H99" i="6" a="1"/>
  <c r="L98" i="6" a="1"/>
  <c r="P97" i="6" a="1"/>
  <c r="O96" i="6" a="1"/>
  <c r="J96" i="6" a="1"/>
  <c r="N95" i="6" a="1"/>
  <c r="I95" i="6" a="1"/>
  <c r="S94" i="6" a="1"/>
  <c r="R93" i="6" a="1"/>
  <c r="K92" i="6" a="1"/>
  <c r="F92" i="6" a="1"/>
  <c r="I90" i="6" a="1"/>
  <c r="R89" i="6" a="1"/>
  <c r="M89" i="6" a="1"/>
  <c r="H89" i="6" a="1"/>
  <c r="R88" i="6" a="1"/>
  <c r="P86" i="6" a="1"/>
  <c r="K86" i="6" a="1"/>
  <c r="O85" i="6" a="1"/>
  <c r="J85" i="6" a="1"/>
  <c r="M80" i="6" a="1"/>
  <c r="H80" i="6" a="1"/>
  <c r="L79" i="6" a="1"/>
  <c r="P78" i="6" a="1"/>
  <c r="O77" i="6" a="1"/>
  <c r="J77" i="6" a="1"/>
  <c r="N76" i="6" a="1"/>
  <c r="I76" i="6" a="1"/>
  <c r="S75" i="6" a="1"/>
  <c r="R74" i="6" a="1"/>
  <c r="K73" i="6" a="1"/>
  <c r="F73" i="6" a="1"/>
  <c r="I71" i="6" a="1"/>
  <c r="R70" i="6" a="1"/>
  <c r="M70" i="6" a="1"/>
  <c r="H70" i="6" a="1"/>
  <c r="R69" i="6" a="1"/>
  <c r="H68" i="6" a="1"/>
  <c r="R67" i="6" a="1"/>
  <c r="I67" i="6" a="1"/>
  <c r="S66" i="6" a="1"/>
  <c r="O65" i="6" a="1"/>
  <c r="F65" i="6" a="1"/>
  <c r="P64" i="6" a="1"/>
  <c r="L60" i="6" a="1"/>
  <c r="R59" i="6" a="1"/>
  <c r="I59" i="6" a="1"/>
  <c r="S58" i="6" a="1"/>
  <c r="N58" i="6" a="1"/>
  <c r="O57" i="6" a="1"/>
  <c r="F57" i="6" a="1"/>
  <c r="P56" i="6" a="1"/>
  <c r="K56" i="6" a="1"/>
  <c r="L55" i="6" a="1"/>
  <c r="M54" i="6" a="1"/>
  <c r="H54" i="6" a="1"/>
  <c r="R53" i="6" a="1"/>
  <c r="I53" i="6" a="1"/>
  <c r="S52" i="6" a="1"/>
  <c r="J52" i="6" a="1"/>
  <c r="K51" i="6" a="1"/>
  <c r="L50" i="6" a="1"/>
  <c r="H49" i="6" a="1"/>
  <c r="R48" i="6" a="1"/>
  <c r="I48" i="6" a="1"/>
  <c r="S47" i="6" a="1"/>
  <c r="O46" i="6" a="1"/>
  <c r="F46" i="6" a="1"/>
  <c r="P45" i="6" a="1"/>
  <c r="L44" i="6" a="1"/>
  <c r="R40" i="6" a="1"/>
  <c r="I40" i="6" a="1"/>
  <c r="S39" i="6" a="1"/>
  <c r="N39" i="6" a="1"/>
  <c r="O38" i="6" a="1"/>
  <c r="F38" i="6" a="1"/>
  <c r="P37" i="6" a="1"/>
  <c r="K37" i="6" a="1"/>
  <c r="L36" i="6" a="1"/>
  <c r="M35" i="6" a="1"/>
  <c r="H35" i="6" a="1"/>
  <c r="R34" i="6" a="1"/>
  <c r="I34" i="6" a="1"/>
  <c r="S33" i="6" a="1"/>
  <c r="J33" i="6" a="1"/>
  <c r="K32" i="6" a="1"/>
  <c r="L31" i="6" a="1"/>
  <c r="H30" i="6" a="1"/>
  <c r="R29" i="6" a="1"/>
  <c r="I29" i="6" a="1"/>
  <c r="R27" i="6" a="1"/>
  <c r="N27" i="6" a="1"/>
  <c r="J27" i="6" a="1"/>
  <c r="F27" i="6" a="1"/>
  <c r="S25" i="6" a="1"/>
  <c r="R100" i="6" a="1"/>
  <c r="M100" i="6" a="1"/>
  <c r="H100" i="6" a="1"/>
  <c r="Q98" i="6" a="1"/>
  <c r="K98" i="6" a="1"/>
  <c r="F98" i="6" a="1"/>
  <c r="J97" i="6" a="1"/>
  <c r="I96" i="6" a="1"/>
  <c r="R94" i="6" a="1"/>
  <c r="M94" i="6" a="1"/>
  <c r="H94" i="6" a="1"/>
  <c r="L93" i="6" a="1"/>
  <c r="P92" i="6" a="1"/>
  <c r="O91" i="6" a="1"/>
  <c r="S90" i="6" a="1"/>
  <c r="H90" i="6" a="1"/>
  <c r="Q88" i="6" a="1"/>
  <c r="L88" i="6" a="1"/>
  <c r="G88" i="6" a="1"/>
  <c r="K87" i="6" a="1"/>
  <c r="F87" i="6" a="1"/>
  <c r="J86" i="6" a="1"/>
  <c r="R84" i="6" a="1"/>
  <c r="M84" i="6" a="1"/>
  <c r="H84" i="6" a="1"/>
  <c r="Q79" i="6" a="1"/>
  <c r="K79" i="6" a="1"/>
  <c r="F79" i="6" a="1"/>
  <c r="J78" i="6" a="1"/>
  <c r="I77" i="6" a="1"/>
  <c r="R75" i="6" a="1"/>
  <c r="M75" i="6" a="1"/>
  <c r="H75" i="6" a="1"/>
  <c r="L74" i="6" a="1"/>
  <c r="P73" i="6" a="1"/>
  <c r="O72" i="6" a="1"/>
  <c r="S71" i="6" a="1"/>
  <c r="H71" i="6" a="1"/>
  <c r="Q69" i="6" a="1"/>
  <c r="L69" i="6" a="1"/>
  <c r="G69" i="6" a="1"/>
  <c r="L68" i="6" a="1"/>
  <c r="M67" i="6" a="1"/>
  <c r="I66" i="6" a="1"/>
  <c r="S65" i="6" a="1"/>
  <c r="J65" i="6" a="1"/>
  <c r="F64" i="6" a="1"/>
  <c r="P60" i="6" a="1"/>
  <c r="G60" i="6" a="1"/>
  <c r="M59" i="6" a="1"/>
  <c r="R58" i="6" a="1"/>
  <c r="K100" i="6" a="1"/>
  <c r="L99" i="6" a="1"/>
  <c r="Q94" i="6" a="1"/>
  <c r="J94" i="6" a="1"/>
  <c r="L92" i="6" a="1"/>
  <c r="M90" i="6" a="1"/>
  <c r="N89" i="6" a="1"/>
  <c r="O88" i="6" a="1"/>
  <c r="Q86" i="6" a="1"/>
  <c r="R85" i="6" a="1"/>
  <c r="L84" i="6" a="1"/>
  <c r="N79" i="6" a="1"/>
  <c r="N78" i="6" a="1"/>
  <c r="P77" i="6" a="1"/>
  <c r="H77" i="6" a="1"/>
  <c r="Q76" i="6" a="1"/>
  <c r="S74" i="6" a="1"/>
  <c r="K74" i="6" a="1"/>
  <c r="S73" i="6" a="1"/>
  <c r="M73" i="6" a="1"/>
  <c r="G72" i="6" a="1"/>
  <c r="O71" i="6" a="1"/>
  <c r="G71" i="6" a="1"/>
  <c r="P69" i="6" a="1"/>
  <c r="I69" i="6" a="1"/>
  <c r="R68" i="6" a="1"/>
  <c r="K68" i="6" a="1"/>
  <c r="N67" i="6" a="1"/>
  <c r="G67" i="6" a="1"/>
  <c r="P66" i="6" a="1"/>
  <c r="R65" i="6" a="1"/>
  <c r="L65" i="6" a="1"/>
  <c r="I64" i="6" a="1"/>
  <c r="R60" i="6" a="1"/>
  <c r="K60" i="6" a="1"/>
  <c r="F58" i="6" a="1"/>
  <c r="J57" i="6" a="1"/>
  <c r="S56" i="6" a="1"/>
  <c r="N56" i="6" a="1"/>
  <c r="I56" i="6" a="1"/>
  <c r="M55" i="6" a="1"/>
  <c r="H55" i="6" a="1"/>
  <c r="Q54" i="6" a="1"/>
  <c r="P53" i="6" a="1"/>
  <c r="O52" i="6" a="1"/>
  <c r="I52" i="6" a="1"/>
  <c r="S50" i="6" a="1"/>
  <c r="R49" i="6" a="1"/>
  <c r="L49" i="6" a="1"/>
  <c r="G49" i="6" a="1"/>
  <c r="K48" i="6" a="1"/>
  <c r="F48" i="6" a="1"/>
  <c r="S46" i="6" a="1"/>
  <c r="N46" i="6" a="1"/>
  <c r="I46" i="6" a="1"/>
  <c r="R45" i="6" a="1"/>
  <c r="M45" i="6" a="1"/>
  <c r="H45" i="6" a="1"/>
  <c r="Q44" i="6" a="1"/>
  <c r="K40" i="6" a="1"/>
  <c r="F40" i="6" a="1"/>
  <c r="J39" i="6" a="1"/>
  <c r="S38" i="6" a="1"/>
  <c r="N38" i="6" a="1"/>
  <c r="R37" i="6" a="1"/>
  <c r="M37" i="6" a="1"/>
  <c r="H37" i="6" a="1"/>
  <c r="Q36" i="6" a="1"/>
  <c r="M33" i="6" a="1"/>
  <c r="H33" i="6" a="1"/>
  <c r="G31" i="6" a="1"/>
  <c r="P30" i="6" a="1"/>
  <c r="K30" i="6" a="1"/>
  <c r="F30" i="6" a="1"/>
  <c r="O29" i="6" a="1"/>
  <c r="J29" i="6" a="1"/>
  <c r="O28" i="6" a="1"/>
  <c r="F28" i="6" a="1"/>
  <c r="P27" i="6" a="1"/>
  <c r="G27" i="6" a="1"/>
  <c r="Q26" i="6" a="1"/>
  <c r="L26" i="6" a="1"/>
  <c r="P24" i="6" a="1"/>
  <c r="L24" i="6" a="1"/>
  <c r="H24" i="6" a="1"/>
  <c r="Q18" i="6" a="1"/>
  <c r="M18" i="6" a="1"/>
  <c r="I18" i="6" a="1"/>
  <c r="R16" i="6" a="1"/>
  <c r="N16" i="6" a="1"/>
  <c r="J16" i="6" a="1"/>
  <c r="F16" i="6" a="1"/>
  <c r="S14" i="6" a="1"/>
  <c r="O14" i="6" a="1"/>
  <c r="K14" i="6" a="1"/>
  <c r="G14" i="6" a="1"/>
  <c r="P12" i="6" a="1"/>
  <c r="L12" i="6" a="1"/>
  <c r="H12" i="6" a="1"/>
  <c r="Q10" i="6" a="1"/>
  <c r="M10" i="6" a="1"/>
  <c r="I10" i="6" a="1"/>
  <c r="R8" i="6" a="1"/>
  <c r="N8" i="6" a="1"/>
  <c r="J8" i="6" a="1"/>
  <c r="F8" i="6" a="1"/>
  <c r="Q100" i="6" a="1"/>
  <c r="S99" i="6" a="1"/>
  <c r="S98" i="6" a="1"/>
  <c r="M98" i="6" a="1"/>
  <c r="M97" i="6" a="1"/>
  <c r="F97" i="6" a="1"/>
  <c r="N96" i="6" a="1"/>
  <c r="G96" i="6" a="1"/>
  <c r="J93" i="6" a="1"/>
  <c r="R92" i="6" a="1"/>
  <c r="J92" i="6" a="1"/>
  <c r="S91" i="6" a="1"/>
  <c r="L91" i="6" a="1"/>
  <c r="L90" i="6" a="1"/>
  <c r="F90" i="6" a="1"/>
  <c r="F89" i="6" a="1"/>
  <c r="H88" i="6" a="1"/>
  <c r="O87" i="6" a="1"/>
  <c r="I87" i="6" a="1"/>
  <c r="I86" i="6" a="1"/>
  <c r="K85" i="6" a="1"/>
  <c r="K84" i="6" a="1"/>
  <c r="L80" i="6" a="1"/>
  <c r="Q75" i="6" a="1"/>
  <c r="J75" i="6" a="1"/>
  <c r="L73" i="6" a="1"/>
  <c r="M71" i="6" a="1"/>
  <c r="N70" i="6" a="1"/>
  <c r="O69" i="6" a="1"/>
  <c r="P68" i="6" a="1"/>
  <c r="S67" i="6" a="1"/>
  <c r="N64" i="6" a="1"/>
  <c r="Q60" i="6" a="1"/>
  <c r="N59" i="6" a="1"/>
  <c r="G59" i="6" a="1"/>
  <c r="P58" i="6" a="1"/>
  <c r="K58" i="6" a="1"/>
  <c r="G55" i="6" a="1"/>
  <c r="P54" i="6" a="1"/>
  <c r="K54" i="6" a="1"/>
  <c r="F54" i="6" a="1"/>
  <c r="J53" i="6" a="1"/>
  <c r="N52" i="6" a="1"/>
  <c r="S51" i="6" a="1"/>
  <c r="N51" i="6" a="1"/>
  <c r="I51" i="6" a="1"/>
  <c r="R50" i="6" a="1"/>
  <c r="M50" i="6" a="1"/>
  <c r="H50" i="6" a="1"/>
  <c r="P48" i="6" a="1"/>
  <c r="O47" i="6" a="1"/>
  <c r="I47" i="6" a="1"/>
  <c r="H46" i="6" a="1"/>
  <c r="P44" i="6" a="1"/>
  <c r="K44" i="6" a="1"/>
  <c r="F44" i="6" a="1"/>
  <c r="O39" i="6" a="1"/>
  <c r="I39" i="6" a="1"/>
  <c r="H38" i="6" a="1"/>
  <c r="G37" i="6" a="1"/>
  <c r="P36" i="6" a="1"/>
  <c r="K36" i="6" a="1"/>
  <c r="O35" i="6" a="1"/>
  <c r="J35" i="6" a="1"/>
  <c r="N34" i="6" a="1"/>
  <c r="R33" i="6" a="1"/>
  <c r="R32" i="6" a="1"/>
  <c r="M32" i="6" a="1"/>
  <c r="Q31" i="6" a="1"/>
  <c r="F31" i="6" a="1"/>
  <c r="S28" i="6" a="1"/>
  <c r="J28" i="6" a="1"/>
  <c r="K27" i="6" a="1"/>
  <c r="P26" i="6" a="1"/>
  <c r="G26" i="6" a="1"/>
  <c r="Q25" i="6" a="1"/>
  <c r="M25" i="6" a="1"/>
  <c r="I25" i="6" a="1"/>
  <c r="R19" i="6" a="1"/>
  <c r="N19" i="6" a="1"/>
  <c r="J19" i="6" a="1"/>
  <c r="F19" i="6" a="1"/>
  <c r="S17" i="6" a="1"/>
  <c r="O17" i="6" a="1"/>
  <c r="K17" i="6" a="1"/>
  <c r="G17" i="6" a="1"/>
  <c r="P15" i="6" a="1"/>
  <c r="L15" i="6" a="1"/>
  <c r="H15" i="6" a="1"/>
  <c r="Q13" i="6" a="1"/>
  <c r="M13" i="6" a="1"/>
  <c r="I13" i="6" a="1"/>
  <c r="R11" i="6" a="1"/>
  <c r="N11" i="6" a="1"/>
  <c r="J11" i="6" a="1"/>
  <c r="F11" i="6" a="1"/>
  <c r="S9" i="6" a="1"/>
  <c r="O9" i="6" a="1"/>
  <c r="K9" i="6" a="1"/>
  <c r="G9" i="6" a="1"/>
  <c r="G100" i="6" a="1"/>
  <c r="L96" i="6" a="1"/>
  <c r="R95" i="6" a="1"/>
  <c r="O94" i="6" a="1"/>
  <c r="K93" i="6" a="1"/>
  <c r="O92" i="6" a="1"/>
  <c r="G92" i="6" a="1"/>
  <c r="R90" i="6" a="1"/>
  <c r="P89" i="6" a="1"/>
  <c r="G84" i="6" a="1"/>
  <c r="O80" i="6" a="1"/>
  <c r="R78" i="6" a="1"/>
  <c r="I78" i="6" a="1"/>
  <c r="N77" i="6" a="1"/>
  <c r="F77" i="6" a="1"/>
  <c r="N74" i="6" a="1"/>
  <c r="R73" i="6" a="1"/>
  <c r="I73" i="6" a="1"/>
  <c r="Q70" i="6" a="1"/>
  <c r="I70" i="6" a="1"/>
  <c r="N69" i="6" a="1"/>
  <c r="Q66" i="6" a="1"/>
  <c r="H66" i="6" a="1"/>
  <c r="N60" i="6" a="1"/>
  <c r="F60" i="6" a="1"/>
  <c r="G57" i="6" a="1"/>
  <c r="G56" i="6" a="1"/>
  <c r="O55" i="6" a="1"/>
  <c r="O54" i="6" a="1"/>
  <c r="I54" i="6" a="1"/>
  <c r="Q52" i="6" a="1"/>
  <c r="K52" i="6" a="1"/>
  <c r="N49" i="6" a="1"/>
  <c r="F49" i="6" a="1"/>
  <c r="N48" i="6" a="1"/>
  <c r="G48" i="6" a="1"/>
  <c r="P47" i="6" a="1"/>
  <c r="H47" i="6" a="1"/>
  <c r="P46" i="6" a="1"/>
  <c r="R44" i="6" a="1"/>
  <c r="J44" i="6" a="1"/>
  <c r="F39" i="6" a="1"/>
  <c r="N37" i="6" a="1"/>
  <c r="F37" i="6" a="1"/>
  <c r="H36" i="6" a="1"/>
  <c r="P35" i="6" a="1"/>
  <c r="I35" i="6" a="1"/>
  <c r="Q34" i="6" a="1"/>
  <c r="Q33" i="6" a="1"/>
  <c r="K33" i="6" a="1"/>
  <c r="N30" i="6" a="1"/>
  <c r="G30" i="6" a="1"/>
  <c r="P29" i="6" a="1"/>
  <c r="H29" i="6" a="1"/>
  <c r="L28" i="6" a="1"/>
  <c r="N25" i="6" a="1"/>
  <c r="H25" i="6" a="1"/>
  <c r="R24" i="6" a="1"/>
  <c r="M24" i="6" a="1"/>
  <c r="G24" i="6" a="1"/>
  <c r="O18" i="6" a="1"/>
  <c r="J18" i="6" a="1"/>
  <c r="Q16" i="6" a="1"/>
  <c r="L16" i="6" a="1"/>
  <c r="G16" i="6" a="1"/>
  <c r="Q15" i="6" a="1"/>
  <c r="K15" i="6" a="1"/>
  <c r="F15" i="6" a="1"/>
  <c r="S13" i="6" a="1"/>
  <c r="N13" i="6" a="1"/>
  <c r="H13" i="6" a="1"/>
  <c r="R12" i="6" a="1"/>
  <c r="M12" i="6" a="1"/>
  <c r="G12" i="6" a="1"/>
  <c r="O10" i="6" a="1"/>
  <c r="J10" i="6" a="1"/>
  <c r="Q8" i="6" a="1"/>
  <c r="L8" i="6" a="1"/>
  <c r="G8" i="6" a="1"/>
  <c r="Q7" i="6" a="1"/>
  <c r="M7" i="6" a="1"/>
  <c r="I7" i="6" a="1"/>
  <c r="R5" i="6" a="1"/>
  <c r="N5" i="6" a="1"/>
  <c r="J5" i="6" a="1"/>
  <c r="F5" i="6" a="1"/>
  <c r="S3" i="6" a="1"/>
  <c r="O3" i="6" a="1"/>
  <c r="K3" i="6" a="1"/>
  <c r="G3" i="6" a="1"/>
  <c r="F100" i="6" a="1"/>
  <c r="N97" i="6" a="1"/>
  <c r="S96" i="6" a="1"/>
  <c r="S93" i="6" a="1"/>
  <c r="K91" i="6" a="1"/>
  <c r="S88" i="6" a="1"/>
  <c r="L86" i="6" a="1"/>
  <c r="F84" i="6" a="1"/>
  <c r="L77" i="6" a="1"/>
  <c r="O75" i="6" a="1"/>
  <c r="O73" i="6" a="1"/>
  <c r="R71" i="6" a="1"/>
  <c r="O66" i="6" a="1"/>
  <c r="S59" i="6" a="1"/>
  <c r="J58" i="6" a="1"/>
  <c r="G54" i="6" a="1"/>
  <c r="P52" i="6" a="1"/>
  <c r="K50" i="6" a="1"/>
  <c r="K49" i="6" a="1"/>
  <c r="G47" i="6" a="1"/>
  <c r="G46" i="6" a="1"/>
  <c r="Q40" i="6" a="1"/>
  <c r="R38" i="6" a="1"/>
  <c r="L37" i="6" a="1"/>
  <c r="N35" i="6" a="1"/>
  <c r="P34" i="6" a="1"/>
  <c r="P33" i="6" a="1"/>
  <c r="K31" i="6" a="1"/>
  <c r="L30" i="6" a="1"/>
  <c r="M29" i="6" a="1"/>
  <c r="S27" i="6" a="1"/>
  <c r="R25" i="6" a="1"/>
  <c r="G25" i="6" a="1"/>
  <c r="K24" i="6" a="1"/>
  <c r="S18" i="6" a="1"/>
  <c r="H18" i="6" a="1"/>
  <c r="K16" i="6" a="1"/>
  <c r="O15" i="6" a="1"/>
  <c r="L13" i="6" a="1"/>
  <c r="Q12" i="6" a="1"/>
  <c r="F12" i="6" a="1"/>
  <c r="S10" i="6" a="1"/>
  <c r="H10" i="6" a="1"/>
  <c r="K8" i="6" a="1"/>
  <c r="P7" i="6" a="1"/>
  <c r="H7" i="6" a="1"/>
  <c r="M5" i="6" a="1"/>
  <c r="N3" i="6" a="1"/>
  <c r="F3" i="6" a="1"/>
  <c r="O98" i="6" a="1"/>
  <c r="L97" i="6" a="1"/>
  <c r="F95" i="6" a="1"/>
  <c r="H93" i="6" a="1"/>
  <c r="P90" i="6" a="1"/>
  <c r="I88" i="6" a="1"/>
  <c r="P85" i="6" a="1"/>
  <c r="N84" i="6" a="1"/>
  <c r="I79" i="6" a="1"/>
  <c r="N75" i="6" a="1"/>
  <c r="J71" i="6" a="1"/>
  <c r="H67" i="6" a="1"/>
  <c r="M65" i="6" a="1"/>
  <c r="S60" i="6" a="1"/>
  <c r="Q58" i="6" a="1"/>
  <c r="R56" i="6" a="1"/>
  <c r="M53" i="6" a="1"/>
  <c r="Q51" i="6" a="1"/>
  <c r="Q50" i="6" a="1"/>
  <c r="N45" i="6" a="1"/>
  <c r="H44" i="6" a="1"/>
  <c r="Q39" i="6" a="1"/>
  <c r="K38" i="6" a="1"/>
  <c r="Q32" i="6" a="1"/>
  <c r="R31" i="6" a="1"/>
  <c r="S29" i="6" a="1"/>
  <c r="I28" i="6" a="1"/>
  <c r="I19" i="6" a="1"/>
  <c r="Q17" i="6" a="1"/>
  <c r="F17" i="6" a="1"/>
  <c r="M14" i="6" a="1"/>
  <c r="O11" i="6" a="1"/>
  <c r="L9" i="6" a="1"/>
  <c r="N6" i="6" a="1"/>
  <c r="F6" i="6" a="1"/>
  <c r="O4" i="6" a="1"/>
  <c r="G4" i="6" a="1"/>
  <c r="Q99" i="6" a="1"/>
  <c r="Q96" i="6" a="1"/>
  <c r="M95" i="6" a="1"/>
  <c r="F93" i="6" a="1"/>
  <c r="Q91" i="6" a="1"/>
  <c r="S86" i="6" a="1"/>
  <c r="S80" i="6" a="1"/>
  <c r="M78" i="6" a="1"/>
  <c r="K77" i="6" a="1"/>
  <c r="Q71" i="6" a="1"/>
  <c r="S69" i="6" a="1"/>
  <c r="O68" i="6" a="1"/>
  <c r="O67" i="6" a="1"/>
  <c r="L64" i="6" a="1"/>
  <c r="Q59" i="6" a="1"/>
  <c r="K57" i="6" a="1"/>
  <c r="K55" i="6" a="1"/>
  <c r="L54" i="6" a="1"/>
  <c r="F53" i="6" a="1"/>
  <c r="G52" i="6" a="1"/>
  <c r="P49" i="6" a="1"/>
  <c r="J48" i="6" a="1"/>
  <c r="G44" i="6" a="1"/>
  <c r="Q37" i="6" a="1"/>
  <c r="S35" i="6" a="1"/>
  <c r="F35" i="6" a="1"/>
  <c r="O33" i="6" a="1"/>
  <c r="P31" i="6" a="1"/>
  <c r="J30" i="6" a="1"/>
  <c r="F29" i="6" a="1"/>
  <c r="L27" i="6" a="1"/>
  <c r="H26" i="6" a="1"/>
  <c r="K25" i="6" a="1"/>
  <c r="O24" i="6" a="1"/>
  <c r="L18" i="6" a="1"/>
  <c r="G18" i="6" a="1"/>
  <c r="O16" i="6" a="1"/>
  <c r="S15" i="6" a="1"/>
  <c r="I15" i="6" a="1"/>
  <c r="P100" i="6" a="1"/>
  <c r="R98" i="6" a="1"/>
  <c r="I98" i="6" a="1"/>
  <c r="G95" i="6" a="1"/>
  <c r="N94" i="6" a="1"/>
  <c r="J90" i="6" a="1"/>
  <c r="R87" i="6" a="1"/>
  <c r="G87" i="6" a="1"/>
  <c r="S85" i="6" a="1"/>
  <c r="H85" i="6" a="1"/>
  <c r="P84" i="6" a="1"/>
  <c r="S79" i="6" a="1"/>
  <c r="J79" i="6" a="1"/>
  <c r="K76" i="6" a="1"/>
  <c r="P75" i="6" a="1"/>
  <c r="G75" i="6" a="1"/>
  <c r="P72" i="6" a="1"/>
  <c r="K71" i="6" a="1"/>
  <c r="F70" i="6" a="1"/>
  <c r="M69" i="6" a="1"/>
  <c r="S68" i="6" a="1"/>
  <c r="J68" i="6" a="1"/>
  <c r="Q67" i="6" a="1"/>
  <c r="J67" i="6" a="1"/>
  <c r="N65" i="6" a="1"/>
  <c r="G65" i="6" a="1"/>
  <c r="M60" i="6" a="1"/>
  <c r="L58" i="6" a="1"/>
  <c r="S57" i="6" a="1"/>
  <c r="M56" i="6" a="1"/>
  <c r="F56" i="6" a="1"/>
  <c r="H53" i="6" a="1"/>
  <c r="R51" i="6" a="1"/>
  <c r="M48" i="6" a="1"/>
  <c r="I45" i="6" a="1"/>
  <c r="I44" i="6" a="1"/>
  <c r="J40" i="6" a="1"/>
  <c r="R39" i="6" a="1"/>
  <c r="L39" i="6" a="1"/>
  <c r="L38" i="6" a="1"/>
  <c r="G36" i="6" a="1"/>
  <c r="J34" i="6" a="1"/>
  <c r="S32" i="6" a="1"/>
  <c r="M31" i="6" a="1"/>
  <c r="N29" i="6" a="1"/>
  <c r="Q28" i="6" a="1"/>
  <c r="K28" i="6" a="1"/>
  <c r="H27" i="6" a="1"/>
  <c r="J26" i="6" a="1"/>
  <c r="P19" i="6" a="1"/>
  <c r="K19" i="6" a="1"/>
  <c r="R17" i="6" a="1"/>
  <c r="M17" i="6" a="1"/>
  <c r="H17" i="6" a="1"/>
  <c r="N14" i="6" a="1"/>
  <c r="I14" i="6" a="1"/>
  <c r="P11" i="6" a="1"/>
  <c r="K11" i="6" a="1"/>
  <c r="R9" i="6" a="1"/>
  <c r="M9" i="6" a="1"/>
  <c r="H9" i="6" a="1"/>
  <c r="S6" i="6" a="1"/>
  <c r="O6" i="6" a="1"/>
  <c r="K6" i="6" a="1"/>
  <c r="G6" i="6" a="1"/>
  <c r="P4" i="6" a="1"/>
  <c r="L4" i="6" a="1"/>
  <c r="H4" i="6" a="1"/>
  <c r="O100" i="6" a="1"/>
  <c r="H98" i="6" a="1"/>
  <c r="K96" i="6" a="1"/>
  <c r="Q95" i="6" a="1"/>
  <c r="N92" i="6" a="1"/>
  <c r="Q90" i="6" a="1"/>
  <c r="L89" i="6" a="1"/>
  <c r="J88" i="6" a="1"/>
  <c r="O84" i="6" a="1"/>
  <c r="F78" i="6" a="1"/>
  <c r="R76" i="6" a="1"/>
  <c r="J74" i="6" a="1"/>
  <c r="G73" i="6" a="1"/>
  <c r="P70" i="6" a="1"/>
  <c r="G66" i="6" a="1"/>
  <c r="M64" i="6" a="1"/>
  <c r="K59" i="6" a="1"/>
  <c r="L57" i="6" a="1"/>
  <c r="N54" i="6" a="1"/>
  <c r="N53" i="6" a="1"/>
  <c r="H52" i="6" a="1"/>
  <c r="S49" i="6" a="1"/>
  <c r="S48" i="6" a="1"/>
  <c r="M47" i="6" a="1"/>
  <c r="O44" i="6" a="1"/>
  <c r="S37" i="6" a="1"/>
  <c r="M36" i="6" a="1"/>
  <c r="G35" i="6" a="1"/>
  <c r="H34" i="6" a="1"/>
  <c r="I33" i="6" a="1"/>
  <c r="S31" i="6" a="1"/>
  <c r="S30" i="6" a="1"/>
  <c r="G29" i="6" a="1"/>
  <c r="M27" i="6" a="1"/>
  <c r="O26" i="6" a="1"/>
  <c r="L25" i="6" a="1"/>
  <c r="Q24" i="6" a="1"/>
  <c r="F24" i="6" a="1"/>
  <c r="N18" i="6" a="1"/>
  <c r="P16" i="6" a="1"/>
  <c r="J15" i="6" a="1"/>
  <c r="R13" i="6" a="1"/>
  <c r="G13" i="6" a="1"/>
  <c r="K12" i="6" a="1"/>
  <c r="N10" i="6" a="1"/>
  <c r="P8" i="6" a="1"/>
  <c r="L7" i="6" a="1"/>
  <c r="Q5" i="6" a="1"/>
  <c r="I5" i="6" a="1"/>
  <c r="R3" i="6" a="1"/>
  <c r="J3" i="6" a="1"/>
  <c r="N100" i="6" a="1"/>
  <c r="O95" i="6" a="1"/>
  <c r="L94" i="6" a="1"/>
  <c r="I91" i="6" a="1"/>
  <c r="G90" i="6" a="1"/>
  <c r="N87" i="6" a="1"/>
  <c r="G85" i="6" a="1"/>
  <c r="R79" i="6" a="1"/>
  <c r="G76" i="6" a="1"/>
  <c r="L72" i="6" a="1"/>
  <c r="P67" i="6" a="1"/>
  <c r="M66" i="6" a="1"/>
  <c r="J60" i="6" a="1"/>
  <c r="I58" i="6" a="1"/>
  <c r="R57" i="6" a="1"/>
  <c r="L56" i="6" a="1"/>
  <c r="J51" i="6" a="1"/>
  <c r="J50" i="6" a="1"/>
  <c r="L48" i="6" a="1"/>
  <c r="M46" i="6" a="1"/>
  <c r="F45" i="6" a="1"/>
  <c r="O40" i="6" a="1"/>
  <c r="K39" i="6" a="1"/>
  <c r="S36" i="6" a="1"/>
  <c r="J32" i="6" a="1"/>
  <c r="J31" i="6" a="1"/>
  <c r="P28" i="6" a="1"/>
  <c r="I26" i="6" a="1"/>
  <c r="O19" i="6" a="1"/>
  <c r="L17" i="6" a="1"/>
  <c r="R14" i="6" a="1"/>
  <c r="H14" i="6" a="1"/>
  <c r="I11" i="6" a="1"/>
  <c r="Q9" i="6" a="1"/>
  <c r="F9" i="6" a="1"/>
  <c r="R6" i="6" a="1"/>
  <c r="J6" i="6" a="1"/>
  <c r="S4" i="6" a="1"/>
  <c r="K4" i="6" a="1"/>
  <c r="I99" i="6" a="1"/>
  <c r="H96" i="6" a="1"/>
  <c r="O93" i="6" a="1"/>
  <c r="M92" i="6" a="1"/>
  <c r="H91" i="6" a="1"/>
  <c r="F88" i="6" a="1"/>
  <c r="H86" i="6" a="1"/>
  <c r="H79" i="6" a="1"/>
  <c r="S77" i="6" a="1"/>
  <c r="N73" i="6" a="1"/>
  <c r="L70" i="6" a="1"/>
  <c r="J69" i="6" a="1"/>
  <c r="G68" i="6" a="1"/>
  <c r="F67" i="6" a="1"/>
  <c r="K65" i="6" a="1"/>
  <c r="I60" i="6" a="1"/>
  <c r="J59" i="6" a="1"/>
  <c r="S55" i="6" a="1"/>
  <c r="S54" i="6" a="1"/>
  <c r="M52" i="6" a="1"/>
  <c r="P50" i="6" a="1"/>
  <c r="J49" i="6" a="1"/>
  <c r="L47" i="6" a="1"/>
  <c r="L46" i="6" a="1"/>
  <c r="N44" i="6" a="1"/>
  <c r="J38" i="6" a="1"/>
  <c r="J37" i="6" a="1"/>
  <c r="L35" i="6" a="1"/>
  <c r="M34" i="6" a="1"/>
  <c r="G33" i="6" a="1"/>
  <c r="R30" i="6" a="1"/>
  <c r="L29" i="6" a="1"/>
  <c r="N28" i="6" a="1"/>
  <c r="N26" i="6" a="1"/>
  <c r="P25" i="6" a="1"/>
  <c r="F25" i="6" a="1"/>
  <c r="J24" i="6" a="1"/>
  <c r="R18" i="6" a="1"/>
  <c r="I16" i="6" a="1"/>
  <c r="N15" i="6" a="1"/>
  <c r="L100" i="6" a="1"/>
  <c r="G99" i="6" a="1"/>
  <c r="K90" i="6" a="1"/>
  <c r="F86" i="6" a="1"/>
  <c r="S72" i="6" a="1"/>
  <c r="N68" i="6" a="1"/>
  <c r="Q65" i="6" a="1"/>
  <c r="Q64" i="6" a="1"/>
  <c r="G58" i="6" a="1"/>
  <c r="Q55" i="6" a="1"/>
  <c r="R54" i="6" a="1"/>
  <c r="Q53" i="6" a="1"/>
  <c r="L52" i="6" a="1"/>
  <c r="G50" i="6" a="1"/>
  <c r="R46" i="6" a="1"/>
  <c r="M40" i="6" a="1"/>
  <c r="H39" i="6" a="1"/>
  <c r="N33" i="6" a="1"/>
  <c r="N32" i="6" a="1"/>
  <c r="I31" i="6" a="1"/>
  <c r="G28" i="6" a="1"/>
  <c r="I27" i="6" a="1"/>
  <c r="I24" i="6" a="1"/>
  <c r="L19" i="6" a="1"/>
  <c r="N17" i="6" a="1"/>
  <c r="R15" i="6" a="1"/>
  <c r="K13" i="6" a="1"/>
  <c r="O12" i="6" a="1"/>
  <c r="L11" i="6" a="1"/>
  <c r="P10" i="6" a="1"/>
  <c r="F10" i="6" a="1"/>
  <c r="M8" i="6" a="1"/>
  <c r="Q6" i="6" a="1"/>
  <c r="I6" i="6" a="1"/>
  <c r="M3" i="6" a="1"/>
  <c r="F96" i="6" a="1"/>
  <c r="P94" i="6" a="1"/>
  <c r="P91" i="6" a="1"/>
  <c r="P88" i="6" a="1"/>
  <c r="J87" i="6" a="1"/>
  <c r="G80" i="6" a="1"/>
  <c r="L78" i="6" a="1"/>
  <c r="G77" i="6" a="1"/>
  <c r="H74" i="6" a="1"/>
  <c r="L71" i="6" a="1"/>
  <c r="P65" i="6" a="1"/>
  <c r="J64" i="6" a="1"/>
  <c r="H60" i="6" a="1"/>
  <c r="F59" i="6" a="1"/>
  <c r="Q56" i="6" a="1"/>
  <c r="P55" i="6" a="1"/>
  <c r="L53" i="6" a="1"/>
  <c r="G51" i="6" a="1"/>
  <c r="F50" i="6" a="1"/>
  <c r="I100" i="6" a="1"/>
  <c r="N98" i="6" a="1"/>
  <c r="I97" i="6" a="1"/>
  <c r="I94" i="6" a="1"/>
  <c r="S92" i="6" a="1"/>
  <c r="N88" i="6" a="1"/>
  <c r="I84" i="6" a="1"/>
  <c r="L75" i="6" a="1"/>
  <c r="F74" i="6" a="1"/>
  <c r="Q72" i="6" a="1"/>
  <c r="F71" i="6" a="1"/>
  <c r="F51" i="6" a="1"/>
  <c r="Q48" i="6" a="1"/>
  <c r="Q47" i="6" a="1"/>
  <c r="Q46" i="6" a="1"/>
  <c r="L45" i="6" a="1"/>
  <c r="G40" i="6" a="1"/>
  <c r="G39" i="6" a="1"/>
  <c r="R35" i="6" a="1"/>
  <c r="G32" i="6" a="1"/>
  <c r="H31" i="6" a="1"/>
  <c r="S26" i="6" a="1"/>
  <c r="S24" i="6" a="1"/>
  <c r="J13" i="6" a="1"/>
  <c r="N12" i="6" a="1"/>
  <c r="S11" i="6" a="1"/>
  <c r="H11" i="6" a="1"/>
  <c r="L10" i="6" a="1"/>
  <c r="I8" i="6" a="1"/>
  <c r="P6" i="6" a="1"/>
  <c r="H6" i="6" a="1"/>
  <c r="L3" i="6" a="1"/>
  <c r="Q89" i="6" a="1"/>
  <c r="M88" i="6" a="1"/>
  <c r="R86" i="6" a="1"/>
  <c r="O79" i="6" a="1"/>
  <c r="K72" i="6" a="1"/>
  <c r="F68" i="6" a="1"/>
  <c r="L66" i="6" a="1"/>
  <c r="I65" i="6" a="1"/>
  <c r="H64" i="6" a="1"/>
  <c r="O58" i="6" a="1"/>
  <c r="P57" i="6" a="1"/>
  <c r="O56" i="6" a="1"/>
  <c r="J54" i="6" a="1"/>
  <c r="F52" i="6" a="1"/>
  <c r="O48" i="6" a="1"/>
  <c r="K95" i="6" a="1"/>
  <c r="S87" i="6" a="1"/>
  <c r="L85" i="6" a="1"/>
  <c r="I80" i="6" a="1"/>
  <c r="Q77" i="6" a="1"/>
  <c r="I75" i="6" a="1"/>
  <c r="H65" i="6" a="1"/>
  <c r="H58" i="6" a="1"/>
  <c r="J56" i="6" a="1"/>
  <c r="I50" i="6" a="1"/>
  <c r="I37" i="6" a="1"/>
  <c r="Q35" i="6" a="1"/>
  <c r="F34" i="6" a="1"/>
  <c r="Q29" i="6" a="1"/>
  <c r="Q19" i="6" a="1"/>
  <c r="I17" i="6" a="1"/>
  <c r="F14" i="6" a="1"/>
  <c r="M11" i="6" a="1"/>
  <c r="S7" i="6" a="1"/>
  <c r="G7" i="6" a="1"/>
  <c r="P5" i="6" a="1"/>
  <c r="J4" i="6" a="1"/>
  <c r="P3" i="6" a="1"/>
  <c r="R97" i="6" a="1"/>
  <c r="I92" i="6" a="1"/>
  <c r="M87" i="6" a="1"/>
  <c r="F85" i="6" a="1"/>
  <c r="I72" i="6" a="1"/>
  <c r="L67" i="6" a="1"/>
  <c r="O51" i="6" a="1"/>
  <c r="I32" i="6" a="1"/>
  <c r="H28" i="6" a="1"/>
  <c r="N24" i="6" a="1"/>
  <c r="M19" i="6" a="1"/>
  <c r="K18" i="6" a="1"/>
  <c r="F13" i="6" a="1"/>
  <c r="I12" i="6" a="1"/>
  <c r="N9" i="6" a="1"/>
  <c r="O8" i="6" a="1"/>
  <c r="R7" i="6" a="1"/>
  <c r="L6" i="6" a="1"/>
  <c r="O5" i="6" a="1"/>
  <c r="P99" i="6" a="1"/>
  <c r="H72" i="6" a="1"/>
  <c r="K67" i="6" a="1"/>
  <c r="R64" i="6" a="1"/>
  <c r="H56" i="6" a="1"/>
  <c r="O49" i="6" a="1"/>
  <c r="H48" i="6" a="1"/>
  <c r="K46" i="6" a="1"/>
  <c r="S44" i="6" a="1"/>
  <c r="P39" i="6" a="1"/>
  <c r="O36" i="6" a="1"/>
  <c r="K35" i="6" a="1"/>
  <c r="F32" i="6" a="1"/>
  <c r="O30" i="6" a="1"/>
  <c r="K29" i="6" a="1"/>
  <c r="O25" i="6" a="1"/>
  <c r="Q14" i="6" a="1"/>
  <c r="K10" i="6" a="1"/>
  <c r="O7" i="6" a="1"/>
  <c r="F7" i="6" a="1"/>
  <c r="L5" i="6" a="1"/>
  <c r="R4" i="6" a="1"/>
  <c r="I4" i="6" a="1"/>
  <c r="O99" i="6" a="1"/>
  <c r="G94" i="6" a="1"/>
  <c r="I89" i="6" a="1"/>
  <c r="O86" i="6" a="1"/>
  <c r="Q84" i="6" a="1"/>
  <c r="M79" i="6" a="1"/>
  <c r="O76" i="6" a="1"/>
  <c r="O74" i="6" a="1"/>
  <c r="H69" i="6" a="1"/>
  <c r="O59" i="6" a="1"/>
  <c r="N57" i="6" a="1"/>
  <c r="M51" i="6" a="1"/>
  <c r="J46" i="6" a="1"/>
  <c r="M44" i="6" a="1"/>
  <c r="G38" i="6" a="1"/>
  <c r="L33" i="6" a="1"/>
  <c r="R26" i="6" a="1"/>
  <c r="H19" i="6" a="1"/>
  <c r="F18" i="6" a="1"/>
  <c r="S16" i="6" a="1"/>
  <c r="P14" i="6" a="1"/>
  <c r="P13" i="6" a="1"/>
  <c r="S12" i="6" a="1"/>
  <c r="J9" i="6" a="1"/>
  <c r="F4" i="6" a="1"/>
  <c r="P96" i="6" a="1"/>
  <c r="G91" i="6" a="1"/>
  <c r="N86" i="6" a="1"/>
  <c r="M76" i="6" a="1"/>
  <c r="P71" i="6" a="1"/>
  <c r="F69" i="6" a="1"/>
  <c r="M39" i="6" a="1"/>
  <c r="I36" i="6" a="1"/>
  <c r="Q27" i="6" a="1"/>
  <c r="G19" i="6" a="1"/>
  <c r="M15" i="6" a="1"/>
  <c r="G11" i="6" a="1"/>
  <c r="G10" i="6" a="1"/>
  <c r="I9" i="6" a="1"/>
  <c r="N7" i="6" a="1"/>
  <c r="K5" i="6" a="1"/>
  <c r="Q4" i="6" a="1"/>
  <c r="I3" i="6" a="1"/>
  <c r="Q80" i="6" a="1"/>
  <c r="K66" i="6" a="1"/>
  <c r="H57" i="6" a="1"/>
  <c r="I55" i="6" a="1"/>
  <c r="O37" i="6" a="1"/>
  <c r="F33" i="6" a="1"/>
  <c r="O31" i="6" a="1"/>
  <c r="R28" i="6" a="1"/>
  <c r="M26" i="6" a="1"/>
  <c r="J25" i="6" a="1"/>
  <c r="P17" i="6" a="1"/>
  <c r="M16" i="6" a="1"/>
  <c r="L14" i="6" a="1"/>
  <c r="O13" i="6" a="1"/>
  <c r="H8" i="6" a="1"/>
  <c r="N4" i="6" a="1"/>
  <c r="J98" i="6" a="1"/>
  <c r="N93" i="6" a="1"/>
  <c r="O90" i="6" a="1"/>
  <c r="G86" i="6" a="1"/>
  <c r="F76" i="6" a="1"/>
  <c r="J73" i="6" a="1"/>
  <c r="O60" i="6" a="1"/>
  <c r="R52" i="6" a="1"/>
  <c r="O50" i="6" a="1"/>
  <c r="K47" i="6" a="1"/>
  <c r="Q45" i="6" a="1"/>
  <c r="S40" i="6" a="1"/>
  <c r="L34" i="6" a="1"/>
  <c r="N31" i="6" a="1"/>
  <c r="O27" i="6" a="1"/>
  <c r="K26" i="6" a="1"/>
  <c r="S19" i="6" a="1"/>
  <c r="Q11" i="6" a="1"/>
  <c r="R10" i="6" a="1"/>
  <c r="K7" i="6" a="1"/>
  <c r="S5" i="6" a="1"/>
  <c r="H5" i="6" a="1"/>
  <c r="M4" i="6" a="1"/>
  <c r="Q3" i="6" a="1"/>
  <c r="H3" i="6" a="1"/>
  <c r="P80" i="6" a="1"/>
  <c r="M58" i="6" a="1"/>
  <c r="N50" i="6" a="1"/>
  <c r="J45" i="6" a="1"/>
  <c r="N40" i="6" a="1"/>
  <c r="P38" i="6" a="1"/>
  <c r="O32" i="6" a="1"/>
  <c r="M28" i="6" a="1"/>
  <c r="F26" i="6" a="1"/>
  <c r="P18" i="6" a="1"/>
  <c r="J17" i="6" a="1"/>
  <c r="H16" i="6" a="1"/>
  <c r="G15" i="6" a="1"/>
  <c r="J14" i="6" a="1"/>
  <c r="J12" i="6" a="1"/>
  <c r="P9" i="6" a="1"/>
  <c r="S8" i="6" a="1"/>
  <c r="J7" i="6" a="1"/>
  <c r="M6" i="6" a="1"/>
  <c r="G5" i="6" a="1"/>
  <c r="R100" i="4" a="1"/>
  <c r="N100" i="4" a="1"/>
  <c r="J100" i="4" a="1"/>
  <c r="F100" i="4" a="1"/>
  <c r="P99" i="4" a="1"/>
  <c r="L99" i="4" a="1"/>
  <c r="H99" i="4" a="1"/>
  <c r="Q97" i="4" a="1"/>
  <c r="M97" i="4" a="1"/>
  <c r="I97" i="4" a="1"/>
  <c r="R95" i="4" a="1"/>
  <c r="N95" i="4" a="1"/>
  <c r="J95" i="4" a="1"/>
  <c r="F95" i="4" a="1"/>
  <c r="S93" i="4" a="1"/>
  <c r="O93" i="4" a="1"/>
  <c r="K93" i="4" a="1"/>
  <c r="G93" i="4" a="1"/>
  <c r="P100" i="4" a="1"/>
  <c r="K100" i="4" a="1"/>
  <c r="R98" i="4" a="1"/>
  <c r="N98" i="4" a="1"/>
  <c r="J98" i="4" a="1"/>
  <c r="F98" i="4" a="1"/>
  <c r="S96" i="4" a="1"/>
  <c r="O96" i="4" a="1"/>
  <c r="K96" i="4" a="1"/>
  <c r="G96" i="4" a="1"/>
  <c r="P94" i="4" a="1"/>
  <c r="L94" i="4" a="1"/>
  <c r="H94" i="4" a="1"/>
  <c r="Q92" i="4" a="1"/>
  <c r="M92" i="4" a="1"/>
  <c r="I92" i="4" a="1"/>
  <c r="S100" i="4" a="1"/>
  <c r="L100" i="4" a="1"/>
  <c r="S99" i="4" a="1"/>
  <c r="N99" i="4" a="1"/>
  <c r="I99" i="4" a="1"/>
  <c r="P97" i="4" a="1"/>
  <c r="K97" i="4" a="1"/>
  <c r="F97" i="4" a="1"/>
  <c r="S95" i="4" a="1"/>
  <c r="M95" i="4" a="1"/>
  <c r="H95" i="4" a="1"/>
  <c r="R94" i="4" a="1"/>
  <c r="M94" i="4" a="1"/>
  <c r="G94" i="4" a="1"/>
  <c r="O92" i="4" a="1"/>
  <c r="J92" i="4" a="1"/>
  <c r="R90" i="4" a="1"/>
  <c r="N90" i="4" a="1"/>
  <c r="J90" i="4" a="1"/>
  <c r="F90" i="4" a="1"/>
  <c r="S88" i="4" a="1"/>
  <c r="O88" i="4" a="1"/>
  <c r="K88" i="4" a="1"/>
  <c r="G88" i="4" a="1"/>
  <c r="P86" i="4" a="1"/>
  <c r="L86" i="4" a="1"/>
  <c r="H86" i="4" a="1"/>
  <c r="Q84" i="4" a="1"/>
  <c r="M84" i="4" a="1"/>
  <c r="I84" i="4" a="1"/>
  <c r="Q98" i="4" a="1"/>
  <c r="L98" i="4" a="1"/>
  <c r="G98" i="4" a="1"/>
  <c r="N96" i="4" a="1"/>
  <c r="I96" i="4" a="1"/>
  <c r="P93" i="4" a="1"/>
  <c r="J93" i="4" a="1"/>
  <c r="S91" i="4" a="1"/>
  <c r="O91" i="4" a="1"/>
  <c r="K91" i="4" a="1"/>
  <c r="G91" i="4" a="1"/>
  <c r="P89" i="4" a="1"/>
  <c r="L89" i="4" a="1"/>
  <c r="H89" i="4" a="1"/>
  <c r="Q87" i="4" a="1"/>
  <c r="M87" i="4" a="1"/>
  <c r="I87" i="4" a="1"/>
  <c r="R85" i="4" a="1"/>
  <c r="N85" i="4" a="1"/>
  <c r="J85" i="4" a="1"/>
  <c r="F85" i="4" a="1"/>
  <c r="M98" i="4" a="1"/>
  <c r="O95" i="4" a="1"/>
  <c r="G95" i="4" a="1"/>
  <c r="O94" i="4" a="1"/>
  <c r="I94" i="4" a="1"/>
  <c r="R91" i="4" a="1"/>
  <c r="M91" i="4" a="1"/>
  <c r="H91" i="4" a="1"/>
  <c r="N88" i="4" a="1"/>
  <c r="I88" i="4" a="1"/>
  <c r="S98" i="4" a="1"/>
  <c r="K98" i="4" a="1"/>
  <c r="L95" i="4" a="1"/>
  <c r="N94" i="4" a="1"/>
  <c r="F94" i="4" a="1"/>
  <c r="Q91" i="4" a="1"/>
  <c r="L91" i="4" a="1"/>
  <c r="F91" i="4" a="1"/>
  <c r="R88" i="4" a="1"/>
  <c r="M88" i="4" a="1"/>
  <c r="H88" i="4" a="1"/>
  <c r="O85" i="4" a="1"/>
  <c r="I85" i="4" a="1"/>
  <c r="O100" i="4" a="1"/>
  <c r="R99" i="4" a="1"/>
  <c r="J97" i="4" a="1"/>
  <c r="Q96" i="4" a="1"/>
  <c r="H96" i="4" a="1"/>
  <c r="Q93" i="4" a="1"/>
  <c r="F93" i="4" a="1"/>
  <c r="L92" i="4" a="1"/>
  <c r="S90" i="4" a="1"/>
  <c r="L90" i="4" a="1"/>
  <c r="S89" i="4" a="1"/>
  <c r="M89" i="4" a="1"/>
  <c r="F89" i="4" a="1"/>
  <c r="F88" i="4" a="1"/>
  <c r="O87" i="4" a="1"/>
  <c r="R86" i="4" a="1"/>
  <c r="F86" i="4" a="1"/>
  <c r="K84" i="4" a="1"/>
  <c r="R79" i="4" a="1"/>
  <c r="N79" i="4" a="1"/>
  <c r="J79" i="4" a="1"/>
  <c r="F79" i="4" a="1"/>
  <c r="S77" i="4" a="1"/>
  <c r="O77" i="4" a="1"/>
  <c r="K77" i="4" a="1"/>
  <c r="G77" i="4" a="1"/>
  <c r="P75" i="4" a="1"/>
  <c r="L75" i="4" a="1"/>
  <c r="H75" i="4" a="1"/>
  <c r="Q73" i="4" a="1"/>
  <c r="M73" i="4" a="1"/>
  <c r="I73" i="4" a="1"/>
  <c r="R71" i="4" a="1"/>
  <c r="N71" i="4" a="1"/>
  <c r="J71" i="4" a="1"/>
  <c r="F71" i="4" a="1"/>
  <c r="S69" i="4" a="1"/>
  <c r="O69" i="4" a="1"/>
  <c r="K69" i="4" a="1"/>
  <c r="G69" i="4" a="1"/>
  <c r="P67" i="4" a="1"/>
  <c r="L67" i="4" a="1"/>
  <c r="H67" i="4" a="1"/>
  <c r="I100" i="4" a="1"/>
  <c r="R97" i="4" a="1"/>
  <c r="H97" i="4" a="1"/>
  <c r="P96" i="4" a="1"/>
  <c r="K95" i="4" a="1"/>
  <c r="M93" i="4" a="1"/>
  <c r="S92" i="4" a="1"/>
  <c r="K92" i="4" a="1"/>
  <c r="Q90" i="4" a="1"/>
  <c r="I90" i="4" a="1"/>
  <c r="R89" i="4" a="1"/>
  <c r="K89" i="4" a="1"/>
  <c r="L88" i="4" a="1"/>
  <c r="N87" i="4" a="1"/>
  <c r="Q86" i="4" a="1"/>
  <c r="J86" i="4" a="1"/>
  <c r="M85" i="4" a="1"/>
  <c r="J84" i="4" a="1"/>
  <c r="Q79" i="4" a="1"/>
  <c r="M79" i="4" a="1"/>
  <c r="I79" i="4" a="1"/>
  <c r="R77" i="4" a="1"/>
  <c r="N77" i="4" a="1"/>
  <c r="J77" i="4" a="1"/>
  <c r="F77" i="4" a="1"/>
  <c r="S75" i="4" a="1"/>
  <c r="O75" i="4" a="1"/>
  <c r="K75" i="4" a="1"/>
  <c r="G75" i="4" a="1"/>
  <c r="P73" i="4" a="1"/>
  <c r="L73" i="4" a="1"/>
  <c r="H73" i="4" a="1"/>
  <c r="Q71" i="4" a="1"/>
  <c r="M71" i="4" a="1"/>
  <c r="I71" i="4" a="1"/>
  <c r="R69" i="4" a="1"/>
  <c r="N69" i="4" a="1"/>
  <c r="J69" i="4" a="1"/>
  <c r="F69" i="4" a="1"/>
  <c r="S67" i="4" a="1"/>
  <c r="O67" i="4" a="1"/>
  <c r="K67" i="4" a="1"/>
  <c r="G67" i="4" a="1"/>
  <c r="Q100" i="4" a="1"/>
  <c r="Q99" i="4" a="1"/>
  <c r="L97" i="4" a="1"/>
  <c r="M96" i="4" a="1"/>
  <c r="Q95" i="4" a="1"/>
  <c r="J94" i="4" a="1"/>
  <c r="L93" i="4" a="1"/>
  <c r="N92" i="4" a="1"/>
  <c r="M90" i="4" a="1"/>
  <c r="I89" i="4" a="1"/>
  <c r="P88" i="4" a="1"/>
  <c r="L87" i="4" a="1"/>
  <c r="S86" i="4" a="1"/>
  <c r="K86" i="4" a="1"/>
  <c r="K85" i="4" a="1"/>
  <c r="P84" i="4" a="1"/>
  <c r="H84" i="4" a="1"/>
  <c r="Q80" i="4" a="1"/>
  <c r="L80" i="4" a="1"/>
  <c r="F80" i="4" a="1"/>
  <c r="S78" i="4" a="1"/>
  <c r="N78" i="4" a="1"/>
  <c r="I78" i="4" a="1"/>
  <c r="P76" i="4" a="1"/>
  <c r="K76" i="4" a="1"/>
  <c r="F76" i="4" a="1"/>
  <c r="J75" i="4" a="1"/>
  <c r="N74" i="4" a="1"/>
  <c r="Q72" i="4" a="1"/>
  <c r="L72" i="4" a="1"/>
  <c r="F72" i="4" a="1"/>
  <c r="S70" i="4" a="1"/>
  <c r="N70" i="4" a="1"/>
  <c r="I70" i="4" a="1"/>
  <c r="P68" i="4" a="1"/>
  <c r="K68" i="4" a="1"/>
  <c r="F68" i="4" a="1"/>
  <c r="J67" i="4" a="1"/>
  <c r="N66" i="4" a="1"/>
  <c r="Q64" i="4" a="1"/>
  <c r="M64" i="4" a="1"/>
  <c r="I64" i="4" a="1"/>
  <c r="O99" i="4" a="1"/>
  <c r="H98" i="4" a="1"/>
  <c r="L96" i="4" a="1"/>
  <c r="P91" i="4" a="1"/>
  <c r="S87" i="4" a="1"/>
  <c r="K87" i="4" a="1"/>
  <c r="Q85" i="4" a="1"/>
  <c r="O84" i="4" a="1"/>
  <c r="G84" i="4" a="1"/>
  <c r="K80" i="4" a="1"/>
  <c r="O79" i="4" a="1"/>
  <c r="H78" i="4" a="1"/>
  <c r="Q77" i="4" a="1"/>
  <c r="L77" i="4" a="1"/>
  <c r="S74" i="4" a="1"/>
  <c r="M74" i="4" a="1"/>
  <c r="H74" i="4" a="1"/>
  <c r="R73" i="4" a="1"/>
  <c r="G73" i="4" a="1"/>
  <c r="K72" i="4" a="1"/>
  <c r="O71" i="4" a="1"/>
  <c r="H70" i="4" a="1"/>
  <c r="Q69" i="4" a="1"/>
  <c r="L69" i="4" a="1"/>
  <c r="S66" i="4" a="1"/>
  <c r="M66" i="4" a="1"/>
  <c r="H66" i="4" a="1"/>
  <c r="R65" i="4" a="1"/>
  <c r="N65" i="4" a="1"/>
  <c r="J65" i="4" a="1"/>
  <c r="F65" i="4" a="1"/>
  <c r="M100" i="4" a="1"/>
  <c r="K99" i="4" a="1"/>
  <c r="N97" i="4" a="1"/>
  <c r="J96" i="4" a="1"/>
  <c r="I93" i="4" a="1"/>
  <c r="G92" i="4" a="1"/>
  <c r="J91" i="4" a="1"/>
  <c r="K90" i="4" a="1"/>
  <c r="N89" i="4" a="1"/>
  <c r="Q88" i="4" a="1"/>
  <c r="J87" i="4" a="1"/>
  <c r="N86" i="4" a="1"/>
  <c r="S85" i="4" a="1"/>
  <c r="G85" i="4" a="1"/>
  <c r="G80" i="4" a="1"/>
  <c r="O78" i="4" a="1"/>
  <c r="G78" i="4" a="1"/>
  <c r="O76" i="4" a="1"/>
  <c r="H76" i="4" a="1"/>
  <c r="Q74" i="4" a="1"/>
  <c r="K74" i="4" a="1"/>
  <c r="S73" i="4" a="1"/>
  <c r="K73" i="4" a="1"/>
  <c r="S72" i="4" a="1"/>
  <c r="M70" i="4" a="1"/>
  <c r="F70" i="4" a="1"/>
  <c r="N68" i="4" a="1"/>
  <c r="G68" i="4" a="1"/>
  <c r="P66" i="4" a="1"/>
  <c r="I66" i="4" a="1"/>
  <c r="Q65" i="4" a="1"/>
  <c r="L65" i="4" a="1"/>
  <c r="G65" i="4" a="1"/>
  <c r="S59" i="4" a="1"/>
  <c r="O59" i="4" a="1"/>
  <c r="K59" i="4" a="1"/>
  <c r="G59" i="4" a="1"/>
  <c r="P57" i="4" a="1"/>
  <c r="L57" i="4" a="1"/>
  <c r="H57" i="4" a="1"/>
  <c r="Q55" i="4" a="1"/>
  <c r="M55" i="4" a="1"/>
  <c r="I55" i="4" a="1"/>
  <c r="R53" i="4" a="1"/>
  <c r="N53" i="4" a="1"/>
  <c r="J53" i="4" a="1"/>
  <c r="F53" i="4" a="1"/>
  <c r="S51" i="4" a="1"/>
  <c r="O51" i="4" a="1"/>
  <c r="K51" i="4" a="1"/>
  <c r="G51" i="4" a="1"/>
  <c r="P49" i="4" a="1"/>
  <c r="L49" i="4" a="1"/>
  <c r="H49" i="4" a="1"/>
  <c r="Q47" i="4" a="1"/>
  <c r="M47" i="4" a="1"/>
  <c r="I47" i="4" a="1"/>
  <c r="R45" i="4" a="1"/>
  <c r="N45" i="4" a="1"/>
  <c r="J45" i="4" a="1"/>
  <c r="F45" i="4" a="1"/>
  <c r="J99" i="4" a="1"/>
  <c r="I95" i="4" a="1"/>
  <c r="K94" i="4" a="1"/>
  <c r="H93" i="4" a="1"/>
  <c r="I91" i="4" a="1"/>
  <c r="H87" i="4" a="1"/>
  <c r="M80" i="4" a="1"/>
  <c r="G79" i="4" a="1"/>
  <c r="H77" i="4" a="1"/>
  <c r="Q75" i="4" a="1"/>
  <c r="I75" i="4" a="1"/>
  <c r="J74" i="4" a="1"/>
  <c r="R72" i="4" a="1"/>
  <c r="J72" i="4" a="1"/>
  <c r="S71" i="4" a="1"/>
  <c r="L71" i="4" a="1"/>
  <c r="L70" i="4" a="1"/>
  <c r="M69" i="4" a="1"/>
  <c r="M68" i="4" a="1"/>
  <c r="N67" i="4" a="1"/>
  <c r="O64" i="4" a="1"/>
  <c r="J64" i="4" a="1"/>
  <c r="P60" i="4" a="1"/>
  <c r="L60" i="4" a="1"/>
  <c r="H60" i="4" a="1"/>
  <c r="Q58" i="4" a="1"/>
  <c r="M58" i="4" a="1"/>
  <c r="I58" i="4" a="1"/>
  <c r="R56" i="4" a="1"/>
  <c r="N56" i="4" a="1"/>
  <c r="J56" i="4" a="1"/>
  <c r="F56" i="4" a="1"/>
  <c r="S54" i="4" a="1"/>
  <c r="O54" i="4" a="1"/>
  <c r="K54" i="4" a="1"/>
  <c r="G54" i="4" a="1"/>
  <c r="P52" i="4" a="1"/>
  <c r="L52" i="4" a="1"/>
  <c r="H52" i="4" a="1"/>
  <c r="Q50" i="4" a="1"/>
  <c r="M50" i="4" a="1"/>
  <c r="I50" i="4" a="1"/>
  <c r="R48" i="4" a="1"/>
  <c r="N48" i="4" a="1"/>
  <c r="J48" i="4" a="1"/>
  <c r="F48" i="4" a="1"/>
  <c r="S46" i="4" a="1"/>
  <c r="O46" i="4" a="1"/>
  <c r="K46" i="4" a="1"/>
  <c r="G46" i="4" a="1"/>
  <c r="P44" i="4" a="1"/>
  <c r="L44" i="4" a="1"/>
  <c r="H44" i="4" a="1"/>
  <c r="G100" i="4" a="1"/>
  <c r="P98" i="4" a="1"/>
  <c r="G97" i="4" a="1"/>
  <c r="O90" i="4" a="1"/>
  <c r="J88" i="4" a="1"/>
  <c r="R84" i="4" a="1"/>
  <c r="S79" i="4" a="1"/>
  <c r="K79" i="4" a="1"/>
  <c r="P78" i="4" a="1"/>
  <c r="Q76" i="4" a="1"/>
  <c r="M75" i="4" a="1"/>
  <c r="R74" i="4" a="1"/>
  <c r="I72" i="4" a="1"/>
  <c r="P71" i="4" a="1"/>
  <c r="G71" i="4" a="1"/>
  <c r="K70" i="4" a="1"/>
  <c r="I69" i="4" a="1"/>
  <c r="O68" i="4" a="1"/>
  <c r="Q66" i="4" a="1"/>
  <c r="G66" i="4" a="1"/>
  <c r="O65" i="4" a="1"/>
  <c r="H65" i="4" a="1"/>
  <c r="P64" i="4" a="1"/>
  <c r="H64" i="4" a="1"/>
  <c r="Q59" i="4" a="1"/>
  <c r="L59" i="4" a="1"/>
  <c r="F59" i="4" a="1"/>
  <c r="S56" i="4" a="1"/>
  <c r="M56" i="4" a="1"/>
  <c r="H56" i="4" a="1"/>
  <c r="P54" i="4" a="1"/>
  <c r="J54" i="4" a="1"/>
  <c r="Q51" i="4" a="1"/>
  <c r="L51" i="4" a="1"/>
  <c r="F51" i="4" a="1"/>
  <c r="S48" i="4" a="1"/>
  <c r="M48" i="4" a="1"/>
  <c r="H48" i="4" a="1"/>
  <c r="P46" i="4" a="1"/>
  <c r="J46" i="4" a="1"/>
  <c r="S39" i="4" a="1"/>
  <c r="O39" i="4" a="1"/>
  <c r="K39" i="4" a="1"/>
  <c r="G39" i="4" a="1"/>
  <c r="P37" i="4" a="1"/>
  <c r="L37" i="4" a="1"/>
  <c r="H37" i="4" a="1"/>
  <c r="Q35" i="4" a="1"/>
  <c r="M35" i="4" a="1"/>
  <c r="I35" i="4" a="1"/>
  <c r="R33" i="4" a="1"/>
  <c r="N33" i="4" a="1"/>
  <c r="J33" i="4" a="1"/>
  <c r="F33" i="4" a="1"/>
  <c r="S31" i="4" a="1"/>
  <c r="O31" i="4" a="1"/>
  <c r="K31" i="4" a="1"/>
  <c r="G31" i="4" a="1"/>
  <c r="P29" i="4" a="1"/>
  <c r="L29" i="4" a="1"/>
  <c r="H29" i="4" a="1"/>
  <c r="Q27" i="4" a="1"/>
  <c r="M27" i="4" a="1"/>
  <c r="I27" i="4" a="1"/>
  <c r="R25" i="4" a="1"/>
  <c r="N25" i="4" a="1"/>
  <c r="J25" i="4" a="1"/>
  <c r="F25" i="4" a="1"/>
  <c r="O98" i="4" a="1"/>
  <c r="P95" i="4" a="1"/>
  <c r="N91" i="4" a="1"/>
  <c r="J89" i="4" a="1"/>
  <c r="M86" i="4" a="1"/>
  <c r="J80" i="4" a="1"/>
  <c r="M78" i="4" a="1"/>
  <c r="N76" i="4" a="1"/>
  <c r="P74" i="4" a="1"/>
  <c r="G74" i="4" a="1"/>
  <c r="N73" i="4" a="1"/>
  <c r="F66" i="4" a="1"/>
  <c r="R60" i="4" a="1"/>
  <c r="M60" i="4" a="1"/>
  <c r="G60" i="4" a="1"/>
  <c r="O58" i="4" a="1"/>
  <c r="J58" i="4" a="1"/>
  <c r="S57" i="4" a="1"/>
  <c r="N57" i="4" a="1"/>
  <c r="I57" i="4" a="1"/>
  <c r="P55" i="4" a="1"/>
  <c r="K55" i="4" a="1"/>
  <c r="F55" i="4" a="1"/>
  <c r="S53" i="4" a="1"/>
  <c r="M53" i="4" a="1"/>
  <c r="H53" i="4" a="1"/>
  <c r="R52" i="4" a="1"/>
  <c r="M52" i="4" a="1"/>
  <c r="G52" i="4" a="1"/>
  <c r="O50" i="4" a="1"/>
  <c r="J50" i="4" a="1"/>
  <c r="S49" i="4" a="1"/>
  <c r="N49" i="4" a="1"/>
  <c r="I49" i="4" a="1"/>
  <c r="P47" i="4" a="1"/>
  <c r="K47" i="4" a="1"/>
  <c r="F47" i="4" a="1"/>
  <c r="S45" i="4" a="1"/>
  <c r="M45" i="4" a="1"/>
  <c r="H45" i="4" a="1"/>
  <c r="R44" i="4" a="1"/>
  <c r="M44" i="4" a="1"/>
  <c r="G44" i="4" a="1"/>
  <c r="P40" i="4" a="1"/>
  <c r="L40" i="4" a="1"/>
  <c r="H40" i="4" a="1"/>
  <c r="Q38" i="4" a="1"/>
  <c r="M38" i="4" a="1"/>
  <c r="I38" i="4" a="1"/>
  <c r="R36" i="4" a="1"/>
  <c r="N36" i="4" a="1"/>
  <c r="J36" i="4" a="1"/>
  <c r="F36" i="4" a="1"/>
  <c r="S34" i="4" a="1"/>
  <c r="O34" i="4" a="1"/>
  <c r="K34" i="4" a="1"/>
  <c r="G34" i="4" a="1"/>
  <c r="P32" i="4" a="1"/>
  <c r="L32" i="4" a="1"/>
  <c r="H32" i="4" a="1"/>
  <c r="Q30" i="4" a="1"/>
  <c r="M30" i="4" a="1"/>
  <c r="I30" i="4" a="1"/>
  <c r="R28" i="4" a="1"/>
  <c r="N28" i="4" a="1"/>
  <c r="J28" i="4" a="1"/>
  <c r="F28" i="4" a="1"/>
  <c r="S26" i="4" a="1"/>
  <c r="O26" i="4" a="1"/>
  <c r="K26" i="4" a="1"/>
  <c r="G26" i="4" a="1"/>
  <c r="P24" i="4" a="1"/>
  <c r="L24" i="4" a="1"/>
  <c r="H24" i="4" a="1"/>
  <c r="S94" i="4" a="1"/>
  <c r="G87" i="4" a="1"/>
  <c r="S84" i="4" a="1"/>
  <c r="O80" i="4" a="1"/>
  <c r="L76" i="4" a="1"/>
  <c r="R75" i="4" a="1"/>
  <c r="F75" i="4" a="1"/>
  <c r="F74" i="4" a="1"/>
  <c r="R70" i="4" a="1"/>
  <c r="G70" i="4" a="1"/>
  <c r="L68" i="4" a="1"/>
  <c r="R67" i="4" a="1"/>
  <c r="F67" i="4" a="1"/>
  <c r="J66" i="4" a="1"/>
  <c r="O60" i="4" a="1"/>
  <c r="I60" i="4" a="1"/>
  <c r="R57" i="4" a="1"/>
  <c r="K57" i="4" a="1"/>
  <c r="S55" i="4" a="1"/>
  <c r="L55" i="4" a="1"/>
  <c r="L53" i="4" a="1"/>
  <c r="N52" i="4" a="1"/>
  <c r="F52" i="4" a="1"/>
  <c r="Q49" i="4" a="1"/>
  <c r="J49" i="4" a="1"/>
  <c r="R47" i="4" a="1"/>
  <c r="J47" i="4" a="1"/>
  <c r="Q45" i="4" a="1"/>
  <c r="K45" i="4" a="1"/>
  <c r="S44" i="4" a="1"/>
  <c r="K44" i="4" a="1"/>
  <c r="R39" i="4" a="1"/>
  <c r="M39" i="4" a="1"/>
  <c r="H39" i="4" a="1"/>
  <c r="O36" i="4" a="1"/>
  <c r="I36" i="4" a="1"/>
  <c r="Q34" i="4" a="1"/>
  <c r="L34" i="4" a="1"/>
  <c r="F34" i="4" a="1"/>
  <c r="R31" i="4" a="1"/>
  <c r="M31" i="4" a="1"/>
  <c r="H31" i="4" a="1"/>
  <c r="O28" i="4" a="1"/>
  <c r="I28" i="4" a="1"/>
  <c r="Q26" i="4" a="1"/>
  <c r="L26" i="4" a="1"/>
  <c r="F26" i="4" a="1"/>
  <c r="Q18" i="4" a="1"/>
  <c r="M18" i="4" a="1"/>
  <c r="I18" i="4" a="1"/>
  <c r="R16" i="4" a="1"/>
  <c r="N16" i="4" a="1"/>
  <c r="J16" i="4" a="1"/>
  <c r="F16" i="4" a="1"/>
  <c r="S14" i="4" a="1"/>
  <c r="O14" i="4" a="1"/>
  <c r="K14" i="4" a="1"/>
  <c r="G14" i="4" a="1"/>
  <c r="P12" i="4" a="1"/>
  <c r="L12" i="4" a="1"/>
  <c r="H12" i="4" a="1"/>
  <c r="Q10" i="4" a="1"/>
  <c r="M10" i="4" a="1"/>
  <c r="I10" i="4" a="1"/>
  <c r="R8" i="4" a="1"/>
  <c r="N8" i="4" a="1"/>
  <c r="J8" i="4" a="1"/>
  <c r="F8" i="4" a="1"/>
  <c r="S6" i="4" a="1"/>
  <c r="O6" i="4" a="1"/>
  <c r="K6" i="4" a="1"/>
  <c r="G6" i="4" a="1"/>
  <c r="P4" i="4" a="1"/>
  <c r="L4" i="4" a="1"/>
  <c r="H4" i="4" a="1"/>
  <c r="F3" i="4" a="1"/>
  <c r="P79" i="4" a="1"/>
  <c r="J76" i="4" a="1"/>
  <c r="H69" i="4" a="1"/>
  <c r="Q67" i="4" a="1"/>
  <c r="N60" i="4" a="1"/>
  <c r="Q57" i="4" a="1"/>
  <c r="R55" i="4" a="1"/>
  <c r="Q53" i="4" a="1"/>
  <c r="S52" i="4" a="1"/>
  <c r="G49" i="4" a="1"/>
  <c r="H47" i="4" a="1"/>
  <c r="I45" i="4" a="1"/>
  <c r="J44" i="4" a="1"/>
  <c r="L39" i="4" a="1"/>
  <c r="S36" i="4" a="1"/>
  <c r="J34" i="4" a="1"/>
  <c r="L31" i="4" a="1"/>
  <c r="M28" i="4" a="1"/>
  <c r="P26" i="4" a="1"/>
  <c r="P18" i="4" a="1"/>
  <c r="H18" i="4" a="1"/>
  <c r="Q16" i="4" a="1"/>
  <c r="I16" i="4" a="1"/>
  <c r="N14" i="4" a="1"/>
  <c r="F14" i="4" a="1"/>
  <c r="S12" i="4" a="1"/>
  <c r="K12" i="4" a="1"/>
  <c r="P10" i="4" a="1"/>
  <c r="H10" i="4" a="1"/>
  <c r="M8" i="4" a="1"/>
  <c r="R6" i="4" a="1"/>
  <c r="J6" i="4" a="1"/>
  <c r="O4" i="4" a="1"/>
  <c r="G4" i="4" a="1"/>
  <c r="G99" i="4" a="1"/>
  <c r="L85" i="4" a="1"/>
  <c r="I80" i="4" a="1"/>
  <c r="O74" i="4" a="1"/>
  <c r="H72" i="4" a="1"/>
  <c r="P70" i="4" a="1"/>
  <c r="O66" i="4" a="1"/>
  <c r="I65" i="4" a="1"/>
  <c r="F64" i="4" a="1"/>
  <c r="M59" i="4" a="1"/>
  <c r="G58" i="4" a="1"/>
  <c r="P56" i="4" a="1"/>
  <c r="Q54" i="4" a="1"/>
  <c r="R51" i="4" a="1"/>
  <c r="S50" i="4" a="1"/>
  <c r="F50" i="4" a="1"/>
  <c r="G48" i="4" a="1"/>
  <c r="H46" i="4" a="1"/>
  <c r="M40" i="4" a="1"/>
  <c r="J38" i="4" a="1"/>
  <c r="S37" i="4" a="1"/>
  <c r="I37" i="4" a="1"/>
  <c r="P35" i="4" a="1"/>
  <c r="F35" i="4" a="1"/>
  <c r="M33" i="4" a="1"/>
  <c r="R32" i="4" a="1"/>
  <c r="G32" i="4" a="1"/>
  <c r="O30" i="4" a="1"/>
  <c r="S29" i="4" a="1"/>
  <c r="I29" i="4" a="1"/>
  <c r="K27" i="4" a="1"/>
  <c r="S25" i="4" a="1"/>
  <c r="H25" i="4" a="1"/>
  <c r="M24" i="4" a="1"/>
  <c r="S97" i="4" a="1"/>
  <c r="Q94" i="4" a="1"/>
  <c r="R92" i="4" a="1"/>
  <c r="Q89" i="4" a="1"/>
  <c r="F87" i="4" a="1"/>
  <c r="N84" i="4" a="1"/>
  <c r="N80" i="4" a="1"/>
  <c r="R78" i="4" a="1"/>
  <c r="F78" i="4" a="1"/>
  <c r="I77" i="4" a="1"/>
  <c r="M72" i="4" a="1"/>
  <c r="K65" i="4" a="1"/>
  <c r="R64" i="4" a="1"/>
  <c r="G64" i="4" a="1"/>
  <c r="N59" i="4" a="1"/>
  <c r="H59" i="4" a="1"/>
  <c r="P58" i="4" a="1"/>
  <c r="H58" i="4" a="1"/>
  <c r="Q56" i="4" a="1"/>
  <c r="K56" i="4" a="1"/>
  <c r="R54" i="4" a="1"/>
  <c r="L54" i="4" a="1"/>
  <c r="M51" i="4" a="1"/>
  <c r="N50" i="4" a="1"/>
  <c r="G50" i="4" a="1"/>
  <c r="P48" i="4" a="1"/>
  <c r="I48" i="4" a="1"/>
  <c r="Q46" i="4" a="1"/>
  <c r="I46" i="4" a="1"/>
  <c r="S40" i="4" a="1"/>
  <c r="N40" i="4" a="1"/>
  <c r="I40" i="4" a="1"/>
  <c r="P38" i="4" a="1"/>
  <c r="K38" i="4" a="1"/>
  <c r="F38" i="4" a="1"/>
  <c r="O37" i="4" a="1"/>
  <c r="J37" i="4" a="1"/>
  <c r="R35" i="4" a="1"/>
  <c r="L35" i="4" a="1"/>
  <c r="G35" i="4" a="1"/>
  <c r="O33" i="4" a="1"/>
  <c r="I33" i="4" a="1"/>
  <c r="S32" i="4" a="1"/>
  <c r="N32" i="4" a="1"/>
  <c r="I32" i="4" a="1"/>
  <c r="P30" i="4" a="1"/>
  <c r="K30" i="4" a="1"/>
  <c r="F30" i="4" a="1"/>
  <c r="O29" i="4" a="1"/>
  <c r="J29" i="4" a="1"/>
  <c r="R27" i="4" a="1"/>
  <c r="L27" i="4" a="1"/>
  <c r="G27" i="4" a="1"/>
  <c r="O25" i="4" a="1"/>
  <c r="I25" i="4" a="1"/>
  <c r="S24" i="4" a="1"/>
  <c r="N24" i="4" a="1"/>
  <c r="I24" i="4" a="1"/>
  <c r="R19" i="4" a="1"/>
  <c r="N19" i="4" a="1"/>
  <c r="J19" i="4" a="1"/>
  <c r="F19" i="4" a="1"/>
  <c r="S17" i="4" a="1"/>
  <c r="O17" i="4" a="1"/>
  <c r="K17" i="4" a="1"/>
  <c r="G17" i="4" a="1"/>
  <c r="P15" i="4" a="1"/>
  <c r="L15" i="4" a="1"/>
  <c r="H15" i="4" a="1"/>
  <c r="Q13" i="4" a="1"/>
  <c r="M13" i="4" a="1"/>
  <c r="I13" i="4" a="1"/>
  <c r="R11" i="4" a="1"/>
  <c r="N11" i="4" a="1"/>
  <c r="J11" i="4" a="1"/>
  <c r="F11" i="4" a="1"/>
  <c r="S9" i="4" a="1"/>
  <c r="O9" i="4" a="1"/>
  <c r="K9" i="4" a="1"/>
  <c r="G9" i="4" a="1"/>
  <c r="P7" i="4" a="1"/>
  <c r="L7" i="4" a="1"/>
  <c r="H7" i="4" a="1"/>
  <c r="Q5" i="4" a="1"/>
  <c r="M5" i="4" a="1"/>
  <c r="I5" i="4" a="1"/>
  <c r="R3" i="4" a="1"/>
  <c r="N3" i="4" a="1"/>
  <c r="J3" i="4" a="1"/>
  <c r="M99" i="4" a="1"/>
  <c r="F96" i="4" a="1"/>
  <c r="P92" i="4" a="1"/>
  <c r="O89" i="4" a="1"/>
  <c r="P85" i="4" a="1"/>
  <c r="L84" i="4" a="1"/>
  <c r="N75" i="4" a="1"/>
  <c r="Q70" i="4" a="1"/>
  <c r="J68" i="4" a="1"/>
  <c r="R66" i="4" a="1"/>
  <c r="F60" i="4" a="1"/>
  <c r="J57" i="4" a="1"/>
  <c r="J55" i="4" a="1"/>
  <c r="K53" i="4" a="1"/>
  <c r="K52" i="4" a="1"/>
  <c r="O49" i="4" a="1"/>
  <c r="O47" i="4" a="1"/>
  <c r="P45" i="4" a="1"/>
  <c r="Q44" i="4" a="1"/>
  <c r="Q39" i="4" a="1"/>
  <c r="F39" i="4" a="1"/>
  <c r="M36" i="4" a="1"/>
  <c r="H36" i="4" a="1"/>
  <c r="P34" i="4" a="1"/>
  <c r="Q31" i="4" a="1"/>
  <c r="F31" i="4" a="1"/>
  <c r="S28" i="4" a="1"/>
  <c r="H28" i="4" a="1"/>
  <c r="J26" i="4" a="1"/>
  <c r="L18" i="4" a="1"/>
  <c r="M16" i="4" a="1"/>
  <c r="R14" i="4" a="1"/>
  <c r="J14" i="4" a="1"/>
  <c r="O12" i="4" a="1"/>
  <c r="G12" i="4" a="1"/>
  <c r="L10" i="4" a="1"/>
  <c r="Q8" i="4" a="1"/>
  <c r="I8" i="4" a="1"/>
  <c r="N6" i="4" a="1"/>
  <c r="F6" i="4" a="1"/>
  <c r="S4" i="4" a="1"/>
  <c r="K4" i="4" a="1"/>
  <c r="O97" i="4" a="1"/>
  <c r="G89" i="4" a="1"/>
  <c r="Q78" i="4" a="1"/>
  <c r="I76" i="4" a="1"/>
  <c r="F73" i="4" a="1"/>
  <c r="K71" i="4" a="1"/>
  <c r="I68" i="4" a="1"/>
  <c r="S65" i="4" a="1"/>
  <c r="N64" i="4" a="1"/>
  <c r="N58" i="4" a="1"/>
  <c r="I56" i="4" a="1"/>
  <c r="I54" i="4" a="1"/>
  <c r="J51" i="4" a="1"/>
  <c r="L50" i="4" a="1"/>
  <c r="O48" i="4" a="1"/>
  <c r="N46" i="4" a="1"/>
  <c r="R40" i="4" a="1"/>
  <c r="G40" i="4" a="1"/>
  <c r="O38" i="4" a="1"/>
  <c r="N37" i="4" a="1"/>
  <c r="K35" i="4" a="1"/>
  <c r="S33" i="4" a="1"/>
  <c r="H33" i="4" a="1"/>
  <c r="M32" i="4" a="1"/>
  <c r="J30" i="4" a="1"/>
  <c r="N29" i="4" a="1"/>
  <c r="P27" i="4" a="1"/>
  <c r="F27" i="4" a="1"/>
  <c r="M25" i="4" a="1"/>
  <c r="R24" i="4" a="1"/>
  <c r="G24" i="4" a="1"/>
  <c r="F99" i="4" a="1"/>
  <c r="O86" i="4" a="1"/>
  <c r="S76" i="4" a="1"/>
  <c r="I74" i="4" a="1"/>
  <c r="O72" i="4" a="1"/>
  <c r="H68" i="4" a="1"/>
  <c r="K58" i="4" a="1"/>
  <c r="L56" i="4" a="1"/>
  <c r="M54" i="4" a="1"/>
  <c r="O53" i="4" a="1"/>
  <c r="H50" i="4" a="1"/>
  <c r="K48" i="4" a="1"/>
  <c r="L46" i="4" a="1"/>
  <c r="Q40" i="4" a="1"/>
  <c r="F40" i="4" a="1"/>
  <c r="K37" i="4" a="1"/>
  <c r="P36" i="4" a="1"/>
  <c r="M34" i="4" a="1"/>
  <c r="Q33" i="4" a="1"/>
  <c r="G33" i="4" a="1"/>
  <c r="K32" i="4" a="1"/>
  <c r="Q29" i="4" a="1"/>
  <c r="F29" i="4" a="1"/>
  <c r="K28" i="4" a="1"/>
  <c r="R26" i="4" a="1"/>
  <c r="H26" i="4" a="1"/>
  <c r="L25" i="4" a="1"/>
  <c r="Q24" i="4" a="1"/>
  <c r="F24" i="4" a="1"/>
  <c r="K19" i="4" a="1"/>
  <c r="S18" i="4" a="1"/>
  <c r="N17" i="4" a="1"/>
  <c r="P16" i="4" a="1"/>
  <c r="M15" i="4" a="1"/>
  <c r="F15" i="4" a="1"/>
  <c r="H14" i="4" a="1"/>
  <c r="J13" i="4" a="1"/>
  <c r="R12" i="4" a="1"/>
  <c r="M11" i="4" a="1"/>
  <c r="J10" i="4" a="1"/>
  <c r="L9" i="4" a="1"/>
  <c r="G8" i="4" a="1"/>
  <c r="O7" i="4" a="1"/>
  <c r="Q6" i="4" a="1"/>
  <c r="S5" i="4" a="1"/>
  <c r="L5" i="4" a="1"/>
  <c r="I4" i="4" a="1"/>
  <c r="K3" i="4" a="1"/>
  <c r="N93" i="4" a="1"/>
  <c r="P90" i="4" a="1"/>
  <c r="I86" i="4" a="1"/>
  <c r="S80" i="4" a="1"/>
  <c r="L79" i="4" a="1"/>
  <c r="J78" i="4" a="1"/>
  <c r="N72" i="4" a="1"/>
  <c r="M65" i="4" a="1"/>
  <c r="K64" i="4" a="1"/>
  <c r="Q60" i="4" a="1"/>
  <c r="R59" i="4" a="1"/>
  <c r="G57" i="4" a="1"/>
  <c r="H55" i="4" a="1"/>
  <c r="O52" i="4" a="1"/>
  <c r="P51" i="4" a="1"/>
  <c r="F49" i="4" a="1"/>
  <c r="G47" i="4" a="1"/>
  <c r="G45" i="4" a="1"/>
  <c r="I44" i="4" a="1"/>
  <c r="I39" i="4" a="1"/>
  <c r="N38" i="4" a="1"/>
  <c r="S35" i="4" a="1"/>
  <c r="H35" i="4" a="1"/>
  <c r="N31" i="4" a="1"/>
  <c r="S30" i="4" a="1"/>
  <c r="H30" i="4" a="1"/>
  <c r="N27" i="4" a="1"/>
  <c r="H90" i="4" a="1"/>
  <c r="F84" i="4" a="1"/>
  <c r="R80" i="4" a="1"/>
  <c r="R76" i="4" a="1"/>
  <c r="G72" i="4" a="1"/>
  <c r="O70" i="4" a="1"/>
  <c r="L66" i="4" a="1"/>
  <c r="S58" i="4" a="1"/>
  <c r="F58" i="4" a="1"/>
  <c r="G56" i="4" a="1"/>
  <c r="H54" i="4" a="1"/>
  <c r="I53" i="4" a="1"/>
  <c r="R50" i="4" a="1"/>
  <c r="F46" i="4" a="1"/>
  <c r="O40" i="4" a="1"/>
  <c r="R37" i="4" a="1"/>
  <c r="G37" i="4" a="1"/>
  <c r="L36" i="4" a="1"/>
  <c r="I34" i="4" a="1"/>
  <c r="P33" i="4" a="1"/>
  <c r="J32" i="4" a="1"/>
  <c r="M29" i="4" a="1"/>
  <c r="Q28" i="4" a="1"/>
  <c r="G28" i="4" a="1"/>
  <c r="N26" i="4" a="1"/>
  <c r="K25" i="4" a="1"/>
  <c r="O24" i="4" a="1"/>
  <c r="R18" i="4" a="1"/>
  <c r="K18" i="4" a="1"/>
  <c r="M17" i="4" a="1"/>
  <c r="F17" i="4" a="1"/>
  <c r="O16" i="4" a="1"/>
  <c r="H16" i="4" a="1"/>
  <c r="Q12" i="4" a="1"/>
  <c r="J12" i="4" a="1"/>
  <c r="S11" i="4" a="1"/>
  <c r="L11" i="4" a="1"/>
  <c r="N7" i="4" a="1"/>
  <c r="G7" i="4" a="1"/>
  <c r="P6" i="4" a="1"/>
  <c r="I6" i="4" a="1"/>
  <c r="R5" i="4" a="1"/>
  <c r="K5" i="4" a="1"/>
  <c r="I98" i="4" a="1"/>
  <c r="R87" i="4" a="1"/>
  <c r="G86" i="4" a="1"/>
  <c r="H79" i="4" a="1"/>
  <c r="M76" i="4" a="1"/>
  <c r="O73" i="4" a="1"/>
  <c r="K60" i="4" a="1"/>
  <c r="P59" i="4" a="1"/>
  <c r="F57" i="4" a="1"/>
  <c r="G55" i="4" a="1"/>
  <c r="J52" i="4" a="1"/>
  <c r="N51" i="4" a="1"/>
  <c r="R49" i="4" a="1"/>
  <c r="S47" i="4" a="1"/>
  <c r="F44" i="4" a="1"/>
  <c r="P39" i="4" a="1"/>
  <c r="L38" i="4" a="1"/>
  <c r="O35" i="4" a="1"/>
  <c r="J31" i="4" a="1"/>
  <c r="R30" i="4" a="1"/>
  <c r="G30" i="4" a="1"/>
  <c r="J27" i="4" a="1"/>
  <c r="R93" i="4" a="1"/>
  <c r="P77" i="4" a="1"/>
  <c r="P72" i="4" a="1"/>
  <c r="S60" i="4" a="1"/>
  <c r="I59" i="4" a="1"/>
  <c r="O57" i="4" a="1"/>
  <c r="F54" i="4" a="1"/>
  <c r="O44" i="4" a="1"/>
  <c r="G38" i="4" a="1"/>
  <c r="Q36" i="4" a="1"/>
  <c r="Q32" i="4" a="1"/>
  <c r="I26" i="4" a="1"/>
  <c r="H17" i="4" a="1"/>
  <c r="K15" i="4" a="1"/>
  <c r="Q14" i="4" a="1"/>
  <c r="I14" i="4" a="1"/>
  <c r="P13" i="4" a="1"/>
  <c r="G13" i="4" a="1"/>
  <c r="N12" i="4" a="1"/>
  <c r="F12" i="4" a="1"/>
  <c r="R9" i="4" a="1"/>
  <c r="I9" i="4" a="1"/>
  <c r="F7" i="4" a="1"/>
  <c r="J5" i="4" a="1"/>
  <c r="O3" i="4" a="1"/>
  <c r="G3" i="4" a="1"/>
  <c r="R58" i="4" a="1"/>
  <c r="P53" i="4" a="1"/>
  <c r="Q37" i="4" a="1"/>
  <c r="O32" i="4" a="1"/>
  <c r="Q19" i="4" a="1"/>
  <c r="O18" i="4" a="1"/>
  <c r="P14" i="4" a="1"/>
  <c r="N13" i="4" a="1"/>
  <c r="M12" i="4" a="1"/>
  <c r="H9" i="4" a="1"/>
  <c r="F4" i="4" a="1"/>
  <c r="F92" i="4" a="1"/>
  <c r="N55" i="4" a="1"/>
  <c r="Q48" i="4" a="1"/>
  <c r="O45" i="4" a="1"/>
  <c r="L33" i="4" a="1"/>
  <c r="H27" i="4" a="1"/>
  <c r="K24" i="4" a="1"/>
  <c r="S16" i="4" a="1"/>
  <c r="Q15" i="4" a="1"/>
  <c r="L13" i="4" a="1"/>
  <c r="I11" i="4" a="1"/>
  <c r="N9" i="4" a="1"/>
  <c r="L8" i="4" a="1"/>
  <c r="K7" i="4" a="1"/>
  <c r="G5" i="4" a="1"/>
  <c r="L3" i="4" a="1"/>
  <c r="H100" i="4" a="1"/>
  <c r="P87" i="4" a="1"/>
  <c r="S68" i="4" a="1"/>
  <c r="L58" i="4" a="1"/>
  <c r="M37" i="4" a="1"/>
  <c r="F32" i="4" a="1"/>
  <c r="G19" i="4" a="1"/>
  <c r="L17" i="4" a="1"/>
  <c r="G15" i="4" a="1"/>
  <c r="G10" i="4" a="1"/>
  <c r="H6" i="4" a="1"/>
  <c r="M4" i="4" a="1"/>
  <c r="L78" i="4" a="1"/>
  <c r="H71" i="4" a="1"/>
  <c r="L48" i="4" a="1"/>
  <c r="L45" i="4" a="1"/>
  <c r="N39" i="4" a="1"/>
  <c r="K33" i="4" a="1"/>
  <c r="P25" i="4" a="1"/>
  <c r="R17" i="4" a="1"/>
  <c r="S13" i="4" a="1"/>
  <c r="I12" i="4" a="1"/>
  <c r="H11" i="4" a="1"/>
  <c r="M9" i="4" a="1"/>
  <c r="R7" i="4" a="1"/>
  <c r="S3" i="4" a="1"/>
  <c r="R68" i="4" a="1"/>
  <c r="L64" i="4" a="1"/>
  <c r="N54" i="4" a="1"/>
  <c r="F37" i="4" a="1"/>
  <c r="M26" i="4" a="1"/>
  <c r="G16" i="4" a="1"/>
  <c r="G11" i="4" a="1"/>
  <c r="F10" i="4" a="1"/>
  <c r="H3" i="4" a="1"/>
  <c r="P80" i="4" a="1"/>
  <c r="Q68" i="4" a="1"/>
  <c r="H51" i="4" a="1"/>
  <c r="M46" i="4" a="1"/>
  <c r="K40" i="4" a="1"/>
  <c r="N35" i="4" a="1"/>
  <c r="P31" i="4" a="1"/>
  <c r="G25" i="4" a="1"/>
  <c r="J18" i="4" a="1"/>
  <c r="I17" i="4" a="1"/>
  <c r="R13" i="4" a="1"/>
  <c r="O11" i="4" a="1"/>
  <c r="P8" i="4" a="1"/>
  <c r="M6" i="4" a="1"/>
  <c r="J4" i="4" a="1"/>
  <c r="H80" i="4" a="1"/>
  <c r="M67" i="4" a="1"/>
  <c r="P65" i="4" a="1"/>
  <c r="O55" i="4" a="1"/>
  <c r="I52" i="4" a="1"/>
  <c r="P50" i="4" a="1"/>
  <c r="K49" i="4" a="1"/>
  <c r="N47" i="4" a="1"/>
  <c r="J40" i="4" a="1"/>
  <c r="J35" i="4" a="1"/>
  <c r="I31" i="4" a="1"/>
  <c r="P28" i="4" a="1"/>
  <c r="O27" i="4" a="1"/>
  <c r="S19" i="4" a="1"/>
  <c r="I19" i="4" a="1"/>
  <c r="P17" i="4" a="1"/>
  <c r="L16" i="4" a="1"/>
  <c r="S15" i="4" a="1"/>
  <c r="J15" i="4" a="1"/>
  <c r="O13" i="4" a="1"/>
  <c r="S10" i="4" a="1"/>
  <c r="K10" i="4" a="1"/>
  <c r="Q9" i="4" a="1"/>
  <c r="O8" i="4" a="1"/>
  <c r="L6" i="4" a="1"/>
  <c r="P5" i="4" a="1"/>
  <c r="H5" i="4" a="1"/>
  <c r="Q4" i="4" a="1"/>
  <c r="M3" i="4" a="1"/>
  <c r="H92" i="4" a="1"/>
  <c r="H85" i="4" a="1"/>
  <c r="M77" i="4" a="1"/>
  <c r="L74" i="4" a="1"/>
  <c r="P69" i="4" a="1"/>
  <c r="J60" i="4" a="1"/>
  <c r="M57" i="4" a="1"/>
  <c r="N44" i="4" a="1"/>
  <c r="S38" i="4" a="1"/>
  <c r="K36" i="4" a="1"/>
  <c r="R29" i="4" a="1"/>
  <c r="H19" i="4" a="1"/>
  <c r="G18" i="4" a="1"/>
  <c r="R15" i="4" a="1"/>
  <c r="F13" i="4" a="1"/>
  <c r="K11" i="4" a="1"/>
  <c r="P9" i="4" a="1"/>
  <c r="M7" i="4" a="1"/>
  <c r="R96" i="4" a="1"/>
  <c r="I67" i="4" a="1"/>
  <c r="K50" i="4" a="1"/>
  <c r="L47" i="4" a="1"/>
  <c r="R34" i="4" a="1"/>
  <c r="L28" i="4" a="1"/>
  <c r="Q25" i="4" a="1"/>
  <c r="P19" i="4" a="1"/>
  <c r="F18" i="4" a="1"/>
  <c r="K16" i="4" a="1"/>
  <c r="I15" i="4" a="1"/>
  <c r="Q11" i="4" a="1"/>
  <c r="R10" i="4" a="1"/>
  <c r="F9" i="4" a="1"/>
  <c r="S7" i="4" a="1"/>
  <c r="O5" i="4" a="1"/>
  <c r="N4" i="4" a="1"/>
  <c r="G76" i="4" a="1"/>
  <c r="S64" i="4" a="1"/>
  <c r="G53" i="4" a="1"/>
  <c r="R38" i="4" a="1"/>
  <c r="G36" i="4" a="1"/>
  <c r="K29" i="4" a="1"/>
  <c r="O19" i="4" a="1"/>
  <c r="N18" i="4" a="1"/>
  <c r="O15" i="4" a="1"/>
  <c r="M14" i="4" a="1"/>
  <c r="K8" i="4" a="1"/>
  <c r="F5" i="4" a="1"/>
  <c r="O56" i="4" a="1"/>
  <c r="I51" i="4" a="1"/>
  <c r="R46" i="4" a="1"/>
  <c r="N34" i="4" a="1"/>
  <c r="N30" i="4" a="1"/>
  <c r="J24" i="4" a="1"/>
  <c r="M19" i="4" a="1"/>
  <c r="J17" i="4" a="1"/>
  <c r="L14" i="4" a="1"/>
  <c r="K13" i="4" a="1"/>
  <c r="P11" i="4" a="1"/>
  <c r="O10" i="4" a="1"/>
  <c r="S8" i="4" a="1"/>
  <c r="J7" i="4" a="1"/>
  <c r="N5" i="4" a="1"/>
  <c r="I3" i="4" a="1"/>
  <c r="K78" i="4" a="1"/>
  <c r="J73" i="4" a="1"/>
  <c r="K66" i="4" a="1"/>
  <c r="J59" i="4" a="1"/>
  <c r="H38" i="4" a="1"/>
  <c r="G29" i="4" a="1"/>
  <c r="N15" i="4" a="1"/>
  <c r="N10" i="4" a="1"/>
  <c r="I7" i="4" a="1"/>
  <c r="Q3" i="4" a="1"/>
  <c r="G90" i="4" a="1"/>
  <c r="J70" i="4" a="1"/>
  <c r="Q52" i="4" a="1"/>
  <c r="M49" i="4" a="1"/>
  <c r="J39" i="4" a="1"/>
  <c r="H34" i="4" a="1"/>
  <c r="L30" i="4" a="1"/>
  <c r="S27" i="4" a="1"/>
  <c r="L19" i="4" a="1"/>
  <c r="Q17" i="4" a="1"/>
  <c r="H13" i="4" a="1"/>
  <c r="J9" i="4" a="1"/>
  <c r="H8" i="4" a="1"/>
  <c r="Q7" i="4" a="1"/>
  <c r="R4" i="4" a="1"/>
  <c r="P3" i="4" a="1"/>
  <c r="K226" i="3" a="1"/>
  <c r="Q227" i="3" a="1"/>
  <c r="K228" i="3" a="1"/>
  <c r="I229" i="3" a="1"/>
  <c r="Q229" i="3" a="1"/>
  <c r="O230" i="3" a="1"/>
  <c r="I231" i="3" a="1"/>
  <c r="Q231" i="3" a="1"/>
  <c r="G216" i="3" a="1"/>
  <c r="K216" i="3" a="1"/>
  <c r="O216" i="3" a="1"/>
  <c r="S216" i="3" a="1"/>
  <c r="I217" i="3" a="1"/>
  <c r="M217" i="3" a="1"/>
  <c r="Q217" i="3" a="1"/>
  <c r="G218" i="3" a="1"/>
  <c r="K218" i="3" a="1"/>
  <c r="O218" i="3" a="1"/>
  <c r="S218" i="3" a="1"/>
  <c r="I219" i="3" a="1"/>
  <c r="M219" i="3" a="1"/>
  <c r="Q219" i="3" a="1"/>
  <c r="G220" i="3" a="1"/>
  <c r="K220" i="3" a="1"/>
  <c r="O220" i="3" a="1"/>
  <c r="S220" i="3" a="1"/>
  <c r="I221" i="3" a="1"/>
  <c r="M221" i="3" a="1"/>
  <c r="Q221" i="3" a="1"/>
  <c r="G222" i="3" a="1"/>
  <c r="K222" i="3" a="1"/>
  <c r="O222" i="3" a="1"/>
  <c r="S222" i="3" a="1"/>
  <c r="I223" i="3" a="1"/>
  <c r="M223" i="3" a="1"/>
  <c r="Q223" i="3" a="1"/>
  <c r="G224" i="3" a="1"/>
  <c r="K224" i="3" a="1"/>
  <c r="O224" i="3" a="1"/>
  <c r="S224" i="3" a="1"/>
  <c r="I225" i="3" a="1"/>
  <c r="M225" i="3" a="1"/>
  <c r="Q225" i="3" a="1"/>
  <c r="G226" i="3" a="1"/>
  <c r="O226" i="3" a="1"/>
  <c r="S226" i="3" a="1"/>
  <c r="I227" i="3" a="1"/>
  <c r="M227" i="3" a="1"/>
  <c r="G228" i="3" a="1"/>
  <c r="O228" i="3" a="1"/>
  <c r="S228" i="3" a="1"/>
  <c r="M229" i="3" a="1"/>
  <c r="G230" i="3" a="1"/>
  <c r="K230" i="3" a="1"/>
  <c r="S230" i="3" a="1"/>
  <c r="M231" i="3" a="1"/>
  <c r="F216" i="3" a="1"/>
  <c r="M216" i="3" a="1"/>
  <c r="F217" i="3" a="1"/>
  <c r="J218" i="3" a="1"/>
  <c r="Q218" i="3" a="1"/>
  <c r="J219" i="3" a="1"/>
  <c r="N220" i="3" a="1"/>
  <c r="G221" i="3" a="1"/>
  <c r="N221" i="3" a="1"/>
  <c r="R222" i="3" a="1"/>
  <c r="K223" i="3" a="1"/>
  <c r="R223" i="3" a="1"/>
  <c r="H225" i="3" a="1"/>
  <c r="O225" i="3" a="1"/>
  <c r="H226" i="3" a="1"/>
  <c r="L227" i="3" a="1"/>
  <c r="S227" i="3" a="1"/>
  <c r="L228" i="3" a="1"/>
  <c r="P229" i="3" a="1"/>
  <c r="N230" i="3" a="1"/>
  <c r="F231" i="3" a="1"/>
  <c r="K231" i="3" a="1"/>
  <c r="P231" i="3" a="1"/>
  <c r="G217" i="3" a="1"/>
  <c r="K219" i="3" a="1"/>
  <c r="H221" i="3" a="1"/>
  <c r="H222" i="3" a="1"/>
  <c r="L223" i="3" a="1"/>
  <c r="L224" i="3" a="1"/>
  <c r="I226" i="3" a="1"/>
  <c r="F228" i="3" a="1"/>
  <c r="F229" i="3" a="1"/>
  <c r="P230" i="3" a="1"/>
  <c r="L231" i="3" a="1"/>
  <c r="I216" i="3" a="1"/>
  <c r="M218" i="3" a="1"/>
  <c r="J220" i="3" a="1"/>
  <c r="J221" i="3" a="1"/>
  <c r="N222" i="3" a="1"/>
  <c r="N223" i="3" a="1"/>
  <c r="K225" i="3" a="1"/>
  <c r="H227" i="3" a="1"/>
  <c r="H228" i="3" a="1"/>
  <c r="J230" i="3" a="1"/>
  <c r="H217" i="3" a="1"/>
  <c r="H218" i="3" a="1"/>
  <c r="S219" i="3" a="1"/>
  <c r="P221" i="3" a="1"/>
  <c r="P222" i="3" a="1"/>
  <c r="M224" i="3" a="1"/>
  <c r="J226" i="3" a="1"/>
  <c r="J227" i="3" a="1"/>
  <c r="G229" i="3" a="1"/>
  <c r="S229" i="3" a="1"/>
  <c r="Q230" i="3" a="1"/>
  <c r="N231" i="3" a="1"/>
  <c r="J216" i="3" a="1"/>
  <c r="J217" i="3" a="1"/>
  <c r="G219" i="3" a="1"/>
  <c r="K221" i="3" a="1"/>
  <c r="O223" i="3" a="1"/>
  <c r="L225" i="3" a="1"/>
  <c r="L226" i="3" a="1"/>
  <c r="P227" i="3" a="1"/>
  <c r="P228" i="3" a="1"/>
  <c r="P217" i="3" a="1"/>
  <c r="H216" i="3" a="1"/>
  <c r="L217" i="3" a="1"/>
  <c r="S217" i="3" a="1"/>
  <c r="L218" i="3" a="1"/>
  <c r="P219" i="3" a="1"/>
  <c r="I220" i="3" a="1"/>
  <c r="P220" i="3" a="1"/>
  <c r="F222" i="3" a="1"/>
  <c r="M222" i="3" a="1"/>
  <c r="F223" i="3" a="1"/>
  <c r="J224" i="3" a="1"/>
  <c r="Q224" i="3" a="1"/>
  <c r="J225" i="3" a="1"/>
  <c r="N226" i="3" a="1"/>
  <c r="G227" i="3" a="1"/>
  <c r="N227" i="3" a="1"/>
  <c r="R228" i="3" a="1"/>
  <c r="K229" i="3" a="1"/>
  <c r="I230" i="3" a="1"/>
  <c r="N216" i="3" a="1"/>
  <c r="N217" i="3" a="1"/>
  <c r="R218" i="3" a="1"/>
  <c r="R219" i="3" a="1"/>
  <c r="O221" i="3" a="1"/>
  <c r="S223" i="3" a="1"/>
  <c r="P225" i="3" a="1"/>
  <c r="P226" i="3" a="1"/>
  <c r="M228" i="3" a="1"/>
  <c r="R229" i="3" a="1"/>
  <c r="G231" i="3" a="1"/>
  <c r="R231" i="3" a="1"/>
  <c r="P216" i="3" a="1"/>
  <c r="F218" i="3" a="1"/>
  <c r="F219" i="3" a="1"/>
  <c r="Q220" i="3" a="1"/>
  <c r="G223" i="3" a="1"/>
  <c r="R224" i="3" a="1"/>
  <c r="R225" i="3" a="1"/>
  <c r="O227" i="3" a="1"/>
  <c r="L229" i="3" a="1"/>
  <c r="O217" i="3" a="1"/>
  <c r="L219" i="3" a="1"/>
  <c r="L220" i="3" a="1"/>
  <c r="I222" i="3" a="1"/>
  <c r="F224" i="3" a="1"/>
  <c r="F225" i="3" a="1"/>
  <c r="Q226" i="3" a="1"/>
  <c r="N228" i="3" a="1"/>
  <c r="N229" i="3" a="1"/>
  <c r="L230" i="3" a="1"/>
  <c r="H231" i="3" a="1"/>
  <c r="S231" i="3" a="1"/>
  <c r="Q216" i="3" a="1"/>
  <c r="N218" i="3" a="1"/>
  <c r="N219" i="3" a="1"/>
  <c r="R220" i="3" a="1"/>
  <c r="R221" i="3" a="1"/>
  <c r="H223" i="3" a="1"/>
  <c r="H224" i="3" a="1"/>
  <c r="S225" i="3" a="1"/>
  <c r="I228" i="3" a="1"/>
  <c r="L216" i="3" a="1"/>
  <c r="I218" i="3" a="1"/>
  <c r="R216" i="3" a="1"/>
  <c r="H219" i="3" a="1"/>
  <c r="P224" i="3" a="1"/>
  <c r="M226" i="3" a="1"/>
  <c r="J228" i="3" a="1"/>
  <c r="H230" i="3" a="1"/>
  <c r="J223" i="3" a="1"/>
  <c r="G225" i="3" a="1"/>
  <c r="R226" i="3" a="1"/>
  <c r="M230" i="3" a="1"/>
  <c r="K217" i="3" a="1"/>
  <c r="O219" i="3" a="1"/>
  <c r="L221" i="3" a="1"/>
  <c r="F227" i="3" a="1"/>
  <c r="Q228" i="3" a="1"/>
  <c r="R217" i="3" a="1"/>
  <c r="F220" i="3" a="1"/>
  <c r="N225" i="3" a="1"/>
  <c r="K227" i="3" a="1"/>
  <c r="H229" i="3" a="1"/>
  <c r="R230" i="3" a="1"/>
  <c r="H220" i="3" a="1"/>
  <c r="S221" i="3" a="1"/>
  <c r="P223" i="3" a="1"/>
  <c r="J229" i="3" a="1"/>
  <c r="P218" i="3" a="1"/>
  <c r="M220" i="3" a="1"/>
  <c r="J222" i="3" a="1"/>
  <c r="R227" i="3" a="1"/>
  <c r="O229" i="3" a="1"/>
  <c r="J231" i="3" a="1"/>
  <c r="L222" i="3" a="1"/>
  <c r="I224" i="3" a="1"/>
  <c r="F226" i="3" a="1"/>
  <c r="F221" i="3" a="1"/>
  <c r="Q222" i="3" a="1"/>
  <c r="N224" i="3" a="1"/>
  <c r="F230" i="3" a="1"/>
  <c r="O231" i="3" a="1"/>
  <c r="S215" i="3" a="1"/>
  <c r="R215" i="3" a="1"/>
  <c r="Q215" i="3" a="1"/>
  <c r="P215" i="3" a="1"/>
  <c r="O215" i="3" a="1"/>
  <c r="N215" i="3" a="1"/>
  <c r="M215" i="3" a="1"/>
  <c r="L215" i="3" a="1"/>
  <c r="K215" i="3" a="1"/>
  <c r="J215" i="3" a="1"/>
  <c r="I215" i="3" a="1"/>
  <c r="H215" i="3" a="1"/>
  <c r="G215" i="3" a="1"/>
  <c r="F215" i="3" a="1"/>
  <c r="F197" i="3" a="1"/>
  <c r="J197" i="3" a="1"/>
  <c r="N197" i="3" a="1"/>
  <c r="R197" i="3" a="1"/>
  <c r="H198" i="3" a="1"/>
  <c r="L198" i="3" a="1"/>
  <c r="P198" i="3" a="1"/>
  <c r="F199" i="3" a="1"/>
  <c r="J199" i="3" a="1"/>
  <c r="N199" i="3" a="1"/>
  <c r="R199" i="3" a="1"/>
  <c r="H200" i="3" a="1"/>
  <c r="L200" i="3" a="1"/>
  <c r="P200" i="3" a="1"/>
  <c r="F201" i="3" a="1"/>
  <c r="J201" i="3" a="1"/>
  <c r="N201" i="3" a="1"/>
  <c r="R201" i="3" a="1"/>
  <c r="H202" i="3" a="1"/>
  <c r="L202" i="3" a="1"/>
  <c r="P202" i="3" a="1"/>
  <c r="F203" i="3" a="1"/>
  <c r="J203" i="3" a="1"/>
  <c r="N203" i="3" a="1"/>
  <c r="R203" i="3" a="1"/>
  <c r="H204" i="3" a="1"/>
  <c r="L204" i="3" a="1"/>
  <c r="P204" i="3" a="1"/>
  <c r="F205" i="3" a="1"/>
  <c r="J205" i="3" a="1"/>
  <c r="N205" i="3" a="1"/>
  <c r="R205" i="3" a="1"/>
  <c r="H206" i="3" a="1"/>
  <c r="L206" i="3" a="1"/>
  <c r="P206" i="3" a="1"/>
  <c r="F207" i="3" a="1"/>
  <c r="J207" i="3" a="1"/>
  <c r="N207" i="3" a="1"/>
  <c r="R207" i="3" a="1"/>
  <c r="H208" i="3" a="1"/>
  <c r="L208" i="3" a="1"/>
  <c r="P208" i="3" a="1"/>
  <c r="F209" i="3" a="1"/>
  <c r="J209" i="3" a="1"/>
  <c r="N209" i="3" a="1"/>
  <c r="R209" i="3" a="1"/>
  <c r="H210" i="3" a="1"/>
  <c r="L210" i="3" a="1"/>
  <c r="P210" i="3" a="1"/>
  <c r="F211" i="3" a="1"/>
  <c r="J211" i="3" a="1"/>
  <c r="N211" i="3" a="1"/>
  <c r="R211" i="3" a="1"/>
  <c r="H212" i="3" a="1"/>
  <c r="L212" i="3" a="1"/>
  <c r="P212" i="3" a="1"/>
  <c r="M198" i="3" a="1"/>
  <c r="S199" i="3" a="1"/>
  <c r="M200" i="3" a="1"/>
  <c r="G201" i="3" a="1"/>
  <c r="O201" i="3" a="1"/>
  <c r="I202" i="3" a="1"/>
  <c r="Q202" i="3" a="1"/>
  <c r="K203" i="3" a="1"/>
  <c r="S203" i="3" a="1"/>
  <c r="M204" i="3" a="1"/>
  <c r="G205" i="3" a="1"/>
  <c r="O205" i="3" a="1"/>
  <c r="I206" i="3" a="1"/>
  <c r="Q206" i="3" a="1"/>
  <c r="G207" i="3" a="1"/>
  <c r="O207" i="3" a="1"/>
  <c r="I208" i="3" a="1"/>
  <c r="Q208" i="3" a="1"/>
  <c r="K209" i="3" a="1"/>
  <c r="S209" i="3" a="1"/>
  <c r="M210" i="3" a="1"/>
  <c r="G211" i="3" a="1"/>
  <c r="O211" i="3" a="1"/>
  <c r="I212" i="3" a="1"/>
  <c r="Q212" i="3" a="1"/>
  <c r="G197" i="3" a="1"/>
  <c r="K197" i="3" a="1"/>
  <c r="O197" i="3" a="1"/>
  <c r="S197" i="3" a="1"/>
  <c r="I198" i="3" a="1"/>
  <c r="Q198" i="3" a="1"/>
  <c r="G199" i="3" a="1"/>
  <c r="K199" i="3" a="1"/>
  <c r="O199" i="3" a="1"/>
  <c r="I200" i="3" a="1"/>
  <c r="Q200" i="3" a="1"/>
  <c r="K201" i="3" a="1"/>
  <c r="S201" i="3" a="1"/>
  <c r="M202" i="3" a="1"/>
  <c r="G203" i="3" a="1"/>
  <c r="O203" i="3" a="1"/>
  <c r="I204" i="3" a="1"/>
  <c r="Q204" i="3" a="1"/>
  <c r="K205" i="3" a="1"/>
  <c r="S205" i="3" a="1"/>
  <c r="M206" i="3" a="1"/>
  <c r="K207" i="3" a="1"/>
  <c r="S207" i="3" a="1"/>
  <c r="M208" i="3" a="1"/>
  <c r="G209" i="3" a="1"/>
  <c r="O209" i="3" a="1"/>
  <c r="I210" i="3" a="1"/>
  <c r="Q210" i="3" a="1"/>
  <c r="K211" i="3" a="1"/>
  <c r="S211" i="3" a="1"/>
  <c r="M212" i="3" a="1"/>
  <c r="H197" i="3" a="1"/>
  <c r="P197" i="3" a="1"/>
  <c r="J198" i="3" a="1"/>
  <c r="R198" i="3" a="1"/>
  <c r="L199" i="3" a="1"/>
  <c r="F200" i="3" a="1"/>
  <c r="N200" i="3" a="1"/>
  <c r="H201" i="3" a="1"/>
  <c r="M203" i="3" a="1"/>
  <c r="F204" i="3" a="1"/>
  <c r="Q205" i="3" a="1"/>
  <c r="J206" i="3" a="1"/>
  <c r="G208" i="3" a="1"/>
  <c r="N208" i="3" a="1"/>
  <c r="K210" i="3" a="1"/>
  <c r="R210" i="3" a="1"/>
  <c r="O212" i="3" a="1"/>
  <c r="O202" i="3" a="1"/>
  <c r="S204" i="3" a="1"/>
  <c r="L205" i="3" a="1"/>
  <c r="P207" i="3" a="1"/>
  <c r="M209" i="3" a="1"/>
  <c r="F210" i="3" a="1"/>
  <c r="Q211" i="3" a="1"/>
  <c r="J212" i="3" a="1"/>
  <c r="I197" i="3" a="1"/>
  <c r="Q197" i="3" a="1"/>
  <c r="K198" i="3" a="1"/>
  <c r="M199" i="3" a="1"/>
  <c r="G200" i="3" a="1"/>
  <c r="O200" i="3" a="1"/>
  <c r="I201" i="3" a="1"/>
  <c r="N204" i="3" a="1"/>
  <c r="K206" i="3" a="1"/>
  <c r="H209" i="3" a="1"/>
  <c r="S210" i="3" a="1"/>
  <c r="I203" i="3" a="1"/>
  <c r="M205" i="3" a="1"/>
  <c r="J208" i="3" a="1"/>
  <c r="G210" i="3" a="1"/>
  <c r="R212" i="3" a="1"/>
  <c r="L197" i="3" a="1"/>
  <c r="N198" i="3" a="1"/>
  <c r="P199" i="3" a="1"/>
  <c r="R200" i="3" a="1"/>
  <c r="P201" i="3" a="1"/>
  <c r="H203" i="3" a="1"/>
  <c r="I207" i="3" a="1"/>
  <c r="S198" i="3" a="1"/>
  <c r="J202" i="3" a="1"/>
  <c r="G204" i="3" a="1"/>
  <c r="R206" i="3" a="1"/>
  <c r="O208" i="3" a="1"/>
  <c r="L211" i="3" a="1"/>
  <c r="Q201" i="3" a="1"/>
  <c r="P203" i="3" a="1"/>
  <c r="F206" i="3" a="1"/>
  <c r="Q207" i="3" a="1"/>
  <c r="N210" i="3" a="1"/>
  <c r="K212" i="3" a="1"/>
  <c r="F198" i="3" a="1"/>
  <c r="H199" i="3" a="1"/>
  <c r="J200" i="3" a="1"/>
  <c r="L201" i="3" a="1"/>
  <c r="K200" i="3" a="1"/>
  <c r="F202" i="3" a="1"/>
  <c r="Q203" i="3" a="1"/>
  <c r="N206" i="3" a="1"/>
  <c r="K208" i="3" a="1"/>
  <c r="H211" i="3" a="1"/>
  <c r="S212" i="3" a="1"/>
  <c r="M197" i="3" a="1"/>
  <c r="S202" i="3" a="1"/>
  <c r="P205" i="3" a="1"/>
  <c r="M207" i="3" a="1"/>
  <c r="J210" i="3" a="1"/>
  <c r="G212" i="3" a="1"/>
  <c r="I199" i="3" a="1"/>
  <c r="G202" i="3" a="1"/>
  <c r="R204" i="3" a="1"/>
  <c r="L209" i="3" a="1"/>
  <c r="I211" i="3" a="1"/>
  <c r="S200" i="3" a="1"/>
  <c r="H205" i="3" a="1"/>
  <c r="P209" i="3" a="1"/>
  <c r="G198" i="3" a="1"/>
  <c r="G206" i="3" a="1"/>
  <c r="R208" i="3" a="1"/>
  <c r="L203" i="3" a="1"/>
  <c r="F208" i="3" a="1"/>
  <c r="N212" i="3" a="1"/>
  <c r="M201" i="3" a="1"/>
  <c r="K204" i="3" a="1"/>
  <c r="S208" i="3" a="1"/>
  <c r="O198" i="3" a="1"/>
  <c r="O204" i="3" a="1"/>
  <c r="L207" i="3" a="1"/>
  <c r="O206" i="3" a="1"/>
  <c r="K202" i="3" a="1"/>
  <c r="S206" i="3" a="1"/>
  <c r="M211" i="3" a="1"/>
  <c r="J204" i="3" a="1"/>
  <c r="O210" i="3" a="1"/>
  <c r="Q199" i="3" a="1"/>
  <c r="I205" i="3" a="1"/>
  <c r="Q209" i="3" a="1"/>
  <c r="N202" i="3" a="1"/>
  <c r="H207" i="3" a="1"/>
  <c r="P211" i="3" a="1"/>
  <c r="R202" i="3" a="1"/>
  <c r="I209" i="3" a="1"/>
  <c r="F212" i="3" a="1"/>
  <c r="S196" i="3" a="1"/>
  <c r="R196" i="3" a="1"/>
  <c r="Q196" i="3" a="1"/>
  <c r="P196" i="3" a="1"/>
  <c r="O196" i="3" a="1"/>
  <c r="N196" i="3" a="1"/>
  <c r="M196" i="3" a="1"/>
  <c r="L196" i="3" a="1"/>
  <c r="K196" i="3" a="1"/>
  <c r="J196" i="3" a="1"/>
  <c r="I196" i="3" a="1"/>
  <c r="H196" i="3" a="1"/>
  <c r="G196" i="3" a="1"/>
  <c r="F196" i="3" a="1"/>
  <c r="F178" i="3" a="1"/>
  <c r="J178" i="3" a="1"/>
  <c r="N178" i="3" a="1"/>
  <c r="R178" i="3" a="1"/>
  <c r="H179" i="3" a="1"/>
  <c r="L179" i="3" a="1"/>
  <c r="P179" i="3" a="1"/>
  <c r="F180" i="3" a="1"/>
  <c r="J180" i="3" a="1"/>
  <c r="N180" i="3" a="1"/>
  <c r="R180" i="3" a="1"/>
  <c r="H181" i="3" a="1"/>
  <c r="L181" i="3" a="1"/>
  <c r="P181" i="3" a="1"/>
  <c r="F182" i="3" a="1"/>
  <c r="J182" i="3" a="1"/>
  <c r="N182" i="3" a="1"/>
  <c r="R182" i="3" a="1"/>
  <c r="H183" i="3" a="1"/>
  <c r="L183" i="3" a="1"/>
  <c r="P183" i="3" a="1"/>
  <c r="F184" i="3" a="1"/>
  <c r="J184" i="3" a="1"/>
  <c r="N184" i="3" a="1"/>
  <c r="R184" i="3" a="1"/>
  <c r="H185" i="3" a="1"/>
  <c r="L185" i="3" a="1"/>
  <c r="P185" i="3" a="1"/>
  <c r="F186" i="3" a="1"/>
  <c r="J186" i="3" a="1"/>
  <c r="N186" i="3" a="1"/>
  <c r="R186" i="3" a="1"/>
  <c r="H187" i="3" a="1"/>
  <c r="L187" i="3" a="1"/>
  <c r="P187" i="3" a="1"/>
  <c r="F188" i="3" a="1"/>
  <c r="J188" i="3" a="1"/>
  <c r="N188" i="3" a="1"/>
  <c r="R188" i="3" a="1"/>
  <c r="H189" i="3" a="1"/>
  <c r="L189" i="3" a="1"/>
  <c r="P189" i="3" a="1"/>
  <c r="F190" i="3" a="1"/>
  <c r="J190" i="3" a="1"/>
  <c r="N190" i="3" a="1"/>
  <c r="R190" i="3" a="1"/>
  <c r="H191" i="3" a="1"/>
  <c r="L191" i="3" a="1"/>
  <c r="P191" i="3" a="1"/>
  <c r="F192" i="3" a="1"/>
  <c r="J192" i="3" a="1"/>
  <c r="N192" i="3" a="1"/>
  <c r="R192" i="3" a="1"/>
  <c r="H193" i="3" a="1"/>
  <c r="L193" i="3" a="1"/>
  <c r="P193" i="3" a="1"/>
  <c r="O190" i="3" a="1"/>
  <c r="G192" i="3" a="1"/>
  <c r="S192" i="3" a="1"/>
  <c r="Q193" i="3" a="1"/>
  <c r="P178" i="3" a="1"/>
  <c r="F179" i="3" a="1"/>
  <c r="L180" i="3" a="1"/>
  <c r="J181" i="3" a="1"/>
  <c r="H182" i="3" a="1"/>
  <c r="F183" i="3" a="1"/>
  <c r="R183" i="3" a="1"/>
  <c r="L184" i="3" a="1"/>
  <c r="J185" i="3" a="1"/>
  <c r="H186" i="3" a="1"/>
  <c r="F187" i="3" a="1"/>
  <c r="R187" i="3" a="1"/>
  <c r="P188" i="3" a="1"/>
  <c r="N189" i="3" a="1"/>
  <c r="K182" i="3" a="1"/>
  <c r="G186" i="3" a="1"/>
  <c r="S186" i="3" a="1"/>
  <c r="M187" i="3" a="1"/>
  <c r="G188" i="3" a="1"/>
  <c r="O188" i="3" a="1"/>
  <c r="I189" i="3" a="1"/>
  <c r="Q189" i="3" a="1"/>
  <c r="K190" i="3" a="1"/>
  <c r="I191" i="3" a="1"/>
  <c r="Q191" i="3" a="1"/>
  <c r="O192" i="3" a="1"/>
  <c r="M193" i="3" a="1"/>
  <c r="L178" i="3" a="1"/>
  <c r="J179" i="3" a="1"/>
  <c r="R179" i="3" a="1"/>
  <c r="P180" i="3" a="1"/>
  <c r="R181" i="3" a="1"/>
  <c r="P182" i="3" a="1"/>
  <c r="N183" i="3" a="1"/>
  <c r="P184" i="3" a="1"/>
  <c r="N185" i="3" a="1"/>
  <c r="L186" i="3" a="1"/>
  <c r="N187" i="3" a="1"/>
  <c r="L188" i="3" a="1"/>
  <c r="G178" i="3" a="1"/>
  <c r="K178" i="3" a="1"/>
  <c r="O178" i="3" a="1"/>
  <c r="S178" i="3" a="1"/>
  <c r="I179" i="3" a="1"/>
  <c r="M179" i="3" a="1"/>
  <c r="Q179" i="3" a="1"/>
  <c r="G180" i="3" a="1"/>
  <c r="K180" i="3" a="1"/>
  <c r="O180" i="3" a="1"/>
  <c r="S180" i="3" a="1"/>
  <c r="I181" i="3" a="1"/>
  <c r="M181" i="3" a="1"/>
  <c r="Q181" i="3" a="1"/>
  <c r="G182" i="3" a="1"/>
  <c r="O182" i="3" a="1"/>
  <c r="S182" i="3" a="1"/>
  <c r="I183" i="3" a="1"/>
  <c r="M183" i="3" a="1"/>
  <c r="Q183" i="3" a="1"/>
  <c r="G184" i="3" a="1"/>
  <c r="K184" i="3" a="1"/>
  <c r="O184" i="3" a="1"/>
  <c r="S184" i="3" a="1"/>
  <c r="I185" i="3" a="1"/>
  <c r="M185" i="3" a="1"/>
  <c r="Q185" i="3" a="1"/>
  <c r="K186" i="3" a="1"/>
  <c r="O186" i="3" a="1"/>
  <c r="I187" i="3" a="1"/>
  <c r="Q187" i="3" a="1"/>
  <c r="K188" i="3" a="1"/>
  <c r="S188" i="3" a="1"/>
  <c r="M189" i="3" a="1"/>
  <c r="G190" i="3" a="1"/>
  <c r="S190" i="3" a="1"/>
  <c r="M191" i="3" a="1"/>
  <c r="K192" i="3" a="1"/>
  <c r="I193" i="3" a="1"/>
  <c r="H178" i="3" a="1"/>
  <c r="N179" i="3" a="1"/>
  <c r="H180" i="3" a="1"/>
  <c r="F181" i="3" a="1"/>
  <c r="N181" i="3" a="1"/>
  <c r="L182" i="3" a="1"/>
  <c r="J183" i="3" a="1"/>
  <c r="H184" i="3" a="1"/>
  <c r="F185" i="3" a="1"/>
  <c r="R185" i="3" a="1"/>
  <c r="P186" i="3" a="1"/>
  <c r="J187" i="3" a="1"/>
  <c r="H188" i="3" a="1"/>
  <c r="F189" i="3" a="1"/>
  <c r="R189" i="3" a="1"/>
  <c r="O179" i="3" a="1"/>
  <c r="S181" i="3" a="1"/>
  <c r="I184" i="3" a="1"/>
  <c r="M186" i="3" a="1"/>
  <c r="Q188" i="3" a="1"/>
  <c r="G193" i="3" a="1"/>
  <c r="K181" i="3" a="1"/>
  <c r="S185" i="3" a="1"/>
  <c r="O189" i="3" a="1"/>
  <c r="S179" i="3" a="1"/>
  <c r="Q186" i="3" a="1"/>
  <c r="L190" i="3" a="1"/>
  <c r="N191" i="3" a="1"/>
  <c r="J193" i="3" a="1"/>
  <c r="M178" i="3" a="1"/>
  <c r="Q180" i="3" a="1"/>
  <c r="O187" i="3" a="1"/>
  <c r="K179" i="3" a="1"/>
  <c r="S183" i="3" a="1"/>
  <c r="M188" i="3" a="1"/>
  <c r="S189" i="3" a="1"/>
  <c r="G191" i="3" a="1"/>
  <c r="I192" i="3" a="1"/>
  <c r="K193" i="3" a="1"/>
  <c r="I180" i="3" a="1"/>
  <c r="Q184" i="3" a="1"/>
  <c r="G181" i="3" a="1"/>
  <c r="K183" i="3" a="1"/>
  <c r="K189" i="3" a="1"/>
  <c r="P190" i="3" a="1"/>
  <c r="R191" i="3" a="1"/>
  <c r="F193" i="3" a="1"/>
  <c r="I178" i="3" a="1"/>
  <c r="M180" i="3" a="1"/>
  <c r="Q182" i="3" a="1"/>
  <c r="G185" i="3" a="1"/>
  <c r="K187" i="3" a="1"/>
  <c r="I190" i="3" a="1"/>
  <c r="Q190" i="3" a="1"/>
  <c r="K191" i="3" a="1"/>
  <c r="S191" i="3" a="1"/>
  <c r="M192" i="3" a="1"/>
  <c r="O193" i="3" a="1"/>
  <c r="G179" i="3" a="1"/>
  <c r="O183" i="3" a="1"/>
  <c r="I188" i="3" a="1"/>
  <c r="I182" i="3" a="1"/>
  <c r="M184" i="3" a="1"/>
  <c r="G189" i="3" a="1"/>
  <c r="F191" i="3" a="1"/>
  <c r="H192" i="3" a="1"/>
  <c r="P192" i="3" a="1"/>
  <c r="R193" i="3" a="1"/>
  <c r="G183" i="3" a="1"/>
  <c r="K185" i="3" a="1"/>
  <c r="O181" i="3" a="1"/>
  <c r="I186" i="3" a="1"/>
  <c r="J189" i="3" a="1"/>
  <c r="M190" i="3" a="1"/>
  <c r="O191" i="3" a="1"/>
  <c r="Q192" i="3" a="1"/>
  <c r="S193" i="3" a="1"/>
  <c r="M182" i="3" a="1"/>
  <c r="G187" i="3" a="1"/>
  <c r="Q178" i="3" a="1"/>
  <c r="S187" i="3" a="1"/>
  <c r="H190" i="3" a="1"/>
  <c r="J191" i="3" a="1"/>
  <c r="L192" i="3" a="1"/>
  <c r="N193" i="3" a="1"/>
  <c r="O185" i="3" a="1"/>
  <c r="S177" i="3" a="1"/>
  <c r="R177" i="3" a="1"/>
  <c r="Q177" i="3" a="1"/>
  <c r="P177" i="3" a="1"/>
  <c r="O177" i="3" a="1"/>
  <c r="N177" i="3" a="1"/>
  <c r="M177" i="3" a="1"/>
  <c r="L177" i="3" a="1"/>
  <c r="K177" i="3" a="1"/>
  <c r="J177" i="3" a="1"/>
  <c r="I177" i="3" a="1"/>
  <c r="H177" i="3" a="1"/>
  <c r="G177" i="3" a="1"/>
  <c r="F177" i="3" a="1"/>
  <c r="F158" i="3" a="1"/>
  <c r="J158" i="3" a="1"/>
  <c r="N158" i="3" a="1"/>
  <c r="R158" i="3" a="1"/>
  <c r="H159" i="3" a="1"/>
  <c r="L159" i="3" a="1"/>
  <c r="P159" i="3" a="1"/>
  <c r="F160" i="3" a="1"/>
  <c r="J160" i="3" a="1"/>
  <c r="N160" i="3" a="1"/>
  <c r="R160" i="3" a="1"/>
  <c r="H161" i="3" a="1"/>
  <c r="L161" i="3" a="1"/>
  <c r="P161" i="3" a="1"/>
  <c r="F162" i="3" a="1"/>
  <c r="J162" i="3" a="1"/>
  <c r="N162" i="3" a="1"/>
  <c r="R162" i="3" a="1"/>
  <c r="H163" i="3" a="1"/>
  <c r="L163" i="3" a="1"/>
  <c r="P163" i="3" a="1"/>
  <c r="F164" i="3" a="1"/>
  <c r="J164" i="3" a="1"/>
  <c r="N164" i="3" a="1"/>
  <c r="R164" i="3" a="1"/>
  <c r="H165" i="3" a="1"/>
  <c r="L165" i="3" a="1"/>
  <c r="P165" i="3" a="1"/>
  <c r="F166" i="3" a="1"/>
  <c r="J166" i="3" a="1"/>
  <c r="N166" i="3" a="1"/>
  <c r="R166" i="3" a="1"/>
  <c r="H167" i="3" a="1"/>
  <c r="L167" i="3" a="1"/>
  <c r="P167" i="3" a="1"/>
  <c r="F168" i="3" a="1"/>
  <c r="J168" i="3" a="1"/>
  <c r="N168" i="3" a="1"/>
  <c r="R168" i="3" a="1"/>
  <c r="H169" i="3" a="1"/>
  <c r="L169" i="3" a="1"/>
  <c r="P169" i="3" a="1"/>
  <c r="F170" i="3" a="1"/>
  <c r="J170" i="3" a="1"/>
  <c r="N170" i="3" a="1"/>
  <c r="R170" i="3" a="1"/>
  <c r="H171" i="3" a="1"/>
  <c r="L171" i="3" a="1"/>
  <c r="P171" i="3" a="1"/>
  <c r="F172" i="3" a="1"/>
  <c r="J172" i="3" a="1"/>
  <c r="N172" i="3" a="1"/>
  <c r="R172" i="3" a="1"/>
  <c r="H173" i="3" a="1"/>
  <c r="L173" i="3" a="1"/>
  <c r="P173" i="3" a="1"/>
  <c r="M163" i="3" a="1"/>
  <c r="S164" i="3" a="1"/>
  <c r="M165" i="3" a="1"/>
  <c r="G166" i="3" a="1"/>
  <c r="O166" i="3" a="1"/>
  <c r="I167" i="3" a="1"/>
  <c r="Q167" i="3" a="1"/>
  <c r="G168" i="3" a="1"/>
  <c r="O168" i="3" a="1"/>
  <c r="I169" i="3" a="1"/>
  <c r="Q169" i="3" a="1"/>
  <c r="K170" i="3" a="1"/>
  <c r="S170" i="3" a="1"/>
  <c r="M171" i="3" a="1"/>
  <c r="G172" i="3" a="1"/>
  <c r="O172" i="3" a="1"/>
  <c r="I173" i="3" a="1"/>
  <c r="Q173" i="3" a="1"/>
  <c r="G158" i="3" a="1"/>
  <c r="K158" i="3" a="1"/>
  <c r="O158" i="3" a="1"/>
  <c r="S158" i="3" a="1"/>
  <c r="I159" i="3" a="1"/>
  <c r="M159" i="3" a="1"/>
  <c r="Q159" i="3" a="1"/>
  <c r="G160" i="3" a="1"/>
  <c r="K160" i="3" a="1"/>
  <c r="O160" i="3" a="1"/>
  <c r="S160" i="3" a="1"/>
  <c r="I161" i="3" a="1"/>
  <c r="M161" i="3" a="1"/>
  <c r="Q161" i="3" a="1"/>
  <c r="G162" i="3" a="1"/>
  <c r="K162" i="3" a="1"/>
  <c r="O162" i="3" a="1"/>
  <c r="S162" i="3" a="1"/>
  <c r="I163" i="3" a="1"/>
  <c r="Q163" i="3" a="1"/>
  <c r="G164" i="3" a="1"/>
  <c r="K164" i="3" a="1"/>
  <c r="O164" i="3" a="1"/>
  <c r="I165" i="3" a="1"/>
  <c r="Q165" i="3" a="1"/>
  <c r="K166" i="3" a="1"/>
  <c r="S166" i="3" a="1"/>
  <c r="M167" i="3" a="1"/>
  <c r="K168" i="3" a="1"/>
  <c r="S168" i="3" a="1"/>
  <c r="M169" i="3" a="1"/>
  <c r="G170" i="3" a="1"/>
  <c r="O170" i="3" a="1"/>
  <c r="I171" i="3" a="1"/>
  <c r="Q171" i="3" a="1"/>
  <c r="K172" i="3" a="1"/>
  <c r="S172" i="3" a="1"/>
  <c r="M173" i="3" a="1"/>
  <c r="H158" i="3" a="1"/>
  <c r="O159" i="3" a="1"/>
  <c r="H160" i="3" a="1"/>
  <c r="S161" i="3" a="1"/>
  <c r="L162" i="3" a="1"/>
  <c r="I164" i="3" a="1"/>
  <c r="P164" i="3" a="1"/>
  <c r="M166" i="3" a="1"/>
  <c r="F167" i="3" a="1"/>
  <c r="Q168" i="3" a="1"/>
  <c r="J169" i="3" a="1"/>
  <c r="G171" i="3" a="1"/>
  <c r="N171" i="3" a="1"/>
  <c r="K173" i="3" a="1"/>
  <c r="R173" i="3" a="1"/>
  <c r="P158" i="3" a="1"/>
  <c r="J159" i="3" a="1"/>
  <c r="G161" i="3" a="1"/>
  <c r="N161" i="3" a="1"/>
  <c r="K163" i="3" a="1"/>
  <c r="R163" i="3" a="1"/>
  <c r="O165" i="3" a="1"/>
  <c r="H166" i="3" a="1"/>
  <c r="S167" i="3" a="1"/>
  <c r="L168" i="3" a="1"/>
  <c r="I170" i="3" a="1"/>
  <c r="P170" i="3" a="1"/>
  <c r="M172" i="3" a="1"/>
  <c r="F173" i="3" a="1"/>
  <c r="I158" i="3" a="1"/>
  <c r="I160" i="3" a="1"/>
  <c r="P160" i="3" a="1"/>
  <c r="M162" i="3" a="1"/>
  <c r="F163" i="3" a="1"/>
  <c r="Q164" i="3" a="1"/>
  <c r="J165" i="3" a="1"/>
  <c r="G167" i="3" a="1"/>
  <c r="N167" i="3" a="1"/>
  <c r="K169" i="3" a="1"/>
  <c r="R169" i="3" a="1"/>
  <c r="M160" i="3" a="1"/>
  <c r="H162" i="3" a="1"/>
  <c r="N163" i="3" a="1"/>
  <c r="F165" i="3" a="1"/>
  <c r="L166" i="3" a="1"/>
  <c r="R167" i="3" a="1"/>
  <c r="H172" i="3" a="1"/>
  <c r="P172" i="3" a="1"/>
  <c r="J173" i="3" a="1"/>
  <c r="S173" i="3" a="1"/>
  <c r="L164" i="3" a="1"/>
  <c r="J167" i="3" a="1"/>
  <c r="P168" i="3" a="1"/>
  <c r="L158" i="3" a="1"/>
  <c r="O163" i="3" a="1"/>
  <c r="G165" i="3" a="1"/>
  <c r="N169" i="3" a="1"/>
  <c r="F171" i="3" a="1"/>
  <c r="Q166" i="3" a="1"/>
  <c r="Q158" i="3" a="1"/>
  <c r="I166" i="3" a="1"/>
  <c r="G169" i="3" a="1"/>
  <c r="J171" i="3" a="1"/>
  <c r="L172" i="3" a="1"/>
  <c r="O173" i="3" a="1"/>
  <c r="L160" i="3" a="1"/>
  <c r="J163" i="3" a="1"/>
  <c r="S169" i="3" a="1"/>
  <c r="R159" i="3" a="1"/>
  <c r="P162" i="3" a="1"/>
  <c r="H164" i="3" a="1"/>
  <c r="Q170" i="3" a="1"/>
  <c r="S171" i="3" a="1"/>
  <c r="G159" i="3" a="1"/>
  <c r="S159" i="3" a="1"/>
  <c r="K161" i="3" a="1"/>
  <c r="Q162" i="3" a="1"/>
  <c r="R165" i="3" a="1"/>
  <c r="H170" i="3" a="1"/>
  <c r="K159" i="3" a="1"/>
  <c r="Q160" i="3" a="1"/>
  <c r="I162" i="3" a="1"/>
  <c r="P166" i="3" a="1"/>
  <c r="H168" i="3" a="1"/>
  <c r="O171" i="3" a="1"/>
  <c r="I172" i="3" a="1"/>
  <c r="Q172" i="3" a="1"/>
  <c r="O161" i="3" a="1"/>
  <c r="G163" i="3" a="1"/>
  <c r="M164" i="3" a="1"/>
  <c r="S165" i="3" a="1"/>
  <c r="K167" i="3" a="1"/>
  <c r="F169" i="3" a="1"/>
  <c r="L170" i="3" a="1"/>
  <c r="N173" i="3" a="1"/>
  <c r="M158" i="3" a="1"/>
  <c r="S163" i="3" a="1"/>
  <c r="K165" i="3" a="1"/>
  <c r="I168" i="3" a="1"/>
  <c r="O169" i="3" a="1"/>
  <c r="N159" i="3" a="1"/>
  <c r="F161" i="3" a="1"/>
  <c r="O167" i="3" a="1"/>
  <c r="M170" i="3" a="1"/>
  <c r="R171" i="3" a="1"/>
  <c r="G173" i="3" a="1"/>
  <c r="R161" i="3" a="1"/>
  <c r="M168" i="3" a="1"/>
  <c r="F159" i="3" a="1"/>
  <c r="J161" i="3" a="1"/>
  <c r="N165" i="3" a="1"/>
  <c r="K171" i="3" a="1"/>
  <c r="S157" i="3" a="1"/>
  <c r="R157" i="3" a="1"/>
  <c r="Q157" i="3" a="1"/>
  <c r="P157" i="3" a="1"/>
  <c r="O157" i="3" a="1"/>
  <c r="N157" i="3" a="1"/>
  <c r="M157" i="3" a="1"/>
  <c r="L157" i="3" a="1"/>
  <c r="K157" i="3" a="1"/>
  <c r="J157" i="3" a="1"/>
  <c r="I157" i="3" a="1"/>
  <c r="H157" i="3" a="1"/>
  <c r="G157" i="3" a="1"/>
  <c r="F157" i="3" a="1"/>
  <c r="F139" i="3" a="1"/>
  <c r="J139" i="3" a="1"/>
  <c r="N139" i="3" a="1"/>
  <c r="R139" i="3" a="1"/>
  <c r="H140" i="3" a="1"/>
  <c r="L140" i="3" a="1"/>
  <c r="P140" i="3" a="1"/>
  <c r="F141" i="3" a="1"/>
  <c r="J141" i="3" a="1"/>
  <c r="N141" i="3" a="1"/>
  <c r="R141" i="3" a="1"/>
  <c r="H142" i="3" a="1"/>
  <c r="L142" i="3" a="1"/>
  <c r="P142" i="3" a="1"/>
  <c r="F143" i="3" a="1"/>
  <c r="J143" i="3" a="1"/>
  <c r="N143" i="3" a="1"/>
  <c r="R143" i="3" a="1"/>
  <c r="H144" i="3" a="1"/>
  <c r="L144" i="3" a="1"/>
  <c r="P144" i="3" a="1"/>
  <c r="F145" i="3" a="1"/>
  <c r="J145" i="3" a="1"/>
  <c r="N145" i="3" a="1"/>
  <c r="R145" i="3" a="1"/>
  <c r="H146" i="3" a="1"/>
  <c r="L146" i="3" a="1"/>
  <c r="P146" i="3" a="1"/>
  <c r="F147" i="3" a="1"/>
  <c r="J147" i="3" a="1"/>
  <c r="N147" i="3" a="1"/>
  <c r="R147" i="3" a="1"/>
  <c r="H148" i="3" a="1"/>
  <c r="L148" i="3" a="1"/>
  <c r="P148" i="3" a="1"/>
  <c r="F149" i="3" a="1"/>
  <c r="J149" i="3" a="1"/>
  <c r="N149" i="3" a="1"/>
  <c r="R149" i="3" a="1"/>
  <c r="H150" i="3" a="1"/>
  <c r="L150" i="3" a="1"/>
  <c r="P150" i="3" a="1"/>
  <c r="F151" i="3" a="1"/>
  <c r="J151" i="3" a="1"/>
  <c r="N151" i="3" a="1"/>
  <c r="R151" i="3" a="1"/>
  <c r="H152" i="3" a="1"/>
  <c r="L152" i="3" a="1"/>
  <c r="P152" i="3" a="1"/>
  <c r="F153" i="3" a="1"/>
  <c r="J153" i="3" a="1"/>
  <c r="N153" i="3" a="1"/>
  <c r="R153" i="3" a="1"/>
  <c r="H154" i="3" a="1"/>
  <c r="L154" i="3" a="1"/>
  <c r="P154" i="3" a="1"/>
  <c r="G139" i="3" a="1"/>
  <c r="L139" i="3" a="1"/>
  <c r="Q139" i="3" a="1"/>
  <c r="I140" i="3" a="1"/>
  <c r="N140" i="3" a="1"/>
  <c r="S140" i="3" a="1"/>
  <c r="K141" i="3" a="1"/>
  <c r="P141" i="3" a="1"/>
  <c r="G142" i="3" a="1"/>
  <c r="M142" i="3" a="1"/>
  <c r="R142" i="3" a="1"/>
  <c r="I143" i="3" a="1"/>
  <c r="O143" i="3" a="1"/>
  <c r="F144" i="3" a="1"/>
  <c r="K144" i="3" a="1"/>
  <c r="Q144" i="3" a="1"/>
  <c r="H145" i="3" a="1"/>
  <c r="M145" i="3" a="1"/>
  <c r="S145" i="3" a="1"/>
  <c r="J146" i="3" a="1"/>
  <c r="O146" i="3" a="1"/>
  <c r="G147" i="3" a="1"/>
  <c r="L147" i="3" a="1"/>
  <c r="Q147" i="3" a="1"/>
  <c r="I148" i="3" a="1"/>
  <c r="N148" i="3" a="1"/>
  <c r="S148" i="3" a="1"/>
  <c r="K149" i="3" a="1"/>
  <c r="P149" i="3" a="1"/>
  <c r="G150" i="3" a="1"/>
  <c r="M150" i="3" a="1"/>
  <c r="R150" i="3" a="1"/>
  <c r="I151" i="3" a="1"/>
  <c r="O151" i="3" a="1"/>
  <c r="F152" i="3" a="1"/>
  <c r="K152" i="3" a="1"/>
  <c r="G153" i="3" a="1"/>
  <c r="P153" i="3" a="1"/>
  <c r="K154" i="3" a="1"/>
  <c r="Q152" i="3" a="1"/>
  <c r="L153" i="3" a="1"/>
  <c r="G154" i="3" a="1"/>
  <c r="H139" i="3" a="1"/>
  <c r="M139" i="3" a="1"/>
  <c r="S139" i="3" a="1"/>
  <c r="J140" i="3" a="1"/>
  <c r="O140" i="3" a="1"/>
  <c r="G141" i="3" a="1"/>
  <c r="L141" i="3" a="1"/>
  <c r="Q141" i="3" a="1"/>
  <c r="I142" i="3" a="1"/>
  <c r="N142" i="3" a="1"/>
  <c r="S142" i="3" a="1"/>
  <c r="K143" i="3" a="1"/>
  <c r="P143" i="3" a="1"/>
  <c r="G144" i="3" a="1"/>
  <c r="M144" i="3" a="1"/>
  <c r="R144" i="3" a="1"/>
  <c r="I145" i="3" a="1"/>
  <c r="O145" i="3" a="1"/>
  <c r="F146" i="3" a="1"/>
  <c r="K146" i="3" a="1"/>
  <c r="Q146" i="3" a="1"/>
  <c r="H147" i="3" a="1"/>
  <c r="M147" i="3" a="1"/>
  <c r="S147" i="3" a="1"/>
  <c r="J148" i="3" a="1"/>
  <c r="O148" i="3" a="1"/>
  <c r="G149" i="3" a="1"/>
  <c r="L149" i="3" a="1"/>
  <c r="Q149" i="3" a="1"/>
  <c r="I150" i="3" a="1"/>
  <c r="N150" i="3" a="1"/>
  <c r="S150" i="3" a="1"/>
  <c r="K151" i="3" a="1"/>
  <c r="P151" i="3" a="1"/>
  <c r="G152" i="3" a="1"/>
  <c r="M152" i="3" a="1"/>
  <c r="H153" i="3" a="1"/>
  <c r="Q153" i="3" a="1"/>
  <c r="Q154" i="3" a="1"/>
  <c r="R152" i="3" a="1"/>
  <c r="M153" i="3" a="1"/>
  <c r="M154" i="3" a="1"/>
  <c r="I139" i="3" a="1"/>
  <c r="O139" i="3" a="1"/>
  <c r="F140" i="3" a="1"/>
  <c r="K140" i="3" a="1"/>
  <c r="Q140" i="3" a="1"/>
  <c r="H141" i="3" a="1"/>
  <c r="M141" i="3" a="1"/>
  <c r="S141" i="3" a="1"/>
  <c r="J142" i="3" a="1"/>
  <c r="O142" i="3" a="1"/>
  <c r="G143" i="3" a="1"/>
  <c r="L143" i="3" a="1"/>
  <c r="Q143" i="3" a="1"/>
  <c r="I144" i="3" a="1"/>
  <c r="N144" i="3" a="1"/>
  <c r="S144" i="3" a="1"/>
  <c r="K145" i="3" a="1"/>
  <c r="P145" i="3" a="1"/>
  <c r="G146" i="3" a="1"/>
  <c r="M146" i="3" a="1"/>
  <c r="R146" i="3" a="1"/>
  <c r="I147" i="3" a="1"/>
  <c r="O147" i="3" a="1"/>
  <c r="F148" i="3" a="1"/>
  <c r="K148" i="3" a="1"/>
  <c r="Q148" i="3" a="1"/>
  <c r="H149" i="3" a="1"/>
  <c r="M149" i="3" a="1"/>
  <c r="S149" i="3" a="1"/>
  <c r="J150" i="3" a="1"/>
  <c r="O150" i="3" a="1"/>
  <c r="G151" i="3" a="1"/>
  <c r="L151" i="3" a="1"/>
  <c r="Q151" i="3" a="1"/>
  <c r="I152" i="3" a="1"/>
  <c r="N152" i="3" a="1"/>
  <c r="I153" i="3" a="1"/>
  <c r="I141" i="3" a="1"/>
  <c r="J144" i="3" a="1"/>
  <c r="K147" i="3" a="1"/>
  <c r="K150" i="3" a="1"/>
  <c r="F154" i="3" a="1"/>
  <c r="O154" i="3" a="1"/>
  <c r="K139" i="3" a="1"/>
  <c r="K142" i="3" a="1"/>
  <c r="L145" i="3" a="1"/>
  <c r="M148" i="3" a="1"/>
  <c r="M151" i="3" a="1"/>
  <c r="K153" i="3" a="1"/>
  <c r="I154" i="3" a="1"/>
  <c r="R154" i="3" a="1"/>
  <c r="M140" i="3" a="1"/>
  <c r="M143" i="3" a="1"/>
  <c r="N146" i="3" a="1"/>
  <c r="O149" i="3" a="1"/>
  <c r="O152" i="3" a="1"/>
  <c r="O141" i="3" a="1"/>
  <c r="O144" i="3" a="1"/>
  <c r="P147" i="3" a="1"/>
  <c r="Q150" i="3" a="1"/>
  <c r="O153" i="3" a="1"/>
  <c r="J154" i="3" a="1"/>
  <c r="S154" i="3" a="1"/>
  <c r="P139" i="3" a="1"/>
  <c r="Q142" i="3" a="1"/>
  <c r="Q145" i="3" a="1"/>
  <c r="R148" i="3" a="1"/>
  <c r="S151" i="3" a="1"/>
  <c r="S152" i="3" a="1"/>
  <c r="R140" i="3" a="1"/>
  <c r="S143" i="3" a="1"/>
  <c r="S146" i="3" a="1"/>
  <c r="F150" i="3" a="1"/>
  <c r="F142" i="3" a="1"/>
  <c r="G145" i="3" a="1"/>
  <c r="G148" i="3" a="1"/>
  <c r="H151" i="3" a="1"/>
  <c r="S153" i="3" a="1"/>
  <c r="N154" i="3" a="1"/>
  <c r="G140" i="3" a="1"/>
  <c r="H143" i="3" a="1"/>
  <c r="I146" i="3" a="1"/>
  <c r="I149" i="3" a="1"/>
  <c r="J152" i="3" a="1"/>
  <c r="S138" i="3" a="1"/>
  <c r="R138" i="3" a="1"/>
  <c r="Q138" i="3" a="1"/>
  <c r="P138" i="3" a="1"/>
  <c r="O138" i="3" a="1"/>
  <c r="N138" i="3" a="1"/>
  <c r="M138" i="3" a="1"/>
  <c r="L138" i="3" a="1"/>
  <c r="K138" i="3" a="1"/>
  <c r="J138" i="3" a="1"/>
  <c r="I138" i="3" a="1"/>
  <c r="H138" i="3" a="1"/>
  <c r="G138" i="3" a="1"/>
  <c r="F138" i="3" a="1"/>
  <c r="F120" i="3" a="1"/>
  <c r="J120" i="3" a="1"/>
  <c r="N120" i="3" a="1"/>
  <c r="R120" i="3" a="1"/>
  <c r="H121" i="3" a="1"/>
  <c r="L121" i="3" a="1"/>
  <c r="P121" i="3" a="1"/>
  <c r="F122" i="3" a="1"/>
  <c r="J122" i="3" a="1"/>
  <c r="N122" i="3" a="1"/>
  <c r="R122" i="3" a="1"/>
  <c r="H123" i="3" a="1"/>
  <c r="L123" i="3" a="1"/>
  <c r="P123" i="3" a="1"/>
  <c r="F124" i="3" a="1"/>
  <c r="J124" i="3" a="1"/>
  <c r="N124" i="3" a="1"/>
  <c r="R124" i="3" a="1"/>
  <c r="H125" i="3" a="1"/>
  <c r="L125" i="3" a="1"/>
  <c r="P125" i="3" a="1"/>
  <c r="F126" i="3" a="1"/>
  <c r="J126" i="3" a="1"/>
  <c r="N126" i="3" a="1"/>
  <c r="R126" i="3" a="1"/>
  <c r="H127" i="3" a="1"/>
  <c r="L127" i="3" a="1"/>
  <c r="P127" i="3" a="1"/>
  <c r="F128" i="3" a="1"/>
  <c r="J128" i="3" a="1"/>
  <c r="N128" i="3" a="1"/>
  <c r="R128" i="3" a="1"/>
  <c r="H129" i="3" a="1"/>
  <c r="L129" i="3" a="1"/>
  <c r="P129" i="3" a="1"/>
  <c r="F130" i="3" a="1"/>
  <c r="J130" i="3" a="1"/>
  <c r="N130" i="3" a="1"/>
  <c r="R130" i="3" a="1"/>
  <c r="H131" i="3" a="1"/>
  <c r="L131" i="3" a="1"/>
  <c r="P131" i="3" a="1"/>
  <c r="F132" i="3" a="1"/>
  <c r="J132" i="3" a="1"/>
  <c r="N132" i="3" a="1"/>
  <c r="R132" i="3" a="1"/>
  <c r="H133" i="3" a="1"/>
  <c r="L133" i="3" a="1"/>
  <c r="P133" i="3" a="1"/>
  <c r="F134" i="3" a="1"/>
  <c r="J134" i="3" a="1"/>
  <c r="N134" i="3" a="1"/>
  <c r="R134" i="3" a="1"/>
  <c r="H135" i="3" a="1"/>
  <c r="L135" i="3" a="1"/>
  <c r="P135" i="3" a="1"/>
  <c r="G120" i="3" a="1"/>
  <c r="K120" i="3" a="1"/>
  <c r="O120" i="3" a="1"/>
  <c r="S120" i="3" a="1"/>
  <c r="I121" i="3" a="1"/>
  <c r="M121" i="3" a="1"/>
  <c r="Q121" i="3" a="1"/>
  <c r="G122" i="3" a="1"/>
  <c r="K122" i="3" a="1"/>
  <c r="O122" i="3" a="1"/>
  <c r="S122" i="3" a="1"/>
  <c r="I123" i="3" a="1"/>
  <c r="M123" i="3" a="1"/>
  <c r="Q123" i="3" a="1"/>
  <c r="G124" i="3" a="1"/>
  <c r="K124" i="3" a="1"/>
  <c r="O124" i="3" a="1"/>
  <c r="S124" i="3" a="1"/>
  <c r="I125" i="3" a="1"/>
  <c r="M125" i="3" a="1"/>
  <c r="Q125" i="3" a="1"/>
  <c r="G126" i="3" a="1"/>
  <c r="K126" i="3" a="1"/>
  <c r="O126" i="3" a="1"/>
  <c r="S126" i="3" a="1"/>
  <c r="I127" i="3" a="1"/>
  <c r="M127" i="3" a="1"/>
  <c r="Q127" i="3" a="1"/>
  <c r="G128" i="3" a="1"/>
  <c r="K128" i="3" a="1"/>
  <c r="O128" i="3" a="1"/>
  <c r="S128" i="3" a="1"/>
  <c r="I129" i="3" a="1"/>
  <c r="M129" i="3" a="1"/>
  <c r="Q129" i="3" a="1"/>
  <c r="G130" i="3" a="1"/>
  <c r="K130" i="3" a="1"/>
  <c r="O130" i="3" a="1"/>
  <c r="S130" i="3" a="1"/>
  <c r="I131" i="3" a="1"/>
  <c r="M131" i="3" a="1"/>
  <c r="Q131" i="3" a="1"/>
  <c r="G132" i="3" a="1"/>
  <c r="K132" i="3" a="1"/>
  <c r="O132" i="3" a="1"/>
  <c r="S132" i="3" a="1"/>
  <c r="I133" i="3" a="1"/>
  <c r="M133" i="3" a="1"/>
  <c r="Q133" i="3" a="1"/>
  <c r="G134" i="3" a="1"/>
  <c r="K134" i="3" a="1"/>
  <c r="O134" i="3" a="1"/>
  <c r="S134" i="3" a="1"/>
  <c r="I135" i="3" a="1"/>
  <c r="M135" i="3" a="1"/>
  <c r="Q135" i="3" a="1"/>
  <c r="H120" i="3" a="1"/>
  <c r="P120" i="3" a="1"/>
  <c r="J121" i="3" a="1"/>
  <c r="R121" i="3" a="1"/>
  <c r="L122" i="3" a="1"/>
  <c r="F123" i="3" a="1"/>
  <c r="N123" i="3" a="1"/>
  <c r="H124" i="3" a="1"/>
  <c r="P124" i="3" a="1"/>
  <c r="J125" i="3" a="1"/>
  <c r="R125" i="3" a="1"/>
  <c r="L126" i="3" a="1"/>
  <c r="F127" i="3" a="1"/>
  <c r="N127" i="3" a="1"/>
  <c r="H128" i="3" a="1"/>
  <c r="P128" i="3" a="1"/>
  <c r="J129" i="3" a="1"/>
  <c r="R129" i="3" a="1"/>
  <c r="L130" i="3" a="1"/>
  <c r="F131" i="3" a="1"/>
  <c r="N131" i="3" a="1"/>
  <c r="H132" i="3" a="1"/>
  <c r="P132" i="3" a="1"/>
  <c r="J133" i="3" a="1"/>
  <c r="H134" i="3" a="1"/>
  <c r="M134" i="3" a="1"/>
  <c r="J135" i="3" a="1"/>
  <c r="O135" i="3" a="1"/>
  <c r="I120" i="3" a="1"/>
  <c r="Q120" i="3" a="1"/>
  <c r="K121" i="3" a="1"/>
  <c r="S121" i="3" a="1"/>
  <c r="M122" i="3" a="1"/>
  <c r="G123" i="3" a="1"/>
  <c r="O123" i="3" a="1"/>
  <c r="I124" i="3" a="1"/>
  <c r="Q124" i="3" a="1"/>
  <c r="K125" i="3" a="1"/>
  <c r="S125" i="3" a="1"/>
  <c r="M126" i="3" a="1"/>
  <c r="G127" i="3" a="1"/>
  <c r="O127" i="3" a="1"/>
  <c r="I128" i="3" a="1"/>
  <c r="Q128" i="3" a="1"/>
  <c r="K129" i="3" a="1"/>
  <c r="S129" i="3" a="1"/>
  <c r="M130" i="3" a="1"/>
  <c r="G131" i="3" a="1"/>
  <c r="O131" i="3" a="1"/>
  <c r="I132" i="3" a="1"/>
  <c r="Q132" i="3" a="1"/>
  <c r="K133" i="3" a="1"/>
  <c r="R133" i="3" a="1"/>
  <c r="I134" i="3" a="1"/>
  <c r="F135" i="3" a="1"/>
  <c r="K135" i="3" a="1"/>
  <c r="L120" i="3" a="1"/>
  <c r="F121" i="3" a="1"/>
  <c r="N121" i="3" a="1"/>
  <c r="P122" i="3" a="1"/>
  <c r="J123" i="3" a="1"/>
  <c r="R123" i="3" a="1"/>
  <c r="F125" i="3" a="1"/>
  <c r="H126" i="3" a="1"/>
  <c r="J127" i="3" a="1"/>
  <c r="L128" i="3" a="1"/>
  <c r="N129" i="3" a="1"/>
  <c r="P130" i="3" a="1"/>
  <c r="R131" i="3" a="1"/>
  <c r="F133" i="3" a="1"/>
  <c r="S133" i="3" a="1"/>
  <c r="P134" i="3" a="1"/>
  <c r="I122" i="3" a="1"/>
  <c r="G121" i="3" a="1"/>
  <c r="S123" i="3" a="1"/>
  <c r="G125" i="3" a="1"/>
  <c r="I126" i="3" a="1"/>
  <c r="K127" i="3" a="1"/>
  <c r="M128" i="3" a="1"/>
  <c r="O129" i="3" a="1"/>
  <c r="Q130" i="3" a="1"/>
  <c r="S131" i="3" a="1"/>
  <c r="G133" i="3" a="1"/>
  <c r="Q134" i="3" a="1"/>
  <c r="N135" i="3" a="1"/>
  <c r="Q122" i="3" a="1"/>
  <c r="L124" i="3" a="1"/>
  <c r="N125" i="3" a="1"/>
  <c r="P126" i="3" a="1"/>
  <c r="R127" i="3" a="1"/>
  <c r="F129" i="3" a="1"/>
  <c r="H130" i="3" a="1"/>
  <c r="J131" i="3" a="1"/>
  <c r="L132" i="3" a="1"/>
  <c r="N133" i="3" a="1"/>
  <c r="G135" i="3" a="1"/>
  <c r="R135" i="3" a="1"/>
  <c r="O121" i="3" a="1"/>
  <c r="M124" i="3" a="1"/>
  <c r="O125" i="3" a="1"/>
  <c r="Q126" i="3" a="1"/>
  <c r="S127" i="3" a="1"/>
  <c r="G129" i="3" a="1"/>
  <c r="I130" i="3" a="1"/>
  <c r="K131" i="3" a="1"/>
  <c r="M132" i="3" a="1"/>
  <c r="O133" i="3" a="1"/>
  <c r="L134" i="3" a="1"/>
  <c r="S135" i="3" a="1"/>
  <c r="M120" i="3" a="1"/>
  <c r="H122" i="3" a="1"/>
  <c r="K123" i="3" a="1"/>
  <c r="S119" i="3" a="1"/>
  <c r="R119" i="3" a="1"/>
  <c r="Q119" i="3" a="1"/>
  <c r="P119" i="3" a="1"/>
  <c r="O119" i="3" a="1"/>
  <c r="N119" i="3" a="1"/>
  <c r="M119" i="3" a="1"/>
  <c r="L119" i="3" a="1"/>
  <c r="K119" i="3" a="1"/>
  <c r="J119" i="3" a="1"/>
  <c r="I119" i="3" a="1"/>
  <c r="H119" i="3" a="1"/>
  <c r="G119" i="3" a="1"/>
  <c r="F119" i="3" a="1"/>
  <c r="F100" i="3" a="1"/>
  <c r="J100" i="3" a="1"/>
  <c r="N100" i="3" a="1"/>
  <c r="R100" i="3" a="1"/>
  <c r="H101" i="3" a="1"/>
  <c r="L101" i="3" a="1"/>
  <c r="P101" i="3" a="1"/>
  <c r="F102" i="3" a="1"/>
  <c r="J102" i="3" a="1"/>
  <c r="G100" i="3" a="1"/>
  <c r="K100" i="3" a="1"/>
  <c r="O100" i="3" a="1"/>
  <c r="S100" i="3" a="1"/>
  <c r="I101" i="3" a="1"/>
  <c r="M101" i="3" a="1"/>
  <c r="Q101" i="3" a="1"/>
  <c r="G102" i="3" a="1"/>
  <c r="K102" i="3" a="1"/>
  <c r="O102" i="3" a="1"/>
  <c r="S102" i="3" a="1"/>
  <c r="I103" i="3" a="1"/>
  <c r="M103" i="3" a="1"/>
  <c r="Q103" i="3" a="1"/>
  <c r="G104" i="3" a="1"/>
  <c r="K104" i="3" a="1"/>
  <c r="O104" i="3" a="1"/>
  <c r="S104" i="3" a="1"/>
  <c r="I105" i="3" a="1"/>
  <c r="M105" i="3" a="1"/>
  <c r="Q105" i="3" a="1"/>
  <c r="G106" i="3" a="1"/>
  <c r="K106" i="3" a="1"/>
  <c r="O106" i="3" a="1"/>
  <c r="S106" i="3" a="1"/>
  <c r="I107" i="3" a="1"/>
  <c r="M107" i="3" a="1"/>
  <c r="Q107" i="3" a="1"/>
  <c r="G108" i="3" a="1"/>
  <c r="K108" i="3" a="1"/>
  <c r="O108" i="3" a="1"/>
  <c r="S108" i="3" a="1"/>
  <c r="I109" i="3" a="1"/>
  <c r="M109" i="3" a="1"/>
  <c r="Q109" i="3" a="1"/>
  <c r="G110" i="3" a="1"/>
  <c r="K110" i="3" a="1"/>
  <c r="O110" i="3" a="1"/>
  <c r="S110" i="3" a="1"/>
  <c r="I111" i="3" a="1"/>
  <c r="M111" i="3" a="1"/>
  <c r="Q111" i="3" a="1"/>
  <c r="G112" i="3" a="1"/>
  <c r="K112" i="3" a="1"/>
  <c r="O112" i="3" a="1"/>
  <c r="S112" i="3" a="1"/>
  <c r="I113" i="3" a="1"/>
  <c r="M113" i="3" a="1"/>
  <c r="Q113" i="3" a="1"/>
  <c r="G114" i="3" a="1"/>
  <c r="K114" i="3" a="1"/>
  <c r="O114" i="3" a="1"/>
  <c r="S114" i="3" a="1"/>
  <c r="I115" i="3" a="1"/>
  <c r="M115" i="3" a="1"/>
  <c r="Q115" i="3" a="1"/>
  <c r="L100" i="3" a="1"/>
  <c r="H100" i="3" a="1"/>
  <c r="R102" i="3" a="1"/>
  <c r="K103" i="3" a="1"/>
  <c r="R103" i="3" a="1"/>
  <c r="H105" i="3" a="1"/>
  <c r="O105" i="3" a="1"/>
  <c r="H106" i="3" a="1"/>
  <c r="L107" i="3" a="1"/>
  <c r="S107" i="3" a="1"/>
  <c r="L108" i="3" a="1"/>
  <c r="P109" i="3" a="1"/>
  <c r="I110" i="3" a="1"/>
  <c r="P110" i="3" a="1"/>
  <c r="F112" i="3" a="1"/>
  <c r="M112" i="3" a="1"/>
  <c r="F113" i="3" a="1"/>
  <c r="J114" i="3" a="1"/>
  <c r="Q114" i="3" a="1"/>
  <c r="J115" i="3" a="1"/>
  <c r="L103" i="3" a="1"/>
  <c r="S103" i="3" a="1"/>
  <c r="I106" i="3" a="1"/>
  <c r="F108" i="3" a="1"/>
  <c r="F109" i="3" a="1"/>
  <c r="Q110" i="3" a="1"/>
  <c r="G113" i="3" a="1"/>
  <c r="K115" i="3" a="1"/>
  <c r="R115" i="3" a="1"/>
  <c r="F101" i="3" a="1"/>
  <c r="N102" i="3" a="1"/>
  <c r="N103" i="3" a="1"/>
  <c r="R105" i="3" a="1"/>
  <c r="O107" i="3" a="1"/>
  <c r="S109" i="3" a="1"/>
  <c r="P111" i="3" a="1"/>
  <c r="P112" i="3" a="1"/>
  <c r="F115" i="3" a="1"/>
  <c r="P102" i="3" a="1"/>
  <c r="M104" i="3" a="1"/>
  <c r="F105" i="3" a="1"/>
  <c r="J106" i="3" a="1"/>
  <c r="J107" i="3" a="1"/>
  <c r="N108" i="3" a="1"/>
  <c r="R110" i="3" a="1"/>
  <c r="R111" i="3" a="1"/>
  <c r="O113" i="3" a="1"/>
  <c r="L115" i="3" a="1"/>
  <c r="M100" i="3" a="1"/>
  <c r="O101" i="3" a="1"/>
  <c r="I102" i="3" a="1"/>
  <c r="H104" i="3" a="1"/>
  <c r="S105" i="3" a="1"/>
  <c r="P107" i="3" a="1"/>
  <c r="P108" i="3" a="1"/>
  <c r="F110" i="3" a="1"/>
  <c r="F111" i="3" a="1"/>
  <c r="Q112" i="3" a="1"/>
  <c r="N114" i="3" a="1"/>
  <c r="Q100" i="3" a="1"/>
  <c r="K101" i="3" a="1"/>
  <c r="S101" i="3" a="1"/>
  <c r="M102" i="3" a="1"/>
  <c r="F103" i="3" a="1"/>
  <c r="J104" i="3" a="1"/>
  <c r="Q104" i="3" a="1"/>
  <c r="J105" i="3" a="1"/>
  <c r="N106" i="3" a="1"/>
  <c r="G107" i="3" a="1"/>
  <c r="N107" i="3" a="1"/>
  <c r="R108" i="3" a="1"/>
  <c r="K109" i="3" a="1"/>
  <c r="R109" i="3" a="1"/>
  <c r="H111" i="3" a="1"/>
  <c r="O111" i="3" a="1"/>
  <c r="H112" i="3" a="1"/>
  <c r="L113" i="3" a="1"/>
  <c r="S113" i="3" a="1"/>
  <c r="L114" i="3" a="1"/>
  <c r="P115" i="3" a="1"/>
  <c r="I100" i="3" a="1"/>
  <c r="L104" i="3" a="1"/>
  <c r="P105" i="3" a="1"/>
  <c r="P106" i="3" a="1"/>
  <c r="M108" i="3" a="1"/>
  <c r="J110" i="3" a="1"/>
  <c r="J111" i="3" a="1"/>
  <c r="N112" i="3" a="1"/>
  <c r="N113" i="3" a="1"/>
  <c r="R114" i="3" a="1"/>
  <c r="N101" i="3" a="1"/>
  <c r="H102" i="3" a="1"/>
  <c r="G103" i="3" a="1"/>
  <c r="R104" i="3" a="1"/>
  <c r="K105" i="3" a="1"/>
  <c r="H107" i="3" a="1"/>
  <c r="H108" i="3" a="1"/>
  <c r="L109" i="3" a="1"/>
  <c r="L110" i="3" a="1"/>
  <c r="I112" i="3" a="1"/>
  <c r="F114" i="3" a="1"/>
  <c r="M114" i="3" a="1"/>
  <c r="F104" i="3" a="1"/>
  <c r="Q106" i="3" a="1"/>
  <c r="G109" i="3" a="1"/>
  <c r="N109" i="3" a="1"/>
  <c r="K111" i="3" a="1"/>
  <c r="H113" i="3" a="1"/>
  <c r="H114" i="3" a="1"/>
  <c r="S115" i="3" a="1"/>
  <c r="G101" i="3" a="1"/>
  <c r="H103" i="3" a="1"/>
  <c r="O103" i="3" a="1"/>
  <c r="L105" i="3" a="1"/>
  <c r="L106" i="3" a="1"/>
  <c r="I108" i="3" a="1"/>
  <c r="M110" i="3" a="1"/>
  <c r="J112" i="3" a="1"/>
  <c r="J113" i="3" a="1"/>
  <c r="G115" i="3" a="1"/>
  <c r="N115" i="3" a="1"/>
  <c r="P100" i="3" a="1"/>
  <c r="P104" i="3" a="1"/>
  <c r="M106" i="3" a="1"/>
  <c r="J108" i="3" a="1"/>
  <c r="R113" i="3" a="1"/>
  <c r="O115" i="3" a="1"/>
  <c r="P114" i="3" a="1"/>
  <c r="J103" i="3" a="1"/>
  <c r="G105" i="3" a="1"/>
  <c r="R106" i="3" a="1"/>
  <c r="L112" i="3" a="1"/>
  <c r="I114" i="3" a="1"/>
  <c r="F107" i="3" a="1"/>
  <c r="Q108" i="3" a="1"/>
  <c r="N110" i="3" a="1"/>
  <c r="K107" i="3" a="1"/>
  <c r="H109" i="3" a="1"/>
  <c r="P103" i="3" a="1"/>
  <c r="J109" i="3" a="1"/>
  <c r="R112" i="3" a="1"/>
  <c r="O109" i="3" a="1"/>
  <c r="L102" i="3" a="1"/>
  <c r="N111" i="3" a="1"/>
  <c r="H115" i="3" a="1"/>
  <c r="N104" i="3" a="1"/>
  <c r="S111" i="3" a="1"/>
  <c r="J101" i="3" a="1"/>
  <c r="N105" i="3" a="1"/>
  <c r="R101" i="3" a="1"/>
  <c r="G111" i="3" a="1"/>
  <c r="R107" i="3" a="1"/>
  <c r="L111" i="3" a="1"/>
  <c r="I104" i="3" a="1"/>
  <c r="F106" i="3" a="1"/>
  <c r="K113" i="3" a="1"/>
  <c r="Q102" i="3" a="1"/>
  <c r="H110" i="3" a="1"/>
  <c r="P113" i="3" a="1"/>
  <c r="S99" i="3" a="1"/>
  <c r="R99" i="3" a="1"/>
  <c r="Q99" i="3" a="1"/>
  <c r="P99" i="3" a="1"/>
  <c r="O99" i="3" a="1"/>
  <c r="N99" i="3" a="1"/>
  <c r="M99" i="3" a="1"/>
  <c r="L99" i="3" a="1"/>
  <c r="K99" i="3" a="1"/>
  <c r="J99" i="3" a="1"/>
  <c r="I99" i="3" a="1"/>
  <c r="H99" i="3" a="1"/>
  <c r="G99" i="3" a="1"/>
  <c r="F99" i="3" a="1"/>
  <c r="F81" i="3" a="1"/>
  <c r="J81" i="3" a="1"/>
  <c r="N81" i="3" a="1"/>
  <c r="R81" i="3" a="1"/>
  <c r="H82" i="3" a="1"/>
  <c r="L82" i="3" a="1"/>
  <c r="P82" i="3" a="1"/>
  <c r="F83" i="3" a="1"/>
  <c r="J83" i="3" a="1"/>
  <c r="N83" i="3" a="1"/>
  <c r="R83" i="3" a="1"/>
  <c r="H84" i="3" a="1"/>
  <c r="L84" i="3" a="1"/>
  <c r="P84" i="3" a="1"/>
  <c r="F85" i="3" a="1"/>
  <c r="J85" i="3" a="1"/>
  <c r="N85" i="3" a="1"/>
  <c r="R85" i="3" a="1"/>
  <c r="H86" i="3" a="1"/>
  <c r="L86" i="3" a="1"/>
  <c r="P86" i="3" a="1"/>
  <c r="F87" i="3" a="1"/>
  <c r="J87" i="3" a="1"/>
  <c r="N87" i="3" a="1"/>
  <c r="R87" i="3" a="1"/>
  <c r="H88" i="3" a="1"/>
  <c r="L88" i="3" a="1"/>
  <c r="P88" i="3" a="1"/>
  <c r="F89" i="3" a="1"/>
  <c r="J89" i="3" a="1"/>
  <c r="N89" i="3" a="1"/>
  <c r="R89" i="3" a="1"/>
  <c r="H90" i="3" a="1"/>
  <c r="L90" i="3" a="1"/>
  <c r="P90" i="3" a="1"/>
  <c r="F91" i="3" a="1"/>
  <c r="J91" i="3" a="1"/>
  <c r="N91" i="3" a="1"/>
  <c r="R91" i="3" a="1"/>
  <c r="H92" i="3" a="1"/>
  <c r="L92" i="3" a="1"/>
  <c r="P92" i="3" a="1"/>
  <c r="F93" i="3" a="1"/>
  <c r="J93" i="3" a="1"/>
  <c r="N93" i="3" a="1"/>
  <c r="R93" i="3" a="1"/>
  <c r="H94" i="3" a="1"/>
  <c r="L94" i="3" a="1"/>
  <c r="P94" i="3" a="1"/>
  <c r="F95" i="3" a="1"/>
  <c r="J95" i="3" a="1"/>
  <c r="N95" i="3" a="1"/>
  <c r="R95" i="3" a="1"/>
  <c r="H96" i="3" a="1"/>
  <c r="L96" i="3" a="1"/>
  <c r="P96" i="3" a="1"/>
  <c r="G81" i="3" a="1"/>
  <c r="K81" i="3" a="1"/>
  <c r="O81" i="3" a="1"/>
  <c r="S81" i="3" a="1"/>
  <c r="I82" i="3" a="1"/>
  <c r="M82" i="3" a="1"/>
  <c r="Q82" i="3" a="1"/>
  <c r="G83" i="3" a="1"/>
  <c r="K83" i="3" a="1"/>
  <c r="O83" i="3" a="1"/>
  <c r="S83" i="3" a="1"/>
  <c r="I84" i="3" a="1"/>
  <c r="M84" i="3" a="1"/>
  <c r="Q84" i="3" a="1"/>
  <c r="G85" i="3" a="1"/>
  <c r="K85" i="3" a="1"/>
  <c r="O85" i="3" a="1"/>
  <c r="S85" i="3" a="1"/>
  <c r="I86" i="3" a="1"/>
  <c r="M86" i="3" a="1"/>
  <c r="Q86" i="3" a="1"/>
  <c r="G87" i="3" a="1"/>
  <c r="K87" i="3" a="1"/>
  <c r="O87" i="3" a="1"/>
  <c r="S87" i="3" a="1"/>
  <c r="I88" i="3" a="1"/>
  <c r="M88" i="3" a="1"/>
  <c r="Q88" i="3" a="1"/>
  <c r="G89" i="3" a="1"/>
  <c r="K89" i="3" a="1"/>
  <c r="O89" i="3" a="1"/>
  <c r="S89" i="3" a="1"/>
  <c r="I90" i="3" a="1"/>
  <c r="M90" i="3" a="1"/>
  <c r="Q90" i="3" a="1"/>
  <c r="G91" i="3" a="1"/>
  <c r="K91" i="3" a="1"/>
  <c r="O91" i="3" a="1"/>
  <c r="S91" i="3" a="1"/>
  <c r="I92" i="3" a="1"/>
  <c r="M92" i="3" a="1"/>
  <c r="Q92" i="3" a="1"/>
  <c r="G93" i="3" a="1"/>
  <c r="K93" i="3" a="1"/>
  <c r="O93" i="3" a="1"/>
  <c r="S93" i="3" a="1"/>
  <c r="I94" i="3" a="1"/>
  <c r="M94" i="3" a="1"/>
  <c r="Q94" i="3" a="1"/>
  <c r="G95" i="3" a="1"/>
  <c r="K95" i="3" a="1"/>
  <c r="O95" i="3" a="1"/>
  <c r="S95" i="3" a="1"/>
  <c r="I96" i="3" a="1"/>
  <c r="M96" i="3" a="1"/>
  <c r="Q96" i="3" a="1"/>
  <c r="H81" i="3" a="1"/>
  <c r="P81" i="3" a="1"/>
  <c r="J82" i="3" a="1"/>
  <c r="R82" i="3" a="1"/>
  <c r="L83" i="3" a="1"/>
  <c r="F84" i="3" a="1"/>
  <c r="N84" i="3" a="1"/>
  <c r="H85" i="3" a="1"/>
  <c r="P85" i="3" a="1"/>
  <c r="J86" i="3" a="1"/>
  <c r="R86" i="3" a="1"/>
  <c r="L87" i="3" a="1"/>
  <c r="F88" i="3" a="1"/>
  <c r="N88" i="3" a="1"/>
  <c r="H89" i="3" a="1"/>
  <c r="P89" i="3" a="1"/>
  <c r="J90" i="3" a="1"/>
  <c r="R90" i="3" a="1"/>
  <c r="L91" i="3" a="1"/>
  <c r="F92" i="3" a="1"/>
  <c r="N92" i="3" a="1"/>
  <c r="H93" i="3" a="1"/>
  <c r="P93" i="3" a="1"/>
  <c r="J94" i="3" a="1"/>
  <c r="H95" i="3" a="1"/>
  <c r="M95" i="3" a="1"/>
  <c r="J96" i="3" a="1"/>
  <c r="O96" i="3" a="1"/>
  <c r="Q93" i="3" a="1"/>
  <c r="R94" i="3" a="1"/>
  <c r="F96" i="3" a="1"/>
  <c r="F82" i="3" a="1"/>
  <c r="H83" i="3" a="1"/>
  <c r="J84" i="3" a="1"/>
  <c r="L85" i="3" a="1"/>
  <c r="N86" i="3" a="1"/>
  <c r="P87" i="3" a="1"/>
  <c r="L89" i="3" a="1"/>
  <c r="N90" i="3" a="1"/>
  <c r="P91" i="3" a="1"/>
  <c r="L93" i="3" a="1"/>
  <c r="N94" i="3" a="1"/>
  <c r="G96" i="3" a="1"/>
  <c r="R96" i="3" a="1"/>
  <c r="I81" i="3" a="1"/>
  <c r="Q81" i="3" a="1"/>
  <c r="K82" i="3" a="1"/>
  <c r="S82" i="3" a="1"/>
  <c r="M83" i="3" a="1"/>
  <c r="G84" i="3" a="1"/>
  <c r="O84" i="3" a="1"/>
  <c r="I85" i="3" a="1"/>
  <c r="Q85" i="3" a="1"/>
  <c r="K86" i="3" a="1"/>
  <c r="S86" i="3" a="1"/>
  <c r="M87" i="3" a="1"/>
  <c r="G88" i="3" a="1"/>
  <c r="O88" i="3" a="1"/>
  <c r="I89" i="3" a="1"/>
  <c r="Q89" i="3" a="1"/>
  <c r="K90" i="3" a="1"/>
  <c r="S90" i="3" a="1"/>
  <c r="M91" i="3" a="1"/>
  <c r="G92" i="3" a="1"/>
  <c r="O92" i="3" a="1"/>
  <c r="I93" i="3" a="1"/>
  <c r="K94" i="3" a="1"/>
  <c r="I95" i="3" a="1"/>
  <c r="K96" i="3" a="1"/>
  <c r="L81" i="3" a="1"/>
  <c r="N82" i="3" a="1"/>
  <c r="P83" i="3" a="1"/>
  <c r="R84" i="3" a="1"/>
  <c r="F86" i="3" a="1"/>
  <c r="H87" i="3" a="1"/>
  <c r="J88" i="3" a="1"/>
  <c r="R88" i="3" a="1"/>
  <c r="F90" i="3" a="1"/>
  <c r="H91" i="3" a="1"/>
  <c r="J92" i="3" a="1"/>
  <c r="R92" i="3" a="1"/>
  <c r="F94" i="3" a="1"/>
  <c r="S94" i="3" a="1"/>
  <c r="P95" i="3" a="1"/>
  <c r="M81" i="3" a="1"/>
  <c r="Q83" i="3" a="1"/>
  <c r="S88" i="3" a="1"/>
  <c r="M93" i="3" a="1"/>
  <c r="S96" i="3" a="1"/>
  <c r="G82" i="3" a="1"/>
  <c r="K92" i="3" a="1"/>
  <c r="M89" i="3" a="1"/>
  <c r="O82" i="3" a="1"/>
  <c r="O86" i="3" a="1"/>
  <c r="I91" i="3" a="1"/>
  <c r="K88" i="3" a="1"/>
  <c r="S92" i="3" a="1"/>
  <c r="I83" i="3" a="1"/>
  <c r="G90" i="3" a="1"/>
  <c r="I87" i="3" a="1"/>
  <c r="Q95" i="3" a="1"/>
  <c r="G86" i="3" a="1"/>
  <c r="O90" i="3" a="1"/>
  <c r="K84" i="3" a="1"/>
  <c r="Q87" i="3" a="1"/>
  <c r="G94" i="3" a="1"/>
  <c r="S84" i="3" a="1"/>
  <c r="L95" i="3" a="1"/>
  <c r="N96" i="3" a="1"/>
  <c r="M85" i="3" a="1"/>
  <c r="O94" i="3" a="1"/>
  <c r="Q91" i="3" a="1"/>
  <c r="S80" i="3" a="1"/>
  <c r="R80" i="3" a="1"/>
  <c r="Q80" i="3" a="1"/>
  <c r="P80" i="3" a="1"/>
  <c r="O80" i="3" a="1"/>
  <c r="N80" i="3" a="1"/>
  <c r="M80" i="3" a="1"/>
  <c r="L80" i="3" a="1"/>
  <c r="K80" i="3" a="1"/>
  <c r="J80" i="3" a="1"/>
  <c r="H80" i="3" a="1"/>
  <c r="I80" i="3" a="1"/>
  <c r="G80" i="3" a="1"/>
  <c r="F80" i="3" a="1"/>
  <c r="F62" i="3" a="1"/>
  <c r="J62" i="3" a="1"/>
  <c r="N62" i="3" a="1"/>
  <c r="R62" i="3" a="1"/>
  <c r="H63" i="3" a="1"/>
  <c r="L63" i="3" a="1"/>
  <c r="P63" i="3" a="1"/>
  <c r="F64" i="3" a="1"/>
  <c r="J64" i="3" a="1"/>
  <c r="N64" i="3" a="1"/>
  <c r="R64" i="3" a="1"/>
  <c r="H65" i="3" a="1"/>
  <c r="L65" i="3" a="1"/>
  <c r="P65" i="3" a="1"/>
  <c r="F66" i="3" a="1"/>
  <c r="J66" i="3" a="1"/>
  <c r="N66" i="3" a="1"/>
  <c r="R66" i="3" a="1"/>
  <c r="H67" i="3" a="1"/>
  <c r="L67" i="3" a="1"/>
  <c r="P67" i="3" a="1"/>
  <c r="F68" i="3" a="1"/>
  <c r="J68" i="3" a="1"/>
  <c r="N68" i="3" a="1"/>
  <c r="R68" i="3" a="1"/>
  <c r="H69" i="3" a="1"/>
  <c r="L69" i="3" a="1"/>
  <c r="P69" i="3" a="1"/>
  <c r="F70" i="3" a="1"/>
  <c r="J70" i="3" a="1"/>
  <c r="N70" i="3" a="1"/>
  <c r="R70" i="3" a="1"/>
  <c r="H71" i="3" a="1"/>
  <c r="L71" i="3" a="1"/>
  <c r="P71" i="3" a="1"/>
  <c r="F72" i="3" a="1"/>
  <c r="J72" i="3" a="1"/>
  <c r="N72" i="3" a="1"/>
  <c r="R72" i="3" a="1"/>
  <c r="H73" i="3" a="1"/>
  <c r="L73" i="3" a="1"/>
  <c r="P73" i="3" a="1"/>
  <c r="F74" i="3" a="1"/>
  <c r="J74" i="3" a="1"/>
  <c r="N74" i="3" a="1"/>
  <c r="R74" i="3" a="1"/>
  <c r="H75" i="3" a="1"/>
  <c r="L75" i="3" a="1"/>
  <c r="P75" i="3" a="1"/>
  <c r="F76" i="3" a="1"/>
  <c r="J76" i="3" a="1"/>
  <c r="N76" i="3" a="1"/>
  <c r="R76" i="3" a="1"/>
  <c r="H77" i="3" a="1"/>
  <c r="L77" i="3" a="1"/>
  <c r="P77" i="3" a="1"/>
  <c r="Q65" i="3" a="1"/>
  <c r="I67" i="3" a="1"/>
  <c r="Q67" i="3" a="1"/>
  <c r="K68" i="3" a="1"/>
  <c r="S68" i="3" a="1"/>
  <c r="M69" i="3" a="1"/>
  <c r="G70" i="3" a="1"/>
  <c r="K70" i="3" a="1"/>
  <c r="S70" i="3" a="1"/>
  <c r="M71" i="3" a="1"/>
  <c r="G72" i="3" a="1"/>
  <c r="O72" i="3" a="1"/>
  <c r="I73" i="3" a="1"/>
  <c r="M73" i="3" a="1"/>
  <c r="G74" i="3" a="1"/>
  <c r="O74" i="3" a="1"/>
  <c r="I75" i="3" a="1"/>
  <c r="Q75" i="3" a="1"/>
  <c r="K76" i="3" a="1"/>
  <c r="S76" i="3" a="1"/>
  <c r="M77" i="3" a="1"/>
  <c r="G62" i="3" a="1"/>
  <c r="K62" i="3" a="1"/>
  <c r="O62" i="3" a="1"/>
  <c r="S62" i="3" a="1"/>
  <c r="I63" i="3" a="1"/>
  <c r="M63" i="3" a="1"/>
  <c r="Q63" i="3" a="1"/>
  <c r="G64" i="3" a="1"/>
  <c r="K64" i="3" a="1"/>
  <c r="O64" i="3" a="1"/>
  <c r="S64" i="3" a="1"/>
  <c r="I65" i="3" a="1"/>
  <c r="M65" i="3" a="1"/>
  <c r="G66" i="3" a="1"/>
  <c r="K66" i="3" a="1"/>
  <c r="O66" i="3" a="1"/>
  <c r="S66" i="3" a="1"/>
  <c r="M67" i="3" a="1"/>
  <c r="G68" i="3" a="1"/>
  <c r="O68" i="3" a="1"/>
  <c r="I69" i="3" a="1"/>
  <c r="Q69" i="3" a="1"/>
  <c r="O70" i="3" a="1"/>
  <c r="I71" i="3" a="1"/>
  <c r="Q71" i="3" a="1"/>
  <c r="K72" i="3" a="1"/>
  <c r="S72" i="3" a="1"/>
  <c r="Q73" i="3" a="1"/>
  <c r="K74" i="3" a="1"/>
  <c r="S74" i="3" a="1"/>
  <c r="M75" i="3" a="1"/>
  <c r="G76" i="3" a="1"/>
  <c r="O76" i="3" a="1"/>
  <c r="I77" i="3" a="1"/>
  <c r="Q77" i="3" a="1"/>
  <c r="I64" i="3" a="1"/>
  <c r="P64" i="3" a="1"/>
  <c r="M66" i="3" a="1"/>
  <c r="F67" i="3" a="1"/>
  <c r="Q68" i="3" a="1"/>
  <c r="J69" i="3" a="1"/>
  <c r="G71" i="3" a="1"/>
  <c r="N71" i="3" a="1"/>
  <c r="K73" i="3" a="1"/>
  <c r="R73" i="3" a="1"/>
  <c r="O75" i="3" a="1"/>
  <c r="H76" i="3" a="1"/>
  <c r="S77" i="3" a="1"/>
  <c r="H62" i="3" a="1"/>
  <c r="P62" i="3" a="1"/>
  <c r="J63" i="3" a="1"/>
  <c r="R63" i="3" a="1"/>
  <c r="O65" i="3" a="1"/>
  <c r="H66" i="3" a="1"/>
  <c r="S67" i="3" a="1"/>
  <c r="L68" i="3" a="1"/>
  <c r="I70" i="3" a="1"/>
  <c r="P70" i="3" a="1"/>
  <c r="M72" i="3" a="1"/>
  <c r="F73" i="3" a="1"/>
  <c r="Q74" i="3" a="1"/>
  <c r="J75" i="3" a="1"/>
  <c r="G77" i="3" a="1"/>
  <c r="N77" i="3" a="1"/>
  <c r="Q64" i="3" a="1"/>
  <c r="J65" i="3" a="1"/>
  <c r="G67" i="3" a="1"/>
  <c r="N67" i="3" a="1"/>
  <c r="K69" i="3" a="1"/>
  <c r="R69" i="3" a="1"/>
  <c r="O71" i="3" a="1"/>
  <c r="H72" i="3" a="1"/>
  <c r="S73" i="3" a="1"/>
  <c r="L74" i="3" a="1"/>
  <c r="I62" i="3" a="1"/>
  <c r="I66" i="3" a="1"/>
  <c r="O67" i="3" a="1"/>
  <c r="G69" i="3" a="1"/>
  <c r="M70" i="3" a="1"/>
  <c r="S71" i="3" a="1"/>
  <c r="N73" i="3" a="1"/>
  <c r="F75" i="3" a="1"/>
  <c r="N75" i="3" a="1"/>
  <c r="I76" i="3" a="1"/>
  <c r="Q76" i="3" a="1"/>
  <c r="K77" i="3" a="1"/>
  <c r="G63" i="3" a="1"/>
  <c r="M68" i="3" a="1"/>
  <c r="S69" i="3" a="1"/>
  <c r="K71" i="3" a="1"/>
  <c r="Q72" i="3" a="1"/>
  <c r="I74" i="3" a="1"/>
  <c r="L62" i="3" a="1"/>
  <c r="K63" i="3" a="1"/>
  <c r="H64" i="3" a="1"/>
  <c r="N65" i="3" a="1"/>
  <c r="Q70" i="3" a="1"/>
  <c r="I72" i="3" a="1"/>
  <c r="O73" i="3" a="1"/>
  <c r="G75" i="3" a="1"/>
  <c r="F65" i="3" a="1"/>
  <c r="L66" i="3" a="1"/>
  <c r="R67" i="3" a="1"/>
  <c r="G73" i="3" a="1"/>
  <c r="M74" i="3" a="1"/>
  <c r="R75" i="3" a="1"/>
  <c r="L76" i="3" a="1"/>
  <c r="F77" i="3" a="1"/>
  <c r="O77" i="3" a="1"/>
  <c r="M62" i="3" a="1"/>
  <c r="N63" i="3" a="1"/>
  <c r="L64" i="3" a="1"/>
  <c r="R65" i="3" a="1"/>
  <c r="J67" i="3" a="1"/>
  <c r="P68" i="3" a="1"/>
  <c r="H70" i="3" a="1"/>
  <c r="Q62" i="3" a="1"/>
  <c r="G65" i="3" a="1"/>
  <c r="P66" i="3" a="1"/>
  <c r="H68" i="3" a="1"/>
  <c r="N69" i="3" a="1"/>
  <c r="F71" i="3" a="1"/>
  <c r="L72" i="3" a="1"/>
  <c r="K75" i="3" a="1"/>
  <c r="S75" i="3" a="1"/>
  <c r="M76" i="3" a="1"/>
  <c r="O63" i="3" a="1"/>
  <c r="M64" i="3" a="1"/>
  <c r="S65" i="3" a="1"/>
  <c r="K67" i="3" a="1"/>
  <c r="F69" i="3" a="1"/>
  <c r="L70" i="3" a="1"/>
  <c r="R71" i="3" a="1"/>
  <c r="J73" i="3" a="1"/>
  <c r="P74" i="3" a="1"/>
  <c r="P76" i="3" a="1"/>
  <c r="J77" i="3" a="1"/>
  <c r="R77" i="3" a="1"/>
  <c r="F63" i="3" a="1"/>
  <c r="S63" i="3" a="1"/>
  <c r="K65" i="3" a="1"/>
  <c r="Q66" i="3" a="1"/>
  <c r="I68" i="3" a="1"/>
  <c r="O69" i="3" a="1"/>
  <c r="J71" i="3" a="1"/>
  <c r="P72" i="3" a="1"/>
  <c r="H74" i="3" a="1"/>
  <c r="S61" i="3" a="1"/>
  <c r="R61" i="3" a="1"/>
  <c r="Q61" i="3" a="1"/>
  <c r="P61" i="3" a="1"/>
  <c r="O61" i="3" a="1"/>
  <c r="N61" i="3" a="1"/>
  <c r="M61" i="3" a="1"/>
  <c r="L61" i="3" a="1"/>
  <c r="K61" i="3" a="1"/>
  <c r="J61" i="3" a="1"/>
  <c r="I61" i="3" a="1"/>
  <c r="H61" i="3" a="1"/>
  <c r="G61" i="3" a="1"/>
  <c r="F61" i="3" a="1"/>
  <c r="R4" i="8" l="1"/>
  <c r="G8" i="8"/>
  <c r="K9" i="8"/>
  <c r="R10" i="8"/>
  <c r="S15" i="8"/>
  <c r="R17" i="8"/>
  <c r="F19" i="8"/>
  <c r="H26" i="8"/>
  <c r="R28" i="8"/>
  <c r="G30" i="8"/>
  <c r="H33" i="8"/>
  <c r="S35" i="8"/>
  <c r="N39" i="8"/>
  <c r="K44" i="8"/>
  <c r="Q49" i="8"/>
  <c r="J56" i="8"/>
  <c r="P72" i="8"/>
  <c r="Q3" i="8"/>
  <c r="H10" i="8"/>
  <c r="G12" i="8"/>
  <c r="O14" i="8"/>
  <c r="P16" i="8"/>
  <c r="K24" i="8"/>
  <c r="H28" i="8"/>
  <c r="M29" i="8"/>
  <c r="P30" i="8"/>
  <c r="P34" i="8"/>
  <c r="Q36" i="8"/>
  <c r="F38" i="8"/>
  <c r="M40" i="8"/>
  <c r="J46" i="8"/>
  <c r="R49" i="8"/>
  <c r="K55" i="8"/>
  <c r="I97" i="8"/>
  <c r="G5" i="8"/>
  <c r="O9" i="8"/>
  <c r="N11" i="8"/>
  <c r="L13" i="8"/>
  <c r="L15" i="8"/>
  <c r="I17" i="8"/>
  <c r="H25" i="8"/>
  <c r="L26" i="8"/>
  <c r="P27" i="8"/>
  <c r="L33" i="8"/>
  <c r="J35" i="8"/>
  <c r="N40" i="8"/>
  <c r="I48" i="8"/>
  <c r="H53" i="8"/>
  <c r="R56" i="8"/>
  <c r="S72" i="8"/>
  <c r="F92" i="8"/>
  <c r="L4" i="8"/>
  <c r="L6" i="8"/>
  <c r="S12" i="8"/>
  <c r="I16" i="8"/>
  <c r="Q25" i="8"/>
  <c r="F29" i="8"/>
  <c r="M31" i="8"/>
  <c r="Q32" i="8"/>
  <c r="G36" i="8"/>
  <c r="M44" i="8"/>
  <c r="L46" i="8"/>
  <c r="J48" i="8"/>
  <c r="J54" i="8"/>
  <c r="N58" i="8"/>
  <c r="H68" i="8"/>
  <c r="M84" i="8"/>
  <c r="J92" i="8"/>
  <c r="F4" i="8"/>
  <c r="S5" i="8"/>
  <c r="L8" i="8"/>
  <c r="I12" i="8"/>
  <c r="N15" i="8"/>
  <c r="M17" i="8"/>
  <c r="P18" i="8"/>
  <c r="I25" i="8"/>
  <c r="J30" i="8"/>
  <c r="N35" i="8"/>
  <c r="S36" i="8"/>
  <c r="K38" i="8"/>
  <c r="Q44" i="8"/>
  <c r="J51" i="8"/>
  <c r="F57" i="8"/>
  <c r="I66" i="8"/>
  <c r="K79" i="8"/>
  <c r="S98" i="8"/>
  <c r="N3" i="8"/>
  <c r="I5" i="8"/>
  <c r="H7" i="8"/>
  <c r="M10" i="8"/>
  <c r="Q11" i="8"/>
  <c r="J14" i="8"/>
  <c r="J16" i="8"/>
  <c r="L19" i="8"/>
  <c r="Q24" i="8"/>
  <c r="J29" i="8"/>
  <c r="F31" i="8"/>
  <c r="Q31" i="8"/>
  <c r="O33" i="8"/>
  <c r="J36" i="8"/>
  <c r="S44" i="8"/>
  <c r="R46" i="8"/>
  <c r="K48" i="8"/>
  <c r="K50" i="8"/>
  <c r="Q66" i="8"/>
  <c r="M79" i="8"/>
  <c r="G4" i="8"/>
  <c r="I11" i="8"/>
  <c r="G13" i="8"/>
  <c r="R15" i="8"/>
  <c r="N17" i="8"/>
  <c r="Q18" i="8"/>
  <c r="R24" i="8"/>
  <c r="K27" i="8"/>
  <c r="O28" i="8"/>
  <c r="S29" i="8"/>
  <c r="G33" i="8"/>
  <c r="K34" i="8"/>
  <c r="L38" i="8"/>
  <c r="L51" i="8"/>
  <c r="N52" i="8"/>
  <c r="P53" i="8"/>
  <c r="G56" i="8"/>
  <c r="N57" i="8"/>
  <c r="L60" i="8"/>
  <c r="S64" i="8"/>
  <c r="S66" i="8"/>
  <c r="G71" i="8"/>
  <c r="O79" i="8"/>
  <c r="N85" i="8"/>
  <c r="N88" i="8"/>
  <c r="O90" i="8"/>
  <c r="K99" i="8"/>
  <c r="I3" i="8"/>
  <c r="I6" i="8"/>
  <c r="Q8" i="8"/>
  <c r="G10" i="8"/>
  <c r="K13" i="8"/>
  <c r="O16" i="8"/>
  <c r="K18" i="8"/>
  <c r="S24" i="8"/>
  <c r="R26" i="8"/>
  <c r="O30" i="8"/>
  <c r="O34" i="8"/>
  <c r="M36" i="8"/>
  <c r="K40" i="8"/>
  <c r="Q50" i="8"/>
  <c r="K59" i="8"/>
  <c r="I69" i="8"/>
  <c r="L91" i="8"/>
  <c r="K4" i="8"/>
  <c r="R6" i="8"/>
  <c r="R8" i="8"/>
  <c r="L11" i="8"/>
  <c r="K15" i="8"/>
  <c r="O25" i="8"/>
  <c r="H30" i="8"/>
  <c r="L31" i="8"/>
  <c r="I37" i="8"/>
  <c r="Q38" i="8"/>
  <c r="L45" i="8"/>
  <c r="I47" i="8"/>
  <c r="R48" i="8"/>
  <c r="I54" i="8"/>
  <c r="M59" i="8"/>
  <c r="J3" i="8"/>
  <c r="O5" i="8"/>
  <c r="K8" i="8"/>
  <c r="S10" i="8"/>
  <c r="R12" i="8"/>
  <c r="G14" i="8"/>
  <c r="P14" i="8"/>
  <c r="Q16" i="8"/>
  <c r="O18" i="8"/>
  <c r="L24" i="8"/>
  <c r="P25" i="8"/>
  <c r="I28" i="8"/>
  <c r="S30" i="8"/>
  <c r="P32" i="8"/>
  <c r="F34" i="8"/>
  <c r="L44" i="8"/>
  <c r="K46" i="8"/>
  <c r="F52" i="8"/>
  <c r="L55" i="8"/>
  <c r="G64" i="8"/>
  <c r="L84" i="8"/>
  <c r="I95" i="8"/>
  <c r="H5" i="8"/>
  <c r="G7" i="8"/>
  <c r="H12" i="8"/>
  <c r="H27" i="8"/>
  <c r="L28" i="8"/>
  <c r="I30" i="8"/>
  <c r="H32" i="8"/>
  <c r="R36" i="8"/>
  <c r="P39" i="8"/>
  <c r="M45" i="8"/>
  <c r="K47" i="8"/>
  <c r="I53" i="8"/>
  <c r="O55" i="8"/>
  <c r="M76" i="8"/>
  <c r="J90" i="8"/>
  <c r="J95" i="8"/>
  <c r="O4" i="8"/>
  <c r="P7" i="8"/>
  <c r="P13" i="8"/>
  <c r="R16" i="8"/>
  <c r="F18" i="8"/>
  <c r="M26" i="8"/>
  <c r="I32" i="8"/>
  <c r="J34" i="8"/>
  <c r="H36" i="8"/>
  <c r="N37" i="8"/>
  <c r="S40" i="8"/>
  <c r="P46" i="8"/>
  <c r="H49" i="8"/>
  <c r="K64" i="8"/>
  <c r="N68" i="8"/>
  <c r="N87" i="8"/>
  <c r="O6" i="8"/>
  <c r="S7" i="8"/>
  <c r="L12" i="8"/>
  <c r="F15" i="8"/>
  <c r="H18" i="8"/>
  <c r="F24" i="8"/>
  <c r="J27" i="8"/>
  <c r="M30" i="8"/>
  <c r="J32" i="8"/>
  <c r="O37" i="8"/>
  <c r="F40" i="8"/>
  <c r="R45" i="8"/>
  <c r="P47" i="8"/>
  <c r="I49" i="8"/>
  <c r="Q54" i="8"/>
  <c r="F71" i="8"/>
  <c r="P4" i="8"/>
  <c r="J9" i="8"/>
  <c r="N10" i="8"/>
  <c r="M12" i="8"/>
  <c r="Q13" i="8"/>
  <c r="F17" i="8"/>
  <c r="I18" i="8"/>
  <c r="M19" i="8"/>
  <c r="F26" i="8"/>
  <c r="Q26" i="8"/>
  <c r="F28" i="8"/>
  <c r="N30" i="8"/>
  <c r="K32" i="8"/>
  <c r="Q33" i="8"/>
  <c r="O35" i="8"/>
  <c r="K49" i="8"/>
  <c r="F3" i="8"/>
  <c r="J4" i="8"/>
  <c r="Q4" i="8"/>
  <c r="M5" i="8"/>
  <c r="F6" i="8"/>
  <c r="Q6" i="8"/>
  <c r="J7" i="8"/>
  <c r="F8" i="8"/>
  <c r="F10" i="8"/>
  <c r="N14" i="8"/>
  <c r="G17" i="8"/>
  <c r="O17" i="8"/>
  <c r="N19" i="8"/>
  <c r="J24" i="8"/>
  <c r="G26" i="8"/>
  <c r="G28" i="8"/>
  <c r="K29" i="8"/>
  <c r="R31" i="8"/>
  <c r="L34" i="8"/>
  <c r="P38" i="8"/>
  <c r="J39" i="8"/>
  <c r="F45" i="8"/>
  <c r="S46" i="8"/>
  <c r="Q48" i="8"/>
  <c r="L50" i="8"/>
  <c r="N51" i="8"/>
  <c r="S54" i="8"/>
  <c r="R74" i="8"/>
  <c r="S77" i="8"/>
  <c r="O93" i="8"/>
  <c r="H97" i="8"/>
  <c r="Q37" i="8"/>
  <c r="I40" i="8"/>
  <c r="G44" i="8"/>
  <c r="F46" i="8"/>
  <c r="F51" i="8"/>
  <c r="R53" i="8"/>
  <c r="G55" i="8"/>
  <c r="P55" i="8"/>
  <c r="K67" i="8"/>
  <c r="Q71" i="8"/>
  <c r="O75" i="8"/>
  <c r="Q87" i="8"/>
  <c r="G6" i="8"/>
  <c r="H8" i="8"/>
  <c r="F9" i="8"/>
  <c r="I10" i="8"/>
  <c r="F11" i="8"/>
  <c r="J12" i="8"/>
  <c r="K14" i="8"/>
  <c r="G16" i="8"/>
  <c r="S16" i="8"/>
  <c r="L18" i="8"/>
  <c r="P19" i="8"/>
  <c r="N26" i="8"/>
  <c r="L27" i="8"/>
  <c r="J28" i="8"/>
  <c r="G29" i="8"/>
  <c r="Q30" i="8"/>
  <c r="I33" i="8"/>
  <c r="S34" i="8"/>
  <c r="N38" i="8"/>
  <c r="H44" i="8"/>
  <c r="N46" i="8"/>
  <c r="F48" i="8"/>
  <c r="M49" i="8"/>
  <c r="G51" i="8"/>
  <c r="R52" i="8"/>
  <c r="N54" i="8"/>
  <c r="O56" i="8"/>
  <c r="S59" i="8"/>
  <c r="L66" i="8"/>
  <c r="N73" i="8"/>
  <c r="N84" i="8"/>
  <c r="H91" i="8"/>
  <c r="H94" i="8"/>
  <c r="M3" i="8"/>
  <c r="R3" i="8"/>
  <c r="N4" i="8"/>
  <c r="S4" i="8"/>
  <c r="Q5" i="8"/>
  <c r="H6" i="8"/>
  <c r="I8" i="8"/>
  <c r="M9" i="8"/>
  <c r="S9" i="8"/>
  <c r="J10" i="8"/>
  <c r="P10" i="8"/>
  <c r="M11" i="8"/>
  <c r="K12" i="8"/>
  <c r="Q12" i="8"/>
  <c r="H13" i="8"/>
  <c r="O13" i="8"/>
  <c r="F14" i="8"/>
  <c r="L14" i="8"/>
  <c r="J15" i="8"/>
  <c r="H16" i="8"/>
  <c r="Q17" i="8"/>
  <c r="G18" i="8"/>
  <c r="I24" i="8"/>
  <c r="I26" i="8"/>
  <c r="O26" i="8"/>
  <c r="G27" i="8"/>
  <c r="S27" i="8"/>
  <c r="K28" i="8"/>
  <c r="R30" i="8"/>
  <c r="N31" i="8"/>
  <c r="L32" i="8"/>
  <c r="R32" i="8"/>
  <c r="P33" i="8"/>
  <c r="G34" i="8"/>
  <c r="N34" i="8"/>
  <c r="K35" i="8"/>
  <c r="R35" i="8"/>
  <c r="I36" i="8"/>
  <c r="O36" i="8"/>
  <c r="F37" i="8"/>
  <c r="R37" i="8"/>
  <c r="H38" i="8"/>
  <c r="O38" i="8"/>
  <c r="F39" i="8"/>
  <c r="L39" i="8"/>
  <c r="J40" i="8"/>
  <c r="Q40" i="8"/>
  <c r="I44" i="8"/>
  <c r="P44" i="8"/>
  <c r="O47" i="8"/>
  <c r="N48" i="8"/>
  <c r="G50" i="8"/>
  <c r="P50" i="8"/>
  <c r="H51" i="8"/>
  <c r="P51" i="8"/>
  <c r="J52" i="8"/>
  <c r="K53" i="8"/>
  <c r="O54" i="8"/>
  <c r="I55" i="8"/>
  <c r="Q55" i="8"/>
  <c r="Q60" i="8"/>
  <c r="P66" i="8"/>
  <c r="Q68" i="8"/>
  <c r="K77" i="8"/>
  <c r="Q78" i="8"/>
  <c r="K80" i="8"/>
  <c r="P86" i="8"/>
  <c r="Q89" i="8"/>
  <c r="K96" i="8"/>
  <c r="G98" i="8"/>
  <c r="F100" i="8"/>
  <c r="G38" i="8"/>
  <c r="O40" i="8"/>
  <c r="O44" i="8"/>
  <c r="L49" i="8"/>
  <c r="G52" i="8"/>
  <c r="K54" i="8"/>
  <c r="K56" i="8"/>
  <c r="L64" i="8"/>
  <c r="P68" i="8"/>
  <c r="M73" i="8"/>
  <c r="I86" i="8"/>
  <c r="L92" i="8"/>
  <c r="M4" i="8"/>
  <c r="P5" i="8"/>
  <c r="M6" i="8"/>
  <c r="K7" i="8"/>
  <c r="O8" i="8"/>
  <c r="O10" i="8"/>
  <c r="R11" i="8"/>
  <c r="P12" i="8"/>
  <c r="O15" i="8"/>
  <c r="M16" i="8"/>
  <c r="J19" i="8"/>
  <c r="N24" i="8"/>
  <c r="R27" i="8"/>
  <c r="P28" i="8"/>
  <c r="N29" i="8"/>
  <c r="H31" i="8"/>
  <c r="M34" i="8"/>
  <c r="N36" i="8"/>
  <c r="H45" i="8"/>
  <c r="G46" i="8"/>
  <c r="M48" i="8"/>
  <c r="O50" i="8"/>
  <c r="O51" i="8"/>
  <c r="J53" i="8"/>
  <c r="K57" i="8"/>
  <c r="L65" i="8"/>
  <c r="P78" i="8"/>
  <c r="K86" i="8"/>
  <c r="N92" i="8"/>
  <c r="H4" i="8"/>
  <c r="I4" i="8"/>
  <c r="N6" i="8"/>
  <c r="L7" i="8"/>
  <c r="R7" i="8"/>
  <c r="J8" i="8"/>
  <c r="P8" i="8"/>
  <c r="G9" i="8"/>
  <c r="N9" i="8"/>
  <c r="Q10" i="8"/>
  <c r="H11" i="8"/>
  <c r="I13" i="8"/>
  <c r="M14" i="8"/>
  <c r="S14" i="8"/>
  <c r="N16" i="8"/>
  <c r="N18" i="8"/>
  <c r="O24" i="8"/>
  <c r="G25" i="8"/>
  <c r="M25" i="8"/>
  <c r="S25" i="8"/>
  <c r="Q28" i="8"/>
  <c r="O29" i="8"/>
  <c r="F30" i="8"/>
  <c r="I31" i="8"/>
  <c r="G32" i="8"/>
  <c r="M32" i="8"/>
  <c r="S32" i="8"/>
  <c r="K33" i="8"/>
  <c r="F35" i="8"/>
  <c r="L35" i="8"/>
  <c r="P36" i="8"/>
  <c r="G37" i="8"/>
  <c r="M37" i="8"/>
  <c r="I38" i="8"/>
  <c r="M39" i="8"/>
  <c r="R40" i="8"/>
  <c r="Q45" i="8"/>
  <c r="H46" i="8"/>
  <c r="O46" i="8"/>
  <c r="G48" i="8"/>
  <c r="O48" i="8"/>
  <c r="G49" i="8"/>
  <c r="N49" i="8"/>
  <c r="H50" i="8"/>
  <c r="K52" i="8"/>
  <c r="S52" i="8"/>
  <c r="F54" i="8"/>
  <c r="M57" i="8"/>
  <c r="H59" i="8"/>
  <c r="R64" i="8"/>
  <c r="I70" i="8"/>
  <c r="S75" i="8"/>
  <c r="O77" i="8"/>
  <c r="O80" i="8"/>
  <c r="J85" i="8"/>
  <c r="L88" i="8"/>
  <c r="K94" i="8"/>
  <c r="L96" i="8"/>
  <c r="H100" i="8"/>
  <c r="J66" i="8"/>
  <c r="R68" i="8"/>
  <c r="J69" i="8"/>
  <c r="I71" i="8"/>
  <c r="F73" i="8"/>
  <c r="G75" i="8"/>
  <c r="P84" i="8"/>
  <c r="Q86" i="8"/>
  <c r="R87" i="8"/>
  <c r="Q90" i="8"/>
  <c r="L94" i="8"/>
  <c r="M97" i="8"/>
  <c r="G3" i="8"/>
  <c r="K3" i="8"/>
  <c r="O3" i="8"/>
  <c r="S3" i="8"/>
  <c r="K5" i="8"/>
  <c r="J6" i="8"/>
  <c r="S6" i="8"/>
  <c r="N7" i="8"/>
  <c r="M8" i="8"/>
  <c r="Q9" i="8"/>
  <c r="K10" i="8"/>
  <c r="J11" i="8"/>
  <c r="N12" i="8"/>
  <c r="M13" i="8"/>
  <c r="H14" i="8"/>
  <c r="Q14" i="8"/>
  <c r="G15" i="8"/>
  <c r="P15" i="8"/>
  <c r="F16" i="8"/>
  <c r="K16" i="8"/>
  <c r="J17" i="8"/>
  <c r="S17" i="8"/>
  <c r="M18" i="8"/>
  <c r="R18" i="8"/>
  <c r="H19" i="8"/>
  <c r="Q19" i="8"/>
  <c r="G24" i="8"/>
  <c r="P24" i="8"/>
  <c r="K25" i="8"/>
  <c r="J26" i="8"/>
  <c r="S26" i="8"/>
  <c r="N27" i="8"/>
  <c r="M28" i="8"/>
  <c r="Q29" i="8"/>
  <c r="K30" i="8"/>
  <c r="J31" i="8"/>
  <c r="N32" i="8"/>
  <c r="M33" i="8"/>
  <c r="H34" i="8"/>
  <c r="Q34" i="8"/>
  <c r="G35" i="8"/>
  <c r="P35" i="8"/>
  <c r="F36" i="8"/>
  <c r="K36" i="8"/>
  <c r="J37" i="8"/>
  <c r="S37" i="8"/>
  <c r="M38" i="8"/>
  <c r="R38" i="8"/>
  <c r="H39" i="8"/>
  <c r="Q39" i="8"/>
  <c r="G40" i="8"/>
  <c r="I45" i="8"/>
  <c r="N45" i="8"/>
  <c r="G47" i="8"/>
  <c r="L47" i="8"/>
  <c r="Q47" i="8"/>
  <c r="P49" i="8"/>
  <c r="M50" i="8"/>
  <c r="K51" i="8"/>
  <c r="Q51" i="8"/>
  <c r="O52" i="8"/>
  <c r="F53" i="8"/>
  <c r="M53" i="8"/>
  <c r="S55" i="8"/>
  <c r="G57" i="8"/>
  <c r="P57" i="8"/>
  <c r="I58" i="8"/>
  <c r="N59" i="8"/>
  <c r="M64" i="8"/>
  <c r="G65" i="8"/>
  <c r="K66" i="8"/>
  <c r="F67" i="8"/>
  <c r="K68" i="8"/>
  <c r="S68" i="8"/>
  <c r="J73" i="8"/>
  <c r="I76" i="8"/>
  <c r="S79" i="8"/>
  <c r="S86" i="8"/>
  <c r="S91" i="8"/>
  <c r="R92" i="8"/>
  <c r="O94" i="8"/>
  <c r="O96" i="8"/>
  <c r="O98" i="8"/>
  <c r="L100" i="8"/>
  <c r="J71" i="8"/>
  <c r="L73" i="8"/>
  <c r="K75" i="8"/>
  <c r="G79" i="8"/>
  <c r="H89" i="8"/>
  <c r="R93" i="8"/>
  <c r="S94" i="8"/>
  <c r="R95" i="8"/>
  <c r="M100" i="8"/>
  <c r="O69" i="8"/>
  <c r="L72" i="8"/>
  <c r="J74" i="8"/>
  <c r="J76" i="8"/>
  <c r="H78" i="8"/>
  <c r="G85" i="8"/>
  <c r="G88" i="8"/>
  <c r="F90" i="8"/>
  <c r="O99" i="8"/>
  <c r="H3" i="8"/>
  <c r="L3" i="8"/>
  <c r="P3" i="8"/>
  <c r="L5" i="8"/>
  <c r="K6" i="8"/>
  <c r="P6" i="8"/>
  <c r="F7" i="8"/>
  <c r="O7" i="8"/>
  <c r="N8" i="8"/>
  <c r="S8" i="8"/>
  <c r="I9" i="8"/>
  <c r="R9" i="8"/>
  <c r="L10" i="8"/>
  <c r="P11" i="8"/>
  <c r="F12" i="8"/>
  <c r="O12" i="8"/>
  <c r="S13" i="8"/>
  <c r="I14" i="8"/>
  <c r="R14" i="8"/>
  <c r="H15" i="8"/>
  <c r="L16" i="8"/>
  <c r="K17" i="8"/>
  <c r="J18" i="8"/>
  <c r="S18" i="8"/>
  <c r="I19" i="8"/>
  <c r="R19" i="8"/>
  <c r="H24" i="8"/>
  <c r="M24" i="8"/>
  <c r="L25" i="8"/>
  <c r="K26" i="8"/>
  <c r="P26" i="8"/>
  <c r="F27" i="8"/>
  <c r="O27" i="8"/>
  <c r="N28" i="8"/>
  <c r="S28" i="8"/>
  <c r="I29" i="8"/>
  <c r="R29" i="8"/>
  <c r="L30" i="8"/>
  <c r="P31" i="8"/>
  <c r="F32" i="8"/>
  <c r="O32" i="8"/>
  <c r="S33" i="8"/>
  <c r="I34" i="8"/>
  <c r="R34" i="8"/>
  <c r="H35" i="8"/>
  <c r="L36" i="8"/>
  <c r="K37" i="8"/>
  <c r="J38" i="8"/>
  <c r="S38" i="8"/>
  <c r="I39" i="8"/>
  <c r="R39" i="8"/>
  <c r="H40" i="8"/>
  <c r="J45" i="8"/>
  <c r="P45" i="8"/>
  <c r="H47" i="8"/>
  <c r="M47" i="8"/>
  <c r="S47" i="8"/>
  <c r="S51" i="8"/>
  <c r="P52" i="8"/>
  <c r="N53" i="8"/>
  <c r="H57" i="8"/>
  <c r="Q57" i="8"/>
  <c r="M58" i="8"/>
  <c r="F59" i="8"/>
  <c r="O59" i="8"/>
  <c r="F64" i="8"/>
  <c r="N64" i="8"/>
  <c r="S65" i="8"/>
  <c r="J67" i="8"/>
  <c r="R67" i="8"/>
  <c r="L68" i="8"/>
  <c r="P70" i="8"/>
  <c r="O71" i="8"/>
  <c r="L75" i="8"/>
  <c r="M78" i="8"/>
  <c r="F84" i="8"/>
  <c r="I87" i="8"/>
  <c r="K88" i="8"/>
  <c r="I89" i="8"/>
  <c r="G90" i="8"/>
  <c r="S96" i="8"/>
  <c r="R98" i="8"/>
  <c r="L40" i="8"/>
  <c r="P40" i="8"/>
  <c r="G45" i="8"/>
  <c r="K45" i="8"/>
  <c r="O45" i="8"/>
  <c r="S45" i="8"/>
  <c r="F47" i="8"/>
  <c r="J47" i="8"/>
  <c r="N47" i="8"/>
  <c r="R47" i="8"/>
  <c r="J49" i="8"/>
  <c r="S49" i="8"/>
  <c r="I50" i="8"/>
  <c r="M51" i="8"/>
  <c r="L52" i="8"/>
  <c r="G53" i="8"/>
  <c r="G54" i="8"/>
  <c r="M54" i="8"/>
  <c r="R54" i="8"/>
  <c r="H55" i="8"/>
  <c r="M55" i="8"/>
  <c r="R57" i="8"/>
  <c r="I59" i="8"/>
  <c r="I60" i="8"/>
  <c r="P60" i="8"/>
  <c r="H64" i="8"/>
  <c r="P64" i="8"/>
  <c r="F66" i="8"/>
  <c r="N66" i="8"/>
  <c r="F68" i="8"/>
  <c r="G70" i="8"/>
  <c r="Q70" i="8"/>
  <c r="H72" i="8"/>
  <c r="H75" i="8"/>
  <c r="L77" i="8"/>
  <c r="H84" i="8"/>
  <c r="F85" i="8"/>
  <c r="F88" i="8"/>
  <c r="I90" i="8"/>
  <c r="P91" i="8"/>
  <c r="P97" i="8"/>
  <c r="K98" i="8"/>
  <c r="N100" i="8"/>
  <c r="F5" i="8"/>
  <c r="J5" i="8"/>
  <c r="N5" i="8"/>
  <c r="R5" i="8"/>
  <c r="I7" i="8"/>
  <c r="M7" i="8"/>
  <c r="Q7" i="8"/>
  <c r="H9" i="8"/>
  <c r="L9" i="8"/>
  <c r="P9" i="8"/>
  <c r="G11" i="8"/>
  <c r="K11" i="8"/>
  <c r="O11" i="8"/>
  <c r="S11" i="8"/>
  <c r="F13" i="8"/>
  <c r="J13" i="8"/>
  <c r="N13" i="8"/>
  <c r="R13" i="8"/>
  <c r="I15" i="8"/>
  <c r="M15" i="8"/>
  <c r="Q15" i="8"/>
  <c r="H17" i="8"/>
  <c r="L17" i="8"/>
  <c r="P17" i="8"/>
  <c r="G19" i="8"/>
  <c r="K19" i="8"/>
  <c r="O19" i="8"/>
  <c r="S19" i="8"/>
  <c r="F25" i="8"/>
  <c r="J25" i="8"/>
  <c r="N25" i="8"/>
  <c r="R25" i="8"/>
  <c r="I27" i="8"/>
  <c r="M27" i="8"/>
  <c r="Q27" i="8"/>
  <c r="H29" i="8"/>
  <c r="L29" i="8"/>
  <c r="P29" i="8"/>
  <c r="G31" i="8"/>
  <c r="K31" i="8"/>
  <c r="O31" i="8"/>
  <c r="S31" i="8"/>
  <c r="F33" i="8"/>
  <c r="J33" i="8"/>
  <c r="N33" i="8"/>
  <c r="R33" i="8"/>
  <c r="I35" i="8"/>
  <c r="M35" i="8"/>
  <c r="Q35" i="8"/>
  <c r="H37" i="8"/>
  <c r="L37" i="8"/>
  <c r="P37" i="8"/>
  <c r="G39" i="8"/>
  <c r="K39" i="8"/>
  <c r="O39" i="8"/>
  <c r="S39" i="8"/>
  <c r="F44" i="8"/>
  <c r="J44" i="8"/>
  <c r="N44" i="8"/>
  <c r="R44" i="8"/>
  <c r="I46" i="8"/>
  <c r="M46" i="8"/>
  <c r="Q46" i="8"/>
  <c r="H48" i="8"/>
  <c r="L48" i="8"/>
  <c r="P48" i="8"/>
  <c r="F49" i="8"/>
  <c r="O49" i="8"/>
  <c r="S50" i="8"/>
  <c r="I51" i="8"/>
  <c r="R51" i="8"/>
  <c r="H52" i="8"/>
  <c r="L53" i="8"/>
  <c r="Q53" i="8"/>
  <c r="F56" i="8"/>
  <c r="L57" i="8"/>
  <c r="S57" i="8"/>
  <c r="J58" i="8"/>
  <c r="R58" i="8"/>
  <c r="J59" i="8"/>
  <c r="P59" i="8"/>
  <c r="I64" i="8"/>
  <c r="Q64" i="8"/>
  <c r="H65" i="8"/>
  <c r="O65" i="8"/>
  <c r="O66" i="8"/>
  <c r="G67" i="8"/>
  <c r="O67" i="8"/>
  <c r="G68" i="8"/>
  <c r="M68" i="8"/>
  <c r="N69" i="8"/>
  <c r="H70" i="8"/>
  <c r="R73" i="8"/>
  <c r="O74" i="8"/>
  <c r="R76" i="8"/>
  <c r="I78" i="8"/>
  <c r="R79" i="8"/>
  <c r="R85" i="8"/>
  <c r="J87" i="8"/>
  <c r="S88" i="8"/>
  <c r="P89" i="8"/>
  <c r="M92" i="8"/>
  <c r="J93" i="8"/>
  <c r="G94" i="8"/>
  <c r="M95" i="8"/>
  <c r="Q97" i="8"/>
  <c r="M98" i="8"/>
  <c r="P100" i="8"/>
  <c r="S48" i="8"/>
  <c r="F50" i="8"/>
  <c r="J50" i="8"/>
  <c r="N50" i="8"/>
  <c r="R50" i="8"/>
  <c r="I52" i="8"/>
  <c r="M52" i="8"/>
  <c r="Q52" i="8"/>
  <c r="H54" i="8"/>
  <c r="L54" i="8"/>
  <c r="P54" i="8"/>
  <c r="N56" i="8"/>
  <c r="S56" i="8"/>
  <c r="I57" i="8"/>
  <c r="O57" i="8"/>
  <c r="Q59" i="8"/>
  <c r="H60" i="8"/>
  <c r="M60" i="8"/>
  <c r="K65" i="8"/>
  <c r="P65" i="8"/>
  <c r="G66" i="8"/>
  <c r="N67" i="8"/>
  <c r="S67" i="8"/>
  <c r="I68" i="8"/>
  <c r="O68" i="8"/>
  <c r="M71" i="8"/>
  <c r="Q73" i="8"/>
  <c r="S74" i="8"/>
  <c r="F76" i="8"/>
  <c r="H77" i="8"/>
  <c r="P77" i="8"/>
  <c r="G80" i="8"/>
  <c r="K85" i="8"/>
  <c r="S85" i="8"/>
  <c r="L86" i="8"/>
  <c r="R88" i="8"/>
  <c r="M90" i="8"/>
  <c r="Q92" i="8"/>
  <c r="S93" i="8"/>
  <c r="F95" i="8"/>
  <c r="H96" i="8"/>
  <c r="P96" i="8"/>
  <c r="G99" i="8"/>
  <c r="O53" i="8"/>
  <c r="S53" i="8"/>
  <c r="F55" i="8"/>
  <c r="J55" i="8"/>
  <c r="N55" i="8"/>
  <c r="R55" i="8"/>
  <c r="J57" i="8"/>
  <c r="F58" i="8"/>
  <c r="Q58" i="8"/>
  <c r="G59" i="8"/>
  <c r="L59" i="8"/>
  <c r="R59" i="8"/>
  <c r="J64" i="8"/>
  <c r="O64" i="8"/>
  <c r="H66" i="8"/>
  <c r="M66" i="8"/>
  <c r="R66" i="8"/>
  <c r="J68" i="8"/>
  <c r="F69" i="8"/>
  <c r="S69" i="8"/>
  <c r="L70" i="8"/>
  <c r="N71" i="8"/>
  <c r="G72" i="8"/>
  <c r="O72" i="8"/>
  <c r="K74" i="8"/>
  <c r="M75" i="8"/>
  <c r="Q76" i="8"/>
  <c r="J77" i="8"/>
  <c r="R77" i="8"/>
  <c r="F79" i="8"/>
  <c r="N79" i="8"/>
  <c r="H80" i="8"/>
  <c r="P80" i="8"/>
  <c r="I84" i="8"/>
  <c r="M86" i="8"/>
  <c r="J88" i="8"/>
  <c r="L89" i="8"/>
  <c r="N90" i="8"/>
  <c r="G91" i="8"/>
  <c r="O91" i="8"/>
  <c r="K93" i="8"/>
  <c r="M94" i="8"/>
  <c r="Q95" i="8"/>
  <c r="J96" i="8"/>
  <c r="R96" i="8"/>
  <c r="F98" i="8"/>
  <c r="N98" i="8"/>
  <c r="H99" i="8"/>
  <c r="P99" i="8"/>
  <c r="I100" i="8"/>
  <c r="H56" i="8"/>
  <c r="L56" i="8"/>
  <c r="P56" i="8"/>
  <c r="G58" i="8"/>
  <c r="K58" i="8"/>
  <c r="O58" i="8"/>
  <c r="S58" i="8"/>
  <c r="F60" i="8"/>
  <c r="J60" i="8"/>
  <c r="N60" i="8"/>
  <c r="R60" i="8"/>
  <c r="I65" i="8"/>
  <c r="M65" i="8"/>
  <c r="Q65" i="8"/>
  <c r="H67" i="8"/>
  <c r="L67" i="8"/>
  <c r="P67" i="8"/>
  <c r="G69" i="8"/>
  <c r="K69" i="8"/>
  <c r="P69" i="8"/>
  <c r="M70" i="8"/>
  <c r="K71" i="8"/>
  <c r="R71" i="8"/>
  <c r="H73" i="8"/>
  <c r="F74" i="8"/>
  <c r="I75" i="8"/>
  <c r="P75" i="8"/>
  <c r="N76" i="8"/>
  <c r="F77" i="8"/>
  <c r="I79" i="8"/>
  <c r="L80" i="8"/>
  <c r="S80" i="8"/>
  <c r="J84" i="8"/>
  <c r="Q84" i="8"/>
  <c r="O85" i="8"/>
  <c r="G86" i="8"/>
  <c r="H88" i="8"/>
  <c r="O88" i="8"/>
  <c r="M89" i="8"/>
  <c r="K90" i="8"/>
  <c r="R90" i="8"/>
  <c r="H92" i="8"/>
  <c r="F93" i="8"/>
  <c r="I94" i="8"/>
  <c r="P94" i="8"/>
  <c r="N95" i="8"/>
  <c r="F96" i="8"/>
  <c r="I98" i="8"/>
  <c r="L99" i="8"/>
  <c r="S99" i="8"/>
  <c r="J100" i="8"/>
  <c r="Q100" i="8"/>
  <c r="I56" i="8"/>
  <c r="M56" i="8"/>
  <c r="Q56" i="8"/>
  <c r="H58" i="8"/>
  <c r="L58" i="8"/>
  <c r="P58" i="8"/>
  <c r="G60" i="8"/>
  <c r="K60" i="8"/>
  <c r="O60" i="8"/>
  <c r="S60" i="8"/>
  <c r="F65" i="8"/>
  <c r="J65" i="8"/>
  <c r="N65" i="8"/>
  <c r="R65" i="8"/>
  <c r="I67" i="8"/>
  <c r="M67" i="8"/>
  <c r="Q67" i="8"/>
  <c r="H69" i="8"/>
  <c r="L69" i="8"/>
  <c r="R69" i="8"/>
  <c r="S71" i="8"/>
  <c r="K72" i="8"/>
  <c r="I73" i="8"/>
  <c r="P73" i="8"/>
  <c r="G74" i="8"/>
  <c r="N74" i="8"/>
  <c r="Q75" i="8"/>
  <c r="G77" i="8"/>
  <c r="N77" i="8"/>
  <c r="L78" i="8"/>
  <c r="J79" i="8"/>
  <c r="Q79" i="8"/>
  <c r="R84" i="8"/>
  <c r="H86" i="8"/>
  <c r="O86" i="8"/>
  <c r="F87" i="8"/>
  <c r="M87" i="8"/>
  <c r="P88" i="8"/>
  <c r="S90" i="8"/>
  <c r="K91" i="8"/>
  <c r="I92" i="8"/>
  <c r="P92" i="8"/>
  <c r="G93" i="8"/>
  <c r="N93" i="8"/>
  <c r="Q94" i="8"/>
  <c r="G96" i="8"/>
  <c r="N96" i="8"/>
  <c r="L97" i="8"/>
  <c r="J98" i="8"/>
  <c r="Q98" i="8"/>
  <c r="R100" i="8"/>
  <c r="F70" i="8"/>
  <c r="J70" i="8"/>
  <c r="N70" i="8"/>
  <c r="R70" i="8"/>
  <c r="I72" i="8"/>
  <c r="M72" i="8"/>
  <c r="Q72" i="8"/>
  <c r="H74" i="8"/>
  <c r="L74" i="8"/>
  <c r="P74" i="8"/>
  <c r="G76" i="8"/>
  <c r="K76" i="8"/>
  <c r="O76" i="8"/>
  <c r="S76" i="8"/>
  <c r="F78" i="8"/>
  <c r="J78" i="8"/>
  <c r="N78" i="8"/>
  <c r="R78" i="8"/>
  <c r="I80" i="8"/>
  <c r="M80" i="8"/>
  <c r="Q80" i="8"/>
  <c r="H85" i="8"/>
  <c r="L85" i="8"/>
  <c r="P85" i="8"/>
  <c r="G87" i="8"/>
  <c r="K87" i="8"/>
  <c r="O87" i="8"/>
  <c r="S87" i="8"/>
  <c r="F89" i="8"/>
  <c r="J89" i="8"/>
  <c r="N89" i="8"/>
  <c r="R89" i="8"/>
  <c r="I91" i="8"/>
  <c r="M91" i="8"/>
  <c r="Q91" i="8"/>
  <c r="H93" i="8"/>
  <c r="L93" i="8"/>
  <c r="P93" i="8"/>
  <c r="G95" i="8"/>
  <c r="K95" i="8"/>
  <c r="O95" i="8"/>
  <c r="S95" i="8"/>
  <c r="F97" i="8"/>
  <c r="J97" i="8"/>
  <c r="N97" i="8"/>
  <c r="R97" i="8"/>
  <c r="I99" i="8"/>
  <c r="M99" i="8"/>
  <c r="Q99" i="8"/>
  <c r="M69" i="8"/>
  <c r="Q69" i="8"/>
  <c r="H71" i="8"/>
  <c r="L71" i="8"/>
  <c r="P71" i="8"/>
  <c r="G73" i="8"/>
  <c r="K73" i="8"/>
  <c r="O73" i="8"/>
  <c r="S73" i="8"/>
  <c r="F75" i="8"/>
  <c r="J75" i="8"/>
  <c r="N75" i="8"/>
  <c r="R75" i="8"/>
  <c r="I77" i="8"/>
  <c r="M77" i="8"/>
  <c r="Q77" i="8"/>
  <c r="H79" i="8"/>
  <c r="L79" i="8"/>
  <c r="P79" i="8"/>
  <c r="G84" i="8"/>
  <c r="K84" i="8"/>
  <c r="O84" i="8"/>
  <c r="S84" i="8"/>
  <c r="F86" i="8"/>
  <c r="J86" i="8"/>
  <c r="N86" i="8"/>
  <c r="R86" i="8"/>
  <c r="I88" i="8"/>
  <c r="M88" i="8"/>
  <c r="Q88" i="8"/>
  <c r="H90" i="8"/>
  <c r="L90" i="8"/>
  <c r="P90" i="8"/>
  <c r="G92" i="8"/>
  <c r="K92" i="8"/>
  <c r="O92" i="8"/>
  <c r="S92" i="8"/>
  <c r="F94" i="8"/>
  <c r="J94" i="8"/>
  <c r="N94" i="8"/>
  <c r="R94" i="8"/>
  <c r="I96" i="8"/>
  <c r="M96" i="8"/>
  <c r="Q96" i="8"/>
  <c r="H98" i="8"/>
  <c r="L98" i="8"/>
  <c r="P98" i="8"/>
  <c r="G100" i="8"/>
  <c r="K100" i="8"/>
  <c r="O100" i="8"/>
  <c r="S100" i="8"/>
  <c r="K70" i="8"/>
  <c r="O70" i="8"/>
  <c r="S70" i="8"/>
  <c r="F72" i="8"/>
  <c r="J72" i="8"/>
  <c r="N72" i="8"/>
  <c r="R72" i="8"/>
  <c r="I74" i="8"/>
  <c r="M74" i="8"/>
  <c r="Q74" i="8"/>
  <c r="H76" i="8"/>
  <c r="L76" i="8"/>
  <c r="P76" i="8"/>
  <c r="G78" i="8"/>
  <c r="K78" i="8"/>
  <c r="O78" i="8"/>
  <c r="S78" i="8"/>
  <c r="F80" i="8"/>
  <c r="J80" i="8"/>
  <c r="N80" i="8"/>
  <c r="R80" i="8"/>
  <c r="I85" i="8"/>
  <c r="M85" i="8"/>
  <c r="Q85" i="8"/>
  <c r="H87" i="8"/>
  <c r="L87" i="8"/>
  <c r="P87" i="8"/>
  <c r="G89" i="8"/>
  <c r="K89" i="8"/>
  <c r="O89" i="8"/>
  <c r="S89" i="8"/>
  <c r="F91" i="8"/>
  <c r="J91" i="8"/>
  <c r="N91" i="8"/>
  <c r="R91" i="8"/>
  <c r="I93" i="8"/>
  <c r="M93" i="8"/>
  <c r="Q93" i="8"/>
  <c r="H95" i="8"/>
  <c r="L95" i="8"/>
  <c r="P95" i="8"/>
  <c r="G97" i="8"/>
  <c r="K97" i="8"/>
  <c r="O97" i="8"/>
  <c r="S97" i="8"/>
  <c r="F99" i="8"/>
  <c r="J99" i="8"/>
  <c r="N99" i="8"/>
  <c r="R99" i="8"/>
  <c r="F3" i="7"/>
  <c r="M4" i="7"/>
  <c r="L9" i="7"/>
  <c r="P16" i="7"/>
  <c r="G18" i="7"/>
  <c r="O26" i="7"/>
  <c r="M32" i="7"/>
  <c r="Q36" i="7"/>
  <c r="M39" i="7"/>
  <c r="S48" i="7"/>
  <c r="Q70" i="7"/>
  <c r="N74" i="7"/>
  <c r="R78" i="7"/>
  <c r="P84" i="7"/>
  <c r="L5" i="7"/>
  <c r="I10" i="7"/>
  <c r="K12" i="7"/>
  <c r="I15" i="7"/>
  <c r="O19" i="7"/>
  <c r="M28" i="7"/>
  <c r="F30" i="7"/>
  <c r="Q31" i="7"/>
  <c r="H34" i="7"/>
  <c r="R37" i="7"/>
  <c r="J44" i="7"/>
  <c r="G46" i="7"/>
  <c r="H50" i="7"/>
  <c r="G56" i="7"/>
  <c r="J59" i="7"/>
  <c r="H72" i="7"/>
  <c r="L77" i="7"/>
  <c r="S92" i="7"/>
  <c r="G99" i="7"/>
  <c r="G48" i="7"/>
  <c r="J54" i="7"/>
  <c r="I55" i="7"/>
  <c r="H57" i="7"/>
  <c r="N60" i="7"/>
  <c r="J67" i="7"/>
  <c r="S69" i="7"/>
  <c r="G75" i="7"/>
  <c r="S77" i="7"/>
  <c r="F85" i="7"/>
  <c r="J88" i="7"/>
  <c r="K96" i="7"/>
  <c r="G4" i="7"/>
  <c r="H14" i="7"/>
  <c r="H16" i="7"/>
  <c r="R19" i="7"/>
  <c r="L25" i="7"/>
  <c r="N28" i="7"/>
  <c r="M33" i="7"/>
  <c r="J35" i="7"/>
  <c r="F37" i="7"/>
  <c r="O40" i="7"/>
  <c r="K46" i="7"/>
  <c r="K49" i="7"/>
  <c r="L53" i="7"/>
  <c r="M56" i="7"/>
  <c r="G66" i="7"/>
  <c r="K72" i="7"/>
  <c r="J79" i="7"/>
  <c r="P91" i="7"/>
  <c r="I99" i="7"/>
  <c r="I4" i="7"/>
  <c r="K7" i="7"/>
  <c r="S8" i="7"/>
  <c r="P12" i="7"/>
  <c r="P15" i="7"/>
  <c r="N18" i="7"/>
  <c r="P24" i="7"/>
  <c r="N29" i="7"/>
  <c r="F32" i="7"/>
  <c r="N34" i="7"/>
  <c r="O47" i="7"/>
  <c r="M51" i="7"/>
  <c r="M55" i="7"/>
  <c r="Q59" i="7"/>
  <c r="K67" i="7"/>
  <c r="Q72" i="7"/>
  <c r="P96" i="7"/>
  <c r="N3" i="7"/>
  <c r="P6" i="7"/>
  <c r="G12" i="7"/>
  <c r="G17" i="7"/>
  <c r="G24" i="7"/>
  <c r="G27" i="7"/>
  <c r="J31" i="7"/>
  <c r="F33" i="7"/>
  <c r="K36" i="7"/>
  <c r="M44" i="7"/>
  <c r="L48" i="7"/>
  <c r="N53" i="7"/>
  <c r="Q56" i="7"/>
  <c r="O58" i="7"/>
  <c r="I65" i="7"/>
  <c r="Q67" i="7"/>
  <c r="I78" i="7"/>
  <c r="M87" i="7"/>
  <c r="S93" i="7"/>
  <c r="H98" i="7"/>
  <c r="S9" i="7"/>
  <c r="Q10" i="7"/>
  <c r="I12" i="7"/>
  <c r="J14" i="7"/>
  <c r="Q15" i="7"/>
  <c r="M16" i="7"/>
  <c r="J19" i="7"/>
  <c r="L26" i="7"/>
  <c r="I27" i="7"/>
  <c r="F28" i="7"/>
  <c r="S28" i="7"/>
  <c r="O29" i="7"/>
  <c r="O30" i="7"/>
  <c r="K31" i="7"/>
  <c r="Q34" i="7"/>
  <c r="L38" i="7"/>
  <c r="H39" i="7"/>
  <c r="F40" i="7"/>
  <c r="S40" i="7"/>
  <c r="P47" i="7"/>
  <c r="O48" i="7"/>
  <c r="N51" i="7"/>
  <c r="P52" i="7"/>
  <c r="R54" i="7"/>
  <c r="S55" i="7"/>
  <c r="P57" i="7"/>
  <c r="F69" i="7"/>
  <c r="P70" i="7"/>
  <c r="P71" i="7"/>
  <c r="O79" i="7"/>
  <c r="S85" i="7"/>
  <c r="J90" i="7"/>
  <c r="I98" i="7"/>
  <c r="S3" i="7"/>
  <c r="J6" i="7"/>
  <c r="R10" i="7"/>
  <c r="R13" i="7"/>
  <c r="R18" i="7"/>
  <c r="I28" i="7"/>
  <c r="P30" i="7"/>
  <c r="S35" i="7"/>
  <c r="O37" i="7"/>
  <c r="F54" i="7"/>
  <c r="Q64" i="7"/>
  <c r="F76" i="7"/>
  <c r="G80" i="7"/>
  <c r="I89" i="7"/>
  <c r="I97" i="7"/>
  <c r="Q4" i="7"/>
  <c r="S7" i="7"/>
  <c r="Q11" i="7"/>
  <c r="I13" i="7"/>
  <c r="Q14" i="7"/>
  <c r="I18" i="7"/>
  <c r="F26" i="7"/>
  <c r="H29" i="7"/>
  <c r="S30" i="7"/>
  <c r="L33" i="7"/>
  <c r="I35" i="7"/>
  <c r="N38" i="7"/>
  <c r="J40" i="7"/>
  <c r="H45" i="7"/>
  <c r="H53" i="7"/>
  <c r="F58" i="7"/>
  <c r="M60" i="7"/>
  <c r="N73" i="7"/>
  <c r="G91" i="7"/>
  <c r="N94" i="7"/>
  <c r="R4" i="7"/>
  <c r="K6" i="7"/>
  <c r="R8" i="7"/>
  <c r="O12" i="7"/>
  <c r="G16" i="7"/>
  <c r="Q16" i="7"/>
  <c r="O17" i="7"/>
  <c r="F19" i="7"/>
  <c r="M24" i="7"/>
  <c r="H25" i="7"/>
  <c r="O27" i="7"/>
  <c r="I36" i="7"/>
  <c r="O39" i="7"/>
  <c r="H47" i="7"/>
  <c r="F49" i="7"/>
  <c r="H52" i="7"/>
  <c r="H56" i="7"/>
  <c r="L58" i="7"/>
  <c r="R64" i="7"/>
  <c r="N68" i="7"/>
  <c r="I72" i="7"/>
  <c r="M76" i="7"/>
  <c r="I80" i="7"/>
  <c r="R86" i="7"/>
  <c r="N97" i="7"/>
  <c r="M3" i="7"/>
  <c r="L10" i="7"/>
  <c r="J13" i="7"/>
  <c r="R14" i="7"/>
  <c r="J18" i="7"/>
  <c r="N24" i="7"/>
  <c r="G26" i="7"/>
  <c r="M29" i="7"/>
  <c r="M34" i="7"/>
  <c r="S38" i="7"/>
  <c r="K44" i="7"/>
  <c r="H48" i="7"/>
  <c r="I50" i="7"/>
  <c r="O54" i="7"/>
  <c r="K71" i="7"/>
  <c r="O73" i="7"/>
  <c r="O76" i="7"/>
  <c r="S86" i="7"/>
  <c r="N93" i="7"/>
  <c r="Q5" i="7"/>
  <c r="L6" i="7"/>
  <c r="R9" i="7"/>
  <c r="I14" i="7"/>
  <c r="P17" i="7"/>
  <c r="I19" i="7"/>
  <c r="J30" i="7"/>
  <c r="P33" i="7"/>
  <c r="G38" i="7"/>
  <c r="N45" i="7"/>
  <c r="O52" i="7"/>
  <c r="M58" i="7"/>
  <c r="H65" i="7"/>
  <c r="O68" i="7"/>
  <c r="I75" i="7"/>
  <c r="G90" i="7"/>
  <c r="F5" i="7"/>
  <c r="J8" i="7"/>
  <c r="K11" i="7"/>
  <c r="O18" i="7"/>
  <c r="M25" i="7"/>
  <c r="O28" i="7"/>
  <c r="G32" i="7"/>
  <c r="O35" i="7"/>
  <c r="L37" i="7"/>
  <c r="L46" i="7"/>
  <c r="O50" i="7"/>
  <c r="P54" i="7"/>
  <c r="K57" i="7"/>
  <c r="M66" i="7"/>
  <c r="I70" i="7"/>
  <c r="P75" i="7"/>
  <c r="F84" i="7"/>
  <c r="P88" i="7"/>
  <c r="F100" i="7"/>
  <c r="L4" i="7"/>
  <c r="Q6" i="7"/>
  <c r="S12" i="7"/>
  <c r="F6" i="7"/>
  <c r="S6" i="7"/>
  <c r="P7" i="7"/>
  <c r="M8" i="7"/>
  <c r="J9" i="7"/>
  <c r="J12" i="7"/>
  <c r="L14" i="7"/>
  <c r="H15" i="7"/>
  <c r="O16" i="7"/>
  <c r="J17" i="7"/>
  <c r="F18" i="7"/>
  <c r="P18" i="7"/>
  <c r="N19" i="7"/>
  <c r="H24" i="7"/>
  <c r="F25" i="7"/>
  <c r="P25" i="7"/>
  <c r="G33" i="7"/>
  <c r="P36" i="7"/>
  <c r="M37" i="7"/>
  <c r="S44" i="7"/>
  <c r="Q45" i="7"/>
  <c r="R46" i="7"/>
  <c r="P49" i="7"/>
  <c r="Q50" i="7"/>
  <c r="S51" i="7"/>
  <c r="R56" i="7"/>
  <c r="F59" i="7"/>
  <c r="I60" i="7"/>
  <c r="M65" i="7"/>
  <c r="Q66" i="7"/>
  <c r="F68" i="7"/>
  <c r="J69" i="7"/>
  <c r="K77" i="7"/>
  <c r="G84" i="7"/>
  <c r="R87" i="7"/>
  <c r="Q90" i="7"/>
  <c r="N92" i="7"/>
  <c r="Q95" i="7"/>
  <c r="G100" i="7"/>
  <c r="Q58" i="7"/>
  <c r="F60" i="7"/>
  <c r="G68" i="7"/>
  <c r="Q71" i="7"/>
  <c r="R76" i="7"/>
  <c r="I84" i="7"/>
  <c r="F86" i="7"/>
  <c r="H91" i="7"/>
  <c r="F93" i="7"/>
  <c r="R95" i="7"/>
  <c r="L100" i="7"/>
  <c r="I3" i="7"/>
  <c r="N4" i="7"/>
  <c r="N8" i="7"/>
  <c r="N9" i="7"/>
  <c r="M10" i="7"/>
  <c r="M13" i="7"/>
  <c r="S14" i="7"/>
  <c r="K16" i="7"/>
  <c r="K17" i="7"/>
  <c r="K18" i="7"/>
  <c r="I24" i="7"/>
  <c r="J26" i="7"/>
  <c r="P27" i="7"/>
  <c r="K30" i="7"/>
  <c r="O31" i="7"/>
  <c r="H38" i="7"/>
  <c r="R39" i="7"/>
  <c r="I45" i="7"/>
  <c r="Q47" i="7"/>
  <c r="J50" i="7"/>
  <c r="F53" i="7"/>
  <c r="J56" i="7"/>
  <c r="O60" i="7"/>
  <c r="N65" i="7"/>
  <c r="O67" i="7"/>
  <c r="S68" i="7"/>
  <c r="G76" i="7"/>
  <c r="R79" i="7"/>
  <c r="G86" i="7"/>
  <c r="P89" i="7"/>
  <c r="I91" i="7"/>
  <c r="H93" i="7"/>
  <c r="G94" i="7"/>
  <c r="H4" i="7"/>
  <c r="P4" i="7"/>
  <c r="G6" i="7"/>
  <c r="O6" i="7"/>
  <c r="G7" i="7"/>
  <c r="O7" i="7"/>
  <c r="H9" i="7"/>
  <c r="M11" i="7"/>
  <c r="F12" i="7"/>
  <c r="N12" i="7"/>
  <c r="L16" i="7"/>
  <c r="M19" i="7"/>
  <c r="S19" i="7"/>
  <c r="R24" i="7"/>
  <c r="Q25" i="7"/>
  <c r="Q26" i="7"/>
  <c r="J28" i="7"/>
  <c r="R28" i="7"/>
  <c r="J29" i="7"/>
  <c r="S29" i="7"/>
  <c r="N30" i="7"/>
  <c r="F31" i="7"/>
  <c r="H33" i="7"/>
  <c r="Q33" i="7"/>
  <c r="O36" i="7"/>
  <c r="H37" i="7"/>
  <c r="Q37" i="7"/>
  <c r="R38" i="7"/>
  <c r="J39" i="7"/>
  <c r="N40" i="7"/>
  <c r="F44" i="7"/>
  <c r="Q44" i="7"/>
  <c r="N48" i="7"/>
  <c r="J49" i="7"/>
  <c r="R51" i="7"/>
  <c r="K52" i="7"/>
  <c r="Q53" i="7"/>
  <c r="K54" i="7"/>
  <c r="O55" i="7"/>
  <c r="L56" i="7"/>
  <c r="S56" i="7"/>
  <c r="N57" i="7"/>
  <c r="H58" i="7"/>
  <c r="O59" i="7"/>
  <c r="H60" i="7"/>
  <c r="G65" i="7"/>
  <c r="P67" i="7"/>
  <c r="J71" i="7"/>
  <c r="R71" i="7"/>
  <c r="P72" i="7"/>
  <c r="I73" i="7"/>
  <c r="F74" i="7"/>
  <c r="N75" i="7"/>
  <c r="K76" i="7"/>
  <c r="F77" i="7"/>
  <c r="Q77" i="7"/>
  <c r="L78" i="7"/>
  <c r="I79" i="7"/>
  <c r="P80" i="7"/>
  <c r="N84" i="7"/>
  <c r="L85" i="7"/>
  <c r="J87" i="7"/>
  <c r="S88" i="7"/>
  <c r="M92" i="7"/>
  <c r="K93" i="7"/>
  <c r="H96" i="7"/>
  <c r="O98" i="7"/>
  <c r="O99" i="7"/>
  <c r="N100" i="7"/>
  <c r="G58" i="7"/>
  <c r="K59" i="7"/>
  <c r="J64" i="7"/>
  <c r="M69" i="7"/>
  <c r="G73" i="7"/>
  <c r="L75" i="7"/>
  <c r="G85" i="7"/>
  <c r="S87" i="7"/>
  <c r="G92" i="7"/>
  <c r="Q96" i="7"/>
  <c r="N98" i="7"/>
  <c r="O3" i="7"/>
  <c r="M5" i="7"/>
  <c r="F8" i="7"/>
  <c r="G10" i="7"/>
  <c r="F11" i="7"/>
  <c r="M14" i="7"/>
  <c r="L15" i="7"/>
  <c r="S17" i="7"/>
  <c r="S18" i="7"/>
  <c r="Q24" i="7"/>
  <c r="P26" i="7"/>
  <c r="Q32" i="7"/>
  <c r="G37" i="7"/>
  <c r="I39" i="7"/>
  <c r="K40" i="7"/>
  <c r="M46" i="7"/>
  <c r="R49" i="7"/>
  <c r="G51" i="7"/>
  <c r="L64" i="7"/>
  <c r="K66" i="7"/>
  <c r="N69" i="7"/>
  <c r="O74" i="7"/>
  <c r="H79" i="7"/>
  <c r="O80" i="7"/>
  <c r="O90" i="7"/>
  <c r="F95" i="7"/>
  <c r="J3" i="7"/>
  <c r="R3" i="7"/>
  <c r="H5" i="7"/>
  <c r="P5" i="7"/>
  <c r="I7" i="7"/>
  <c r="I8" i="7"/>
  <c r="O8" i="7"/>
  <c r="H10" i="7"/>
  <c r="P10" i="7"/>
  <c r="G11" i="7"/>
  <c r="O11" i="7"/>
  <c r="F13" i="7"/>
  <c r="N13" i="7"/>
  <c r="N14" i="7"/>
  <c r="G15" i="7"/>
  <c r="M15" i="7"/>
  <c r="F16" i="7"/>
  <c r="F17" i="7"/>
  <c r="L17" i="7"/>
  <c r="L24" i="7"/>
  <c r="K26" i="7"/>
  <c r="S26" i="7"/>
  <c r="K27" i="7"/>
  <c r="S27" i="7"/>
  <c r="G31" i="7"/>
  <c r="P31" i="7"/>
  <c r="R32" i="7"/>
  <c r="K33" i="7"/>
  <c r="R33" i="7"/>
  <c r="L34" i="7"/>
  <c r="N35" i="7"/>
  <c r="J37" i="7"/>
  <c r="R44" i="7"/>
  <c r="J45" i="7"/>
  <c r="Q46" i="7"/>
  <c r="K47" i="7"/>
  <c r="F48" i="7"/>
  <c r="S49" i="7"/>
  <c r="N50" i="7"/>
  <c r="M52" i="7"/>
  <c r="H55" i="7"/>
  <c r="S60" i="7"/>
  <c r="M64" i="7"/>
  <c r="P65" i="7"/>
  <c r="L66" i="7"/>
  <c r="H67" i="7"/>
  <c r="L70" i="7"/>
  <c r="H74" i="7"/>
  <c r="O75" i="7"/>
  <c r="O84" i="7"/>
  <c r="L86" i="7"/>
  <c r="I88" i="7"/>
  <c r="Q89" i="7"/>
  <c r="P90" i="7"/>
  <c r="L94" i="7"/>
  <c r="K95" i="7"/>
  <c r="P99" i="7"/>
  <c r="O100" i="7"/>
  <c r="H85" i="7"/>
  <c r="N86" i="7"/>
  <c r="N87" i="7"/>
  <c r="K90" i="7"/>
  <c r="Q91" i="7"/>
  <c r="O92" i="7"/>
  <c r="O93" i="7"/>
  <c r="M95" i="7"/>
  <c r="L96" i="7"/>
  <c r="R97" i="7"/>
  <c r="R98" i="7"/>
  <c r="P100" i="7"/>
  <c r="K3" i="7"/>
  <c r="J4" i="7"/>
  <c r="I5" i="7"/>
  <c r="R5" i="7"/>
  <c r="H6" i="7"/>
  <c r="M6" i="7"/>
  <c r="L7" i="7"/>
  <c r="K8" i="7"/>
  <c r="P8" i="7"/>
  <c r="F9" i="7"/>
  <c r="O9" i="7"/>
  <c r="N10" i="7"/>
  <c r="S10" i="7"/>
  <c r="I11" i="7"/>
  <c r="R11" i="7"/>
  <c r="L12" i="7"/>
  <c r="P13" i="7"/>
  <c r="F14" i="7"/>
  <c r="O14" i="7"/>
  <c r="S15" i="7"/>
  <c r="R16" i="7"/>
  <c r="L18" i="7"/>
  <c r="J24" i="7"/>
  <c r="S24" i="7"/>
  <c r="R25" i="7"/>
  <c r="M26" i="7"/>
  <c r="P28" i="7"/>
  <c r="P29" i="7"/>
  <c r="M31" i="7"/>
  <c r="I32" i="7"/>
  <c r="S32" i="7"/>
  <c r="N33" i="7"/>
  <c r="K35" i="7"/>
  <c r="G36" i="7"/>
  <c r="K39" i="7"/>
  <c r="Q40" i="7"/>
  <c r="H44" i="7"/>
  <c r="N44" i="7"/>
  <c r="L45" i="7"/>
  <c r="H46" i="7"/>
  <c r="N46" i="7"/>
  <c r="L47" i="7"/>
  <c r="Q80" i="7"/>
  <c r="P85" i="7"/>
  <c r="G87" i="7"/>
  <c r="M88" i="7"/>
  <c r="K91" i="7"/>
  <c r="I92" i="7"/>
  <c r="O94" i="7"/>
  <c r="F96" i="7"/>
  <c r="S96" i="7"/>
  <c r="J98" i="7"/>
  <c r="I100" i="7"/>
  <c r="S4" i="7"/>
  <c r="I16" i="7"/>
  <c r="H17" i="7"/>
  <c r="K19" i="7"/>
  <c r="I25" i="7"/>
  <c r="H26" i="7"/>
  <c r="L27" i="7"/>
  <c r="K28" i="7"/>
  <c r="F29" i="7"/>
  <c r="H31" i="7"/>
  <c r="R31" i="7"/>
  <c r="N32" i="7"/>
  <c r="J34" i="7"/>
  <c r="F35" i="7"/>
  <c r="P35" i="7"/>
  <c r="P39" i="7"/>
  <c r="J48" i="7"/>
  <c r="P48" i="7"/>
  <c r="G49" i="7"/>
  <c r="N49" i="7"/>
  <c r="K50" i="7"/>
  <c r="I51" i="7"/>
  <c r="F52" i="7"/>
  <c r="Q52" i="7"/>
  <c r="S54" i="7"/>
  <c r="Q55" i="7"/>
  <c r="N56" i="7"/>
  <c r="S59" i="7"/>
  <c r="J60" i="7"/>
  <c r="H64" i="7"/>
  <c r="K65" i="7"/>
  <c r="Q65" i="7"/>
  <c r="H66" i="7"/>
  <c r="O66" i="7"/>
  <c r="F67" i="7"/>
  <c r="L67" i="7"/>
  <c r="J68" i="7"/>
  <c r="H69" i="7"/>
  <c r="F70" i="7"/>
  <c r="F71" i="7"/>
  <c r="L71" i="7"/>
  <c r="L72" i="7"/>
  <c r="S72" i="7"/>
  <c r="J73" i="7"/>
  <c r="R73" i="7"/>
  <c r="J74" i="7"/>
  <c r="G77" i="7"/>
  <c r="N77" i="7"/>
  <c r="F78" i="7"/>
  <c r="M78" i="7"/>
  <c r="M79" i="7"/>
  <c r="S79" i="7"/>
  <c r="S80" i="7"/>
  <c r="Q84" i="7"/>
  <c r="H86" i="7"/>
  <c r="O86" i="7"/>
  <c r="F88" i="7"/>
  <c r="N88" i="7"/>
  <c r="L89" i="7"/>
  <c r="R90" i="7"/>
  <c r="I94" i="7"/>
  <c r="P94" i="7"/>
  <c r="G95" i="7"/>
  <c r="O95" i="7"/>
  <c r="L97" i="7"/>
  <c r="Q99" i="7"/>
  <c r="G3" i="7"/>
  <c r="F4" i="7"/>
  <c r="O4" i="7"/>
  <c r="N5" i="7"/>
  <c r="I6" i="7"/>
  <c r="R6" i="7"/>
  <c r="H7" i="7"/>
  <c r="Q7" i="7"/>
  <c r="G8" i="7"/>
  <c r="L8" i="7"/>
  <c r="K9" i="7"/>
  <c r="J10" i="7"/>
  <c r="O10" i="7"/>
  <c r="N11" i="7"/>
  <c r="H12" i="7"/>
  <c r="Q12" i="7"/>
  <c r="L13" i="7"/>
  <c r="K14" i="7"/>
  <c r="O15" i="7"/>
  <c r="N16" i="7"/>
  <c r="R17" i="7"/>
  <c r="H18" i="7"/>
  <c r="Q18" i="7"/>
  <c r="G19" i="7"/>
  <c r="F24" i="7"/>
  <c r="O24" i="7"/>
  <c r="N25" i="7"/>
  <c r="I26" i="7"/>
  <c r="R26" i="7"/>
  <c r="H27" i="7"/>
  <c r="Q27" i="7"/>
  <c r="G28" i="7"/>
  <c r="L28" i="7"/>
  <c r="K29" i="7"/>
  <c r="G30" i="7"/>
  <c r="L30" i="7"/>
  <c r="R30" i="7"/>
  <c r="S31" i="7"/>
  <c r="I33" i="7"/>
  <c r="O33" i="7"/>
  <c r="P34" i="7"/>
  <c r="Q35" i="7"/>
  <c r="H36" i="7"/>
  <c r="M36" i="7"/>
  <c r="I37" i="7"/>
  <c r="N37" i="7"/>
  <c r="S37" i="7"/>
  <c r="J38" i="7"/>
  <c r="F39" i="7"/>
  <c r="G40" i="7"/>
  <c r="R45" i="7"/>
  <c r="I46" i="7"/>
  <c r="G47" i="7"/>
  <c r="R50" i="7"/>
  <c r="L52" i="7"/>
  <c r="R52" i="7"/>
  <c r="J53" i="7"/>
  <c r="P53" i="7"/>
  <c r="G54" i="7"/>
  <c r="N54" i="7"/>
  <c r="K55" i="7"/>
  <c r="I56" i="7"/>
  <c r="L57" i="7"/>
  <c r="R57" i="7"/>
  <c r="J58" i="7"/>
  <c r="P58" i="7"/>
  <c r="G59" i="7"/>
  <c r="N59" i="7"/>
  <c r="Q60" i="7"/>
  <c r="N64" i="7"/>
  <c r="S67" i="7"/>
  <c r="P68" i="7"/>
  <c r="O69" i="7"/>
  <c r="N70" i="7"/>
  <c r="M71" i="7"/>
  <c r="L73" i="7"/>
  <c r="J75" i="7"/>
  <c r="Q75" i="7"/>
  <c r="L80" i="7"/>
  <c r="K84" i="7"/>
  <c r="K85" i="7"/>
  <c r="I86" i="7"/>
  <c r="I87" i="7"/>
  <c r="O87" i="7"/>
  <c r="H88" i="7"/>
  <c r="F89" i="7"/>
  <c r="F90" i="7"/>
  <c r="L90" i="7"/>
  <c r="L91" i="7"/>
  <c r="S91" i="7"/>
  <c r="J92" i="7"/>
  <c r="R92" i="7"/>
  <c r="J93" i="7"/>
  <c r="G96" i="7"/>
  <c r="N96" i="7"/>
  <c r="F97" i="7"/>
  <c r="M97" i="7"/>
  <c r="M98" i="7"/>
  <c r="S98" i="7"/>
  <c r="S99" i="7"/>
  <c r="Q100" i="7"/>
  <c r="Q3" i="7"/>
  <c r="K4" i="7"/>
  <c r="J5" i="7"/>
  <c r="N6" i="7"/>
  <c r="M7" i="7"/>
  <c r="H8" i="7"/>
  <c r="Q8" i="7"/>
  <c r="G9" i="7"/>
  <c r="P9" i="7"/>
  <c r="F10" i="7"/>
  <c r="K10" i="7"/>
  <c r="J11" i="7"/>
  <c r="S11" i="7"/>
  <c r="M12" i="7"/>
  <c r="R12" i="7"/>
  <c r="H13" i="7"/>
  <c r="Q13" i="7"/>
  <c r="G14" i="7"/>
  <c r="P14" i="7"/>
  <c r="K15" i="7"/>
  <c r="J16" i="7"/>
  <c r="S16" i="7"/>
  <c r="N17" i="7"/>
  <c r="M18" i="7"/>
  <c r="Q19" i="7"/>
  <c r="K24" i="7"/>
  <c r="J25" i="7"/>
  <c r="N26" i="7"/>
  <c r="M27" i="7"/>
  <c r="H28" i="7"/>
  <c r="Q28" i="7"/>
  <c r="G29" i="7"/>
  <c r="L29" i="7"/>
  <c r="Q29" i="7"/>
  <c r="I31" i="7"/>
  <c r="N31" i="7"/>
  <c r="J32" i="7"/>
  <c r="O32" i="7"/>
  <c r="F34" i="7"/>
  <c r="G35" i="7"/>
  <c r="L35" i="7"/>
  <c r="R35" i="7"/>
  <c r="S36" i="7"/>
  <c r="K38" i="7"/>
  <c r="P38" i="7"/>
  <c r="G39" i="7"/>
  <c r="L39" i="7"/>
  <c r="Q39" i="7"/>
  <c r="M40" i="7"/>
  <c r="I44" i="7"/>
  <c r="O44" i="7"/>
  <c r="M45" i="7"/>
  <c r="P46" i="7"/>
  <c r="M47" i="7"/>
  <c r="K48" i="7"/>
  <c r="Q48" i="7"/>
  <c r="O49" i="7"/>
  <c r="F50" i="7"/>
  <c r="M50" i="7"/>
  <c r="S50" i="7"/>
  <c r="J51" i="7"/>
  <c r="Q51" i="7"/>
  <c r="G52" i="7"/>
  <c r="I54" i="7"/>
  <c r="G57" i="7"/>
  <c r="K58" i="7"/>
  <c r="K60" i="7"/>
  <c r="R60" i="7"/>
  <c r="I64" i="7"/>
  <c r="L65" i="7"/>
  <c r="R65" i="7"/>
  <c r="P66" i="7"/>
  <c r="G67" i="7"/>
  <c r="N67" i="7"/>
  <c r="K68" i="7"/>
  <c r="R68" i="7"/>
  <c r="I69" i="7"/>
  <c r="P69" i="7"/>
  <c r="G71" i="7"/>
  <c r="O71" i="7"/>
  <c r="G72" i="7"/>
  <c r="M73" i="7"/>
  <c r="S73" i="7"/>
  <c r="K74" i="7"/>
  <c r="S74" i="7"/>
  <c r="Q76" i="7"/>
  <c r="H77" i="7"/>
  <c r="P77" i="7"/>
  <c r="N78" i="7"/>
  <c r="N79" i="7"/>
  <c r="L84" i="7"/>
  <c r="R85" i="7"/>
  <c r="Q86" i="7"/>
  <c r="O88" i="7"/>
  <c r="N89" i="7"/>
  <c r="M90" i="7"/>
  <c r="L92" i="7"/>
  <c r="J94" i="7"/>
  <c r="Q94" i="7"/>
  <c r="L99" i="7"/>
  <c r="K100" i="7"/>
  <c r="G44" i="7"/>
  <c r="P44" i="7"/>
  <c r="F45" i="7"/>
  <c r="J46" i="7"/>
  <c r="S46" i="7"/>
  <c r="I47" i="7"/>
  <c r="M48" i="7"/>
  <c r="L49" i="7"/>
  <c r="G50" i="7"/>
  <c r="P50" i="7"/>
  <c r="F51" i="7"/>
  <c r="O51" i="7"/>
  <c r="I52" i="7"/>
  <c r="N52" i="7"/>
  <c r="M53" i="7"/>
  <c r="L54" i="7"/>
  <c r="Q54" i="7"/>
  <c r="G55" i="7"/>
  <c r="P55" i="7"/>
  <c r="F56" i="7"/>
  <c r="O56" i="7"/>
  <c r="J57" i="7"/>
  <c r="S57" i="7"/>
  <c r="I58" i="7"/>
  <c r="R58" i="7"/>
  <c r="M59" i="7"/>
  <c r="G60" i="7"/>
  <c r="P60" i="7"/>
  <c r="F64" i="7"/>
  <c r="J65" i="7"/>
  <c r="S65" i="7"/>
  <c r="I66" i="7"/>
  <c r="M67" i="7"/>
  <c r="L68" i="7"/>
  <c r="G69" i="7"/>
  <c r="L69" i="7"/>
  <c r="Q69" i="7"/>
  <c r="H71" i="7"/>
  <c r="S71" i="7"/>
  <c r="O72" i="7"/>
  <c r="P73" i="7"/>
  <c r="L74" i="7"/>
  <c r="H75" i="7"/>
  <c r="M75" i="7"/>
  <c r="R75" i="7"/>
  <c r="I77" i="7"/>
  <c r="J78" i="7"/>
  <c r="F79" i="7"/>
  <c r="K79" i="7"/>
  <c r="Q79" i="7"/>
  <c r="H84" i="7"/>
  <c r="M84" i="7"/>
  <c r="R84" i="7"/>
  <c r="J86" i="7"/>
  <c r="F87" i="7"/>
  <c r="K87" i="7"/>
  <c r="G88" i="7"/>
  <c r="L88" i="7"/>
  <c r="Q88" i="7"/>
  <c r="H90" i="7"/>
  <c r="S90" i="7"/>
  <c r="O91" i="7"/>
  <c r="P92" i="7"/>
  <c r="L93" i="7"/>
  <c r="H94" i="7"/>
  <c r="M94" i="7"/>
  <c r="R94" i="7"/>
  <c r="I96" i="7"/>
  <c r="J97" i="7"/>
  <c r="F98" i="7"/>
  <c r="K98" i="7"/>
  <c r="Q98" i="7"/>
  <c r="H100" i="7"/>
  <c r="M100" i="7"/>
  <c r="R100" i="7"/>
  <c r="H3" i="7"/>
  <c r="L3" i="7"/>
  <c r="P3" i="7"/>
  <c r="G5" i="7"/>
  <c r="K5" i="7"/>
  <c r="O5" i="7"/>
  <c r="S5" i="7"/>
  <c r="F7" i="7"/>
  <c r="J7" i="7"/>
  <c r="N7" i="7"/>
  <c r="R7" i="7"/>
  <c r="I9" i="7"/>
  <c r="M9" i="7"/>
  <c r="Q9" i="7"/>
  <c r="H11" i="7"/>
  <c r="L11" i="7"/>
  <c r="P11" i="7"/>
  <c r="G13" i="7"/>
  <c r="K13" i="7"/>
  <c r="O13" i="7"/>
  <c r="S13" i="7"/>
  <c r="F15" i="7"/>
  <c r="J15" i="7"/>
  <c r="N15" i="7"/>
  <c r="R15" i="7"/>
  <c r="I17" i="7"/>
  <c r="M17" i="7"/>
  <c r="Q17" i="7"/>
  <c r="H19" i="7"/>
  <c r="L19" i="7"/>
  <c r="P19" i="7"/>
  <c r="G25" i="7"/>
  <c r="K25" i="7"/>
  <c r="O25" i="7"/>
  <c r="S25" i="7"/>
  <c r="F27" i="7"/>
  <c r="J27" i="7"/>
  <c r="N27" i="7"/>
  <c r="R27" i="7"/>
  <c r="I29" i="7"/>
  <c r="R29" i="7"/>
  <c r="H30" i="7"/>
  <c r="L31" i="7"/>
  <c r="K32" i="7"/>
  <c r="J33" i="7"/>
  <c r="S33" i="7"/>
  <c r="I34" i="7"/>
  <c r="R34" i="7"/>
  <c r="H35" i="7"/>
  <c r="M35" i="7"/>
  <c r="L36" i="7"/>
  <c r="K37" i="7"/>
  <c r="P37" i="7"/>
  <c r="F38" i="7"/>
  <c r="O38" i="7"/>
  <c r="N39" i="7"/>
  <c r="S39" i="7"/>
  <c r="I40" i="7"/>
  <c r="R40" i="7"/>
  <c r="L44" i="7"/>
  <c r="P45" i="7"/>
  <c r="F46" i="7"/>
  <c r="O46" i="7"/>
  <c r="S47" i="7"/>
  <c r="I48" i="7"/>
  <c r="R48" i="7"/>
  <c r="H49" i="7"/>
  <c r="L50" i="7"/>
  <c r="K51" i="7"/>
  <c r="J52" i="7"/>
  <c r="S52" i="7"/>
  <c r="I53" i="7"/>
  <c r="R53" i="7"/>
  <c r="H54" i="7"/>
  <c r="M54" i="7"/>
  <c r="L55" i="7"/>
  <c r="K56" i="7"/>
  <c r="P56" i="7"/>
  <c r="F57" i="7"/>
  <c r="O57" i="7"/>
  <c r="N58" i="7"/>
  <c r="S58" i="7"/>
  <c r="I59" i="7"/>
  <c r="R59" i="7"/>
  <c r="L60" i="7"/>
  <c r="P64" i="7"/>
  <c r="F65" i="7"/>
  <c r="O65" i="7"/>
  <c r="S66" i="7"/>
  <c r="I67" i="7"/>
  <c r="R67" i="7"/>
  <c r="H68" i="7"/>
  <c r="R69" i="7"/>
  <c r="H70" i="7"/>
  <c r="M70" i="7"/>
  <c r="R70" i="7"/>
  <c r="I71" i="7"/>
  <c r="F73" i="7"/>
  <c r="K73" i="7"/>
  <c r="R74" i="7"/>
  <c r="S75" i="7"/>
  <c r="I76" i="7"/>
  <c r="N76" i="7"/>
  <c r="J77" i="7"/>
  <c r="O77" i="7"/>
  <c r="P78" i="7"/>
  <c r="L79" i="7"/>
  <c r="H80" i="7"/>
  <c r="M80" i="7"/>
  <c r="J85" i="7"/>
  <c r="O85" i="7"/>
  <c r="K86" i="7"/>
  <c r="P86" i="7"/>
  <c r="R88" i="7"/>
  <c r="H89" i="7"/>
  <c r="M89" i="7"/>
  <c r="R89" i="7"/>
  <c r="I90" i="7"/>
  <c r="F92" i="7"/>
  <c r="K92" i="7"/>
  <c r="R93" i="7"/>
  <c r="S94" i="7"/>
  <c r="I95" i="7"/>
  <c r="N95" i="7"/>
  <c r="J96" i="7"/>
  <c r="O96" i="7"/>
  <c r="P97" i="7"/>
  <c r="L98" i="7"/>
  <c r="H99" i="7"/>
  <c r="M99" i="7"/>
  <c r="I30" i="7"/>
  <c r="M30" i="7"/>
  <c r="Q30" i="7"/>
  <c r="H32" i="7"/>
  <c r="L32" i="7"/>
  <c r="P32" i="7"/>
  <c r="G34" i="7"/>
  <c r="K34" i="7"/>
  <c r="O34" i="7"/>
  <c r="S34" i="7"/>
  <c r="F36" i="7"/>
  <c r="J36" i="7"/>
  <c r="N36" i="7"/>
  <c r="R36" i="7"/>
  <c r="I38" i="7"/>
  <c r="M38" i="7"/>
  <c r="Q38" i="7"/>
  <c r="H40" i="7"/>
  <c r="L40" i="7"/>
  <c r="P40" i="7"/>
  <c r="G45" i="7"/>
  <c r="K45" i="7"/>
  <c r="O45" i="7"/>
  <c r="S45" i="7"/>
  <c r="F47" i="7"/>
  <c r="J47" i="7"/>
  <c r="N47" i="7"/>
  <c r="R47" i="7"/>
  <c r="I49" i="7"/>
  <c r="M49" i="7"/>
  <c r="Q49" i="7"/>
  <c r="H51" i="7"/>
  <c r="L51" i="7"/>
  <c r="P51" i="7"/>
  <c r="G53" i="7"/>
  <c r="K53" i="7"/>
  <c r="O53" i="7"/>
  <c r="S53" i="7"/>
  <c r="F55" i="7"/>
  <c r="J55" i="7"/>
  <c r="N55" i="7"/>
  <c r="R55" i="7"/>
  <c r="I57" i="7"/>
  <c r="M57" i="7"/>
  <c r="Q57" i="7"/>
  <c r="H59" i="7"/>
  <c r="L59" i="7"/>
  <c r="P59" i="7"/>
  <c r="G64" i="7"/>
  <c r="K64" i="7"/>
  <c r="O64" i="7"/>
  <c r="S64" i="7"/>
  <c r="F66" i="7"/>
  <c r="J66" i="7"/>
  <c r="N66" i="7"/>
  <c r="R66" i="7"/>
  <c r="I68" i="7"/>
  <c r="M68" i="7"/>
  <c r="Q68" i="7"/>
  <c r="K69" i="7"/>
  <c r="J70" i="7"/>
  <c r="N71" i="7"/>
  <c r="M72" i="7"/>
  <c r="H73" i="7"/>
  <c r="Q73" i="7"/>
  <c r="G74" i="7"/>
  <c r="P74" i="7"/>
  <c r="F75" i="7"/>
  <c r="K75" i="7"/>
  <c r="J76" i="7"/>
  <c r="S76" i="7"/>
  <c r="M77" i="7"/>
  <c r="R77" i="7"/>
  <c r="H78" i="7"/>
  <c r="Q78" i="7"/>
  <c r="G79" i="7"/>
  <c r="P79" i="7"/>
  <c r="K80" i="7"/>
  <c r="J84" i="7"/>
  <c r="S84" i="7"/>
  <c r="N85" i="7"/>
  <c r="M86" i="7"/>
  <c r="Q87" i="7"/>
  <c r="K88" i="7"/>
  <c r="J89" i="7"/>
  <c r="N90" i="7"/>
  <c r="M91" i="7"/>
  <c r="H92" i="7"/>
  <c r="Q92" i="7"/>
  <c r="G93" i="7"/>
  <c r="P93" i="7"/>
  <c r="F94" i="7"/>
  <c r="K94" i="7"/>
  <c r="J95" i="7"/>
  <c r="S95" i="7"/>
  <c r="M96" i="7"/>
  <c r="R96" i="7"/>
  <c r="H97" i="7"/>
  <c r="Q97" i="7"/>
  <c r="G98" i="7"/>
  <c r="P98" i="7"/>
  <c r="K99" i="7"/>
  <c r="J100" i="7"/>
  <c r="S100" i="7"/>
  <c r="G70" i="7"/>
  <c r="K70" i="7"/>
  <c r="O70" i="7"/>
  <c r="S70" i="7"/>
  <c r="F72" i="7"/>
  <c r="J72" i="7"/>
  <c r="N72" i="7"/>
  <c r="R72" i="7"/>
  <c r="I74" i="7"/>
  <c r="M74" i="7"/>
  <c r="Q74" i="7"/>
  <c r="H76" i="7"/>
  <c r="L76" i="7"/>
  <c r="P76" i="7"/>
  <c r="G78" i="7"/>
  <c r="K78" i="7"/>
  <c r="O78" i="7"/>
  <c r="S78" i="7"/>
  <c r="F80" i="7"/>
  <c r="J80" i="7"/>
  <c r="N80" i="7"/>
  <c r="R80" i="7"/>
  <c r="I85" i="7"/>
  <c r="M85" i="7"/>
  <c r="Q85" i="7"/>
  <c r="H87" i="7"/>
  <c r="L87" i="7"/>
  <c r="P87" i="7"/>
  <c r="G89" i="7"/>
  <c r="K89" i="7"/>
  <c r="O89" i="7"/>
  <c r="S89" i="7"/>
  <c r="F91" i="7"/>
  <c r="J91" i="7"/>
  <c r="N91" i="7"/>
  <c r="R91" i="7"/>
  <c r="I93" i="7"/>
  <c r="M93" i="7"/>
  <c r="Q93" i="7"/>
  <c r="H95" i="7"/>
  <c r="L95" i="7"/>
  <c r="P95" i="7"/>
  <c r="G97" i="7"/>
  <c r="K97" i="7"/>
  <c r="O97" i="7"/>
  <c r="S97" i="7"/>
  <c r="F99" i="7"/>
  <c r="J99" i="7"/>
  <c r="N99" i="7"/>
  <c r="R99" i="7"/>
  <c r="G5" i="6"/>
  <c r="M6" i="6"/>
  <c r="J7" i="6"/>
  <c r="S8" i="6"/>
  <c r="P9" i="6"/>
  <c r="J12" i="6"/>
  <c r="J14" i="6"/>
  <c r="G15" i="6"/>
  <c r="H16" i="6"/>
  <c r="J17" i="6"/>
  <c r="P18" i="6"/>
  <c r="F26" i="6"/>
  <c r="M28" i="6"/>
  <c r="O32" i="6"/>
  <c r="P38" i="6"/>
  <c r="N40" i="6"/>
  <c r="J45" i="6"/>
  <c r="N50" i="6"/>
  <c r="M58" i="6"/>
  <c r="P80" i="6"/>
  <c r="H3" i="6"/>
  <c r="Q3" i="6"/>
  <c r="M4" i="6"/>
  <c r="H5" i="6"/>
  <c r="S5" i="6"/>
  <c r="K7" i="6"/>
  <c r="R10" i="6"/>
  <c r="Q11" i="6"/>
  <c r="S19" i="6"/>
  <c r="K26" i="6"/>
  <c r="O27" i="6"/>
  <c r="N31" i="6"/>
  <c r="L34" i="6"/>
  <c r="S40" i="6"/>
  <c r="Q45" i="6"/>
  <c r="K47" i="6"/>
  <c r="O50" i="6"/>
  <c r="R52" i="6"/>
  <c r="O60" i="6"/>
  <c r="J73" i="6"/>
  <c r="F76" i="6"/>
  <c r="G86" i="6"/>
  <c r="O90" i="6"/>
  <c r="N93" i="6"/>
  <c r="J98" i="6"/>
  <c r="N4" i="6"/>
  <c r="H8" i="6"/>
  <c r="O13" i="6"/>
  <c r="L14" i="6"/>
  <c r="M16" i="6"/>
  <c r="P17" i="6"/>
  <c r="J25" i="6"/>
  <c r="M26" i="6"/>
  <c r="R28" i="6"/>
  <c r="O31" i="6"/>
  <c r="F33" i="6"/>
  <c r="O37" i="6"/>
  <c r="I55" i="6"/>
  <c r="H57" i="6"/>
  <c r="K66" i="6"/>
  <c r="Q80" i="6"/>
  <c r="I3" i="6"/>
  <c r="Q4" i="6"/>
  <c r="K5" i="6"/>
  <c r="N7" i="6"/>
  <c r="I9" i="6"/>
  <c r="G10" i="6"/>
  <c r="G11" i="6"/>
  <c r="M15" i="6"/>
  <c r="G19" i="6"/>
  <c r="Q27" i="6"/>
  <c r="I36" i="6"/>
  <c r="M39" i="6"/>
  <c r="F69" i="6"/>
  <c r="P71" i="6"/>
  <c r="M76" i="6"/>
  <c r="N86" i="6"/>
  <c r="G91" i="6"/>
  <c r="P96" i="6"/>
  <c r="F4" i="6"/>
  <c r="J9" i="6"/>
  <c r="S12" i="6"/>
  <c r="P13" i="6"/>
  <c r="P14" i="6"/>
  <c r="S16" i="6"/>
  <c r="F18" i="6"/>
  <c r="H19" i="6"/>
  <c r="R26" i="6"/>
  <c r="L33" i="6"/>
  <c r="G38" i="6"/>
  <c r="M44" i="6"/>
  <c r="J46" i="6"/>
  <c r="M51" i="6"/>
  <c r="N57" i="6"/>
  <c r="O59" i="6"/>
  <c r="H69" i="6"/>
  <c r="O74" i="6"/>
  <c r="O76" i="6"/>
  <c r="M79" i="6"/>
  <c r="Q84" i="6"/>
  <c r="O86" i="6"/>
  <c r="I89" i="6"/>
  <c r="G94" i="6"/>
  <c r="O99" i="6"/>
  <c r="I4" i="6"/>
  <c r="R4" i="6"/>
  <c r="L5" i="6"/>
  <c r="F7" i="6"/>
  <c r="O7" i="6"/>
  <c r="K10" i="6"/>
  <c r="Q14" i="6"/>
  <c r="O25" i="6"/>
  <c r="K29" i="6"/>
  <c r="O30" i="6"/>
  <c r="F32" i="6"/>
  <c r="K35" i="6"/>
  <c r="O36" i="6"/>
  <c r="P39" i="6"/>
  <c r="S44" i="6"/>
  <c r="K46" i="6"/>
  <c r="H48" i="6"/>
  <c r="O49" i="6"/>
  <c r="H56" i="6"/>
  <c r="R64" i="6"/>
  <c r="K67" i="6"/>
  <c r="H72" i="6"/>
  <c r="P99" i="6"/>
  <c r="O5" i="6"/>
  <c r="L6" i="6"/>
  <c r="R7" i="6"/>
  <c r="O8" i="6"/>
  <c r="N9" i="6"/>
  <c r="I12" i="6"/>
  <c r="F13" i="6"/>
  <c r="K18" i="6"/>
  <c r="M19" i="6"/>
  <c r="N24" i="6"/>
  <c r="H28" i="6"/>
  <c r="I32" i="6"/>
  <c r="O51" i="6"/>
  <c r="L67" i="6"/>
  <c r="I72" i="6"/>
  <c r="F85" i="6"/>
  <c r="M87" i="6"/>
  <c r="I92" i="6"/>
  <c r="R97" i="6"/>
  <c r="P3" i="6"/>
  <c r="J4" i="6"/>
  <c r="P5" i="6"/>
  <c r="G7" i="6"/>
  <c r="S7" i="6"/>
  <c r="M11" i="6"/>
  <c r="F14" i="6"/>
  <c r="I17" i="6"/>
  <c r="Q19" i="6"/>
  <c r="Q29" i="6"/>
  <c r="F34" i="6"/>
  <c r="Q35" i="6"/>
  <c r="I37" i="6"/>
  <c r="I50" i="6"/>
  <c r="J56" i="6"/>
  <c r="H58" i="6"/>
  <c r="H65" i="6"/>
  <c r="I75" i="6"/>
  <c r="Q77" i="6"/>
  <c r="I80" i="6"/>
  <c r="L85" i="6"/>
  <c r="S87" i="6"/>
  <c r="K95" i="6"/>
  <c r="O48" i="6"/>
  <c r="F52" i="6"/>
  <c r="J54" i="6"/>
  <c r="O56" i="6"/>
  <c r="P57" i="6"/>
  <c r="O58" i="6"/>
  <c r="H64" i="6"/>
  <c r="I65" i="6"/>
  <c r="L66" i="6"/>
  <c r="F68" i="6"/>
  <c r="K72" i="6"/>
  <c r="O79" i="6"/>
  <c r="R86" i="6"/>
  <c r="M88" i="6"/>
  <c r="Q89" i="6"/>
  <c r="L3" i="6"/>
  <c r="H6" i="6"/>
  <c r="P6" i="6"/>
  <c r="I8" i="6"/>
  <c r="L10" i="6"/>
  <c r="H11" i="6"/>
  <c r="S11" i="6"/>
  <c r="N12" i="6"/>
  <c r="J13" i="6"/>
  <c r="S24" i="6"/>
  <c r="S26" i="6"/>
  <c r="H31" i="6"/>
  <c r="G32" i="6"/>
  <c r="R35" i="6"/>
  <c r="G39" i="6"/>
  <c r="G40" i="6"/>
  <c r="L45" i="6"/>
  <c r="Q46" i="6"/>
  <c r="Q47" i="6"/>
  <c r="Q48" i="6"/>
  <c r="F51" i="6"/>
  <c r="F71" i="6"/>
  <c r="Q72" i="6"/>
  <c r="F74" i="6"/>
  <c r="L75" i="6"/>
  <c r="I84" i="6"/>
  <c r="N88" i="6"/>
  <c r="S92" i="6"/>
  <c r="I94" i="6"/>
  <c r="I97" i="6"/>
  <c r="N98" i="6"/>
  <c r="I100" i="6"/>
  <c r="F50" i="6"/>
  <c r="G51" i="6"/>
  <c r="L53" i="6"/>
  <c r="P55" i="6"/>
  <c r="Q56" i="6"/>
  <c r="F59" i="6"/>
  <c r="H60" i="6"/>
  <c r="J64" i="6"/>
  <c r="P65" i="6"/>
  <c r="L71" i="6"/>
  <c r="H74" i="6"/>
  <c r="G77" i="6"/>
  <c r="L78" i="6"/>
  <c r="G80" i="6"/>
  <c r="J87" i="6"/>
  <c r="P88" i="6"/>
  <c r="P91" i="6"/>
  <c r="P94" i="6"/>
  <c r="F96" i="6"/>
  <c r="M3" i="6"/>
  <c r="I6" i="6"/>
  <c r="Q6" i="6"/>
  <c r="M8" i="6"/>
  <c r="F10" i="6"/>
  <c r="P10" i="6"/>
  <c r="L11" i="6"/>
  <c r="O12" i="6"/>
  <c r="K13" i="6"/>
  <c r="R15" i="6"/>
  <c r="N17" i="6"/>
  <c r="L19" i="6"/>
  <c r="I24" i="6"/>
  <c r="I27" i="6"/>
  <c r="G28" i="6"/>
  <c r="I31" i="6"/>
  <c r="N32" i="6"/>
  <c r="N33" i="6"/>
  <c r="H39" i="6"/>
  <c r="M40" i="6"/>
  <c r="R46" i="6"/>
  <c r="G50" i="6"/>
  <c r="L52" i="6"/>
  <c r="Q53" i="6"/>
  <c r="R54" i="6"/>
  <c r="Q55" i="6"/>
  <c r="G58" i="6"/>
  <c r="Q64" i="6"/>
  <c r="Q65" i="6"/>
  <c r="N68" i="6"/>
  <c r="S72" i="6"/>
  <c r="F86" i="6"/>
  <c r="K90" i="6"/>
  <c r="G99" i="6"/>
  <c r="L100" i="6"/>
  <c r="N15" i="6"/>
  <c r="I16" i="6"/>
  <c r="R18" i="6"/>
  <c r="J24" i="6"/>
  <c r="F25" i="6"/>
  <c r="P25" i="6"/>
  <c r="N26" i="6"/>
  <c r="N28" i="6"/>
  <c r="L29" i="6"/>
  <c r="R30" i="6"/>
  <c r="G33" i="6"/>
  <c r="M34" i="6"/>
  <c r="L35" i="6"/>
  <c r="J37" i="6"/>
  <c r="J38" i="6"/>
  <c r="N44" i="6"/>
  <c r="L46" i="6"/>
  <c r="L47" i="6"/>
  <c r="J49" i="6"/>
  <c r="P50" i="6"/>
  <c r="M52" i="6"/>
  <c r="S54" i="6"/>
  <c r="S55" i="6"/>
  <c r="J59" i="6"/>
  <c r="I60" i="6"/>
  <c r="K65" i="6"/>
  <c r="F67" i="6"/>
  <c r="G68" i="6"/>
  <c r="J69" i="6"/>
  <c r="L70" i="6"/>
  <c r="N73" i="6"/>
  <c r="S77" i="6"/>
  <c r="H79" i="6"/>
  <c r="H86" i="6"/>
  <c r="F88" i="6"/>
  <c r="H91" i="6"/>
  <c r="M92" i="6"/>
  <c r="O93" i="6"/>
  <c r="H96" i="6"/>
  <c r="I99" i="6"/>
  <c r="K4" i="6"/>
  <c r="S4" i="6"/>
  <c r="J6" i="6"/>
  <c r="R6" i="6"/>
  <c r="F9" i="6"/>
  <c r="Q9" i="6"/>
  <c r="I11" i="6"/>
  <c r="H14" i="6"/>
  <c r="R14" i="6"/>
  <c r="L17" i="6"/>
  <c r="O19" i="6"/>
  <c r="I26" i="6"/>
  <c r="P28" i="6"/>
  <c r="J31" i="6"/>
  <c r="J32" i="6"/>
  <c r="S36" i="6"/>
  <c r="K39" i="6"/>
  <c r="O40" i="6"/>
  <c r="F45" i="6"/>
  <c r="M46" i="6"/>
  <c r="L48" i="6"/>
  <c r="J50" i="6"/>
  <c r="J51" i="6"/>
  <c r="L56" i="6"/>
  <c r="R57" i="6"/>
  <c r="I58" i="6"/>
  <c r="J60" i="6"/>
  <c r="M66" i="6"/>
  <c r="P67" i="6"/>
  <c r="L72" i="6"/>
  <c r="G76" i="6"/>
  <c r="R79" i="6"/>
  <c r="G85" i="6"/>
  <c r="N87" i="6"/>
  <c r="G90" i="6"/>
  <c r="I91" i="6"/>
  <c r="L94" i="6"/>
  <c r="O95" i="6"/>
  <c r="N100" i="6"/>
  <c r="J3" i="6"/>
  <c r="R3" i="6"/>
  <c r="I5" i="6"/>
  <c r="Q5" i="6"/>
  <c r="L7" i="6"/>
  <c r="P8" i="6"/>
  <c r="N10" i="6"/>
  <c r="K12" i="6"/>
  <c r="G13" i="6"/>
  <c r="R13" i="6"/>
  <c r="J15" i="6"/>
  <c r="P16" i="6"/>
  <c r="N18" i="6"/>
  <c r="F24" i="6"/>
  <c r="Q24" i="6"/>
  <c r="L25" i="6"/>
  <c r="O26" i="6"/>
  <c r="M27" i="6"/>
  <c r="G29" i="6"/>
  <c r="S30" i="6"/>
  <c r="S31" i="6"/>
  <c r="I33" i="6"/>
  <c r="H34" i="6"/>
  <c r="G35" i="6"/>
  <c r="M36" i="6"/>
  <c r="S37" i="6"/>
  <c r="O44" i="6"/>
  <c r="M47" i="6"/>
  <c r="S48" i="6"/>
  <c r="S49" i="6"/>
  <c r="H52" i="6"/>
  <c r="N53" i="6"/>
  <c r="N54" i="6"/>
  <c r="L57" i="6"/>
  <c r="K59" i="6"/>
  <c r="M64" i="6"/>
  <c r="G66" i="6"/>
  <c r="P70" i="6"/>
  <c r="G73" i="6"/>
  <c r="J74" i="6"/>
  <c r="R76" i="6"/>
  <c r="F78" i="6"/>
  <c r="O84" i="6"/>
  <c r="J88" i="6"/>
  <c r="L89" i="6"/>
  <c r="Q90" i="6"/>
  <c r="N92" i="6"/>
  <c r="Q95" i="6"/>
  <c r="K96" i="6"/>
  <c r="H98" i="6"/>
  <c r="O100" i="6"/>
  <c r="H4" i="6"/>
  <c r="L4" i="6"/>
  <c r="P4" i="6"/>
  <c r="G6" i="6"/>
  <c r="K6" i="6"/>
  <c r="O6" i="6"/>
  <c r="S6" i="6"/>
  <c r="H9" i="6"/>
  <c r="M9" i="6"/>
  <c r="R9" i="6"/>
  <c r="K11" i="6"/>
  <c r="P11" i="6"/>
  <c r="I14" i="6"/>
  <c r="N14" i="6"/>
  <c r="H17" i="6"/>
  <c r="M17" i="6"/>
  <c r="R17" i="6"/>
  <c r="K19" i="6"/>
  <c r="P19" i="6"/>
  <c r="J26" i="6"/>
  <c r="H27" i="6"/>
  <c r="K28" i="6"/>
  <c r="Q28" i="6"/>
  <c r="N29" i="6"/>
  <c r="M31" i="6"/>
  <c r="S32" i="6"/>
  <c r="J34" i="6"/>
  <c r="G36" i="6"/>
  <c r="L38" i="6"/>
  <c r="L39" i="6"/>
  <c r="R39" i="6"/>
  <c r="J40" i="6"/>
  <c r="I44" i="6"/>
  <c r="I45" i="6"/>
  <c r="M48" i="6"/>
  <c r="R51" i="6"/>
  <c r="H53" i="6"/>
  <c r="F56" i="6"/>
  <c r="M56" i="6"/>
  <c r="S57" i="6"/>
  <c r="L58" i="6"/>
  <c r="M60" i="6"/>
  <c r="G65" i="6"/>
  <c r="N65" i="6"/>
  <c r="J67" i="6"/>
  <c r="Q67" i="6"/>
  <c r="J68" i="6"/>
  <c r="S68" i="6"/>
  <c r="M69" i="6"/>
  <c r="F70" i="6"/>
  <c r="K71" i="6"/>
  <c r="P72" i="6"/>
  <c r="G75" i="6"/>
  <c r="P75" i="6"/>
  <c r="K76" i="6"/>
  <c r="J79" i="6"/>
  <c r="S79" i="6"/>
  <c r="P84" i="6"/>
  <c r="H85" i="6"/>
  <c r="S85" i="6"/>
  <c r="G87" i="6"/>
  <c r="R87" i="6"/>
  <c r="J90" i="6"/>
  <c r="N94" i="6"/>
  <c r="G95" i="6"/>
  <c r="I98" i="6"/>
  <c r="R98" i="6"/>
  <c r="P100" i="6"/>
  <c r="I15" i="6"/>
  <c r="S15" i="6"/>
  <c r="O16" i="6"/>
  <c r="G18" i="6"/>
  <c r="L18" i="6"/>
  <c r="O24" i="6"/>
  <c r="K25" i="6"/>
  <c r="H26" i="6"/>
  <c r="L27" i="6"/>
  <c r="F29" i="6"/>
  <c r="J30" i="6"/>
  <c r="P31" i="6"/>
  <c r="O33" i="6"/>
  <c r="F35" i="6"/>
  <c r="S35" i="6"/>
  <c r="Q37" i="6"/>
  <c r="G44" i="6"/>
  <c r="J48" i="6"/>
  <c r="P49" i="6"/>
  <c r="G52" i="6"/>
  <c r="F53" i="6"/>
  <c r="L54" i="6"/>
  <c r="K55" i="6"/>
  <c r="K57" i="6"/>
  <c r="Q59" i="6"/>
  <c r="L64" i="6"/>
  <c r="O67" i="6"/>
  <c r="O68" i="6"/>
  <c r="S69" i="6"/>
  <c r="Q71" i="6"/>
  <c r="K77" i="6"/>
  <c r="M78" i="6"/>
  <c r="S80" i="6"/>
  <c r="S86" i="6"/>
  <c r="Q91" i="6"/>
  <c r="F93" i="6"/>
  <c r="M95" i="6"/>
  <c r="Q96" i="6"/>
  <c r="Q99" i="6"/>
  <c r="G4" i="6"/>
  <c r="O4" i="6"/>
  <c r="F6" i="6"/>
  <c r="N6" i="6"/>
  <c r="L9" i="6"/>
  <c r="O11" i="6"/>
  <c r="M14" i="6"/>
  <c r="F17" i="6"/>
  <c r="Q17" i="6"/>
  <c r="I19" i="6"/>
  <c r="I28" i="6"/>
  <c r="S29" i="6"/>
  <c r="R31" i="6"/>
  <c r="Q32" i="6"/>
  <c r="K38" i="6"/>
  <c r="Q39" i="6"/>
  <c r="H44" i="6"/>
  <c r="N45" i="6"/>
  <c r="Q50" i="6"/>
  <c r="Q51" i="6"/>
  <c r="M53" i="6"/>
  <c r="R56" i="6"/>
  <c r="Q58" i="6"/>
  <c r="S60" i="6"/>
  <c r="M65" i="6"/>
  <c r="H67" i="6"/>
  <c r="J71" i="6"/>
  <c r="N75" i="6"/>
  <c r="I79" i="6"/>
  <c r="N84" i="6"/>
  <c r="P85" i="6"/>
  <c r="I88" i="6"/>
  <c r="P90" i="6"/>
  <c r="H93" i="6"/>
  <c r="F95" i="6"/>
  <c r="L97" i="6"/>
  <c r="O98" i="6"/>
  <c r="F3" i="6"/>
  <c r="N3" i="6"/>
  <c r="M5" i="6"/>
  <c r="H7" i="6"/>
  <c r="P7" i="6"/>
  <c r="K8" i="6"/>
  <c r="H10" i="6"/>
  <c r="S10" i="6"/>
  <c r="F12" i="6"/>
  <c r="Q12" i="6"/>
  <c r="L13" i="6"/>
  <c r="O15" i="6"/>
  <c r="K16" i="6"/>
  <c r="H18" i="6"/>
  <c r="S18" i="6"/>
  <c r="K24" i="6"/>
  <c r="G25" i="6"/>
  <c r="R25" i="6"/>
  <c r="S27" i="6"/>
  <c r="M29" i="6"/>
  <c r="L30" i="6"/>
  <c r="K31" i="6"/>
  <c r="P33" i="6"/>
  <c r="P34" i="6"/>
  <c r="N35" i="6"/>
  <c r="L37" i="6"/>
  <c r="R38" i="6"/>
  <c r="Q40" i="6"/>
  <c r="G46" i="6"/>
  <c r="G47" i="6"/>
  <c r="K49" i="6"/>
  <c r="K50" i="6"/>
  <c r="P52" i="6"/>
  <c r="G54" i="6"/>
  <c r="J58" i="6"/>
  <c r="S59" i="6"/>
  <c r="O66" i="6"/>
  <c r="R71" i="6"/>
  <c r="O73" i="6"/>
  <c r="O75" i="6"/>
  <c r="L77" i="6"/>
  <c r="F84" i="6"/>
  <c r="L86" i="6"/>
  <c r="S88" i="6"/>
  <c r="K91" i="6"/>
  <c r="S93" i="6"/>
  <c r="S96" i="6"/>
  <c r="N97" i="6"/>
  <c r="F100" i="6"/>
  <c r="G3" i="6"/>
  <c r="K3" i="6"/>
  <c r="O3" i="6"/>
  <c r="S3" i="6"/>
  <c r="F5" i="6"/>
  <c r="J5" i="6"/>
  <c r="N5" i="6"/>
  <c r="R5" i="6"/>
  <c r="I7" i="6"/>
  <c r="M7" i="6"/>
  <c r="Q7" i="6"/>
  <c r="G8" i="6"/>
  <c r="L8" i="6"/>
  <c r="Q8" i="6"/>
  <c r="J10" i="6"/>
  <c r="O10" i="6"/>
  <c r="G12" i="6"/>
  <c r="M12" i="6"/>
  <c r="R12" i="6"/>
  <c r="H13" i="6"/>
  <c r="N13" i="6"/>
  <c r="S13" i="6"/>
  <c r="F15" i="6"/>
  <c r="K15" i="6"/>
  <c r="Q15" i="6"/>
  <c r="G16" i="6"/>
  <c r="L16" i="6"/>
  <c r="Q16" i="6"/>
  <c r="J18" i="6"/>
  <c r="O18" i="6"/>
  <c r="G24" i="6"/>
  <c r="M24" i="6"/>
  <c r="R24" i="6"/>
  <c r="H25" i="6"/>
  <c r="N25" i="6"/>
  <c r="L28" i="6"/>
  <c r="H29" i="6"/>
  <c r="P29" i="6"/>
  <c r="G30" i="6"/>
  <c r="N30" i="6"/>
  <c r="K33" i="6"/>
  <c r="Q33" i="6"/>
  <c r="Q34" i="6"/>
  <c r="I35" i="6"/>
  <c r="P35" i="6"/>
  <c r="H36" i="6"/>
  <c r="F37" i="6"/>
  <c r="N37" i="6"/>
  <c r="F39" i="6"/>
  <c r="J44" i="6"/>
  <c r="R44" i="6"/>
  <c r="P46" i="6"/>
  <c r="H47" i="6"/>
  <c r="P47" i="6"/>
  <c r="G48" i="6"/>
  <c r="N48" i="6"/>
  <c r="F49" i="6"/>
  <c r="N49" i="6"/>
  <c r="K52" i="6"/>
  <c r="Q52" i="6"/>
  <c r="I54" i="6"/>
  <c r="O54" i="6"/>
  <c r="O55" i="6"/>
  <c r="G56" i="6"/>
  <c r="G57" i="6"/>
  <c r="F60" i="6"/>
  <c r="N60" i="6"/>
  <c r="H66" i="6"/>
  <c r="Q66" i="6"/>
  <c r="N69" i="6"/>
  <c r="I70" i="6"/>
  <c r="Q70" i="6"/>
  <c r="I73" i="6"/>
  <c r="R73" i="6"/>
  <c r="N74" i="6"/>
  <c r="F77" i="6"/>
  <c r="N77" i="6"/>
  <c r="I78" i="6"/>
  <c r="R78" i="6"/>
  <c r="O80" i="6"/>
  <c r="G84" i="6"/>
  <c r="P89" i="6"/>
  <c r="R90" i="6"/>
  <c r="G92" i="6"/>
  <c r="O92" i="6"/>
  <c r="K93" i="6"/>
  <c r="O94" i="6"/>
  <c r="R95" i="6"/>
  <c r="L96" i="6"/>
  <c r="G100" i="6"/>
  <c r="G9" i="6"/>
  <c r="K9" i="6"/>
  <c r="O9" i="6"/>
  <c r="S9" i="6"/>
  <c r="F11" i="6"/>
  <c r="J11" i="6"/>
  <c r="N11" i="6"/>
  <c r="R11" i="6"/>
  <c r="I13" i="6"/>
  <c r="M13" i="6"/>
  <c r="Q13" i="6"/>
  <c r="H15" i="6"/>
  <c r="L15" i="6"/>
  <c r="P15" i="6"/>
  <c r="G17" i="6"/>
  <c r="K17" i="6"/>
  <c r="O17" i="6"/>
  <c r="S17" i="6"/>
  <c r="F19" i="6"/>
  <c r="J19" i="6"/>
  <c r="N19" i="6"/>
  <c r="R19" i="6"/>
  <c r="I25" i="6"/>
  <c r="M25" i="6"/>
  <c r="Q25" i="6"/>
  <c r="G26" i="6"/>
  <c r="P26" i="6"/>
  <c r="K27" i="6"/>
  <c r="J28" i="6"/>
  <c r="S28" i="6"/>
  <c r="F31" i="6"/>
  <c r="Q31" i="6"/>
  <c r="M32" i="6"/>
  <c r="R32" i="6"/>
  <c r="R33" i="6"/>
  <c r="N34" i="6"/>
  <c r="J35" i="6"/>
  <c r="O35" i="6"/>
  <c r="K36" i="6"/>
  <c r="P36" i="6"/>
  <c r="G37" i="6"/>
  <c r="H38" i="6"/>
  <c r="I39" i="6"/>
  <c r="O39" i="6"/>
  <c r="F44" i="6"/>
  <c r="K44" i="6"/>
  <c r="P44" i="6"/>
  <c r="H46" i="6"/>
  <c r="I47" i="6"/>
  <c r="O47" i="6"/>
  <c r="P48" i="6"/>
  <c r="H50" i="6"/>
  <c r="M50" i="6"/>
  <c r="R50" i="6"/>
  <c r="I51" i="6"/>
  <c r="N51" i="6"/>
  <c r="S51" i="6"/>
  <c r="N52" i="6"/>
  <c r="J53" i="6"/>
  <c r="F54" i="6"/>
  <c r="K54" i="6"/>
  <c r="P54" i="6"/>
  <c r="G55" i="6"/>
  <c r="K58" i="6"/>
  <c r="P58" i="6"/>
  <c r="G59" i="6"/>
  <c r="N59" i="6"/>
  <c r="Q60" i="6"/>
  <c r="N64" i="6"/>
  <c r="S67" i="6"/>
  <c r="P68" i="6"/>
  <c r="O69" i="6"/>
  <c r="N70" i="6"/>
  <c r="M71" i="6"/>
  <c r="L73" i="6"/>
  <c r="J75" i="6"/>
  <c r="Q75" i="6"/>
  <c r="L80" i="6"/>
  <c r="K84" i="6"/>
  <c r="K85" i="6"/>
  <c r="I86" i="6"/>
  <c r="I87" i="6"/>
  <c r="O87" i="6"/>
  <c r="H88" i="6"/>
  <c r="F89" i="6"/>
  <c r="F90" i="6"/>
  <c r="L90" i="6"/>
  <c r="L91" i="6"/>
  <c r="S91" i="6"/>
  <c r="J92" i="6"/>
  <c r="R92" i="6"/>
  <c r="J93" i="6"/>
  <c r="G96" i="6"/>
  <c r="N96" i="6"/>
  <c r="F97" i="6"/>
  <c r="M97" i="6"/>
  <c r="M98" i="6"/>
  <c r="S98" i="6"/>
  <c r="S99" i="6"/>
  <c r="Q100" i="6"/>
  <c r="F8" i="6"/>
  <c r="J8" i="6"/>
  <c r="N8" i="6"/>
  <c r="R8" i="6"/>
  <c r="I10" i="6"/>
  <c r="M10" i="6"/>
  <c r="Q10" i="6"/>
  <c r="H12" i="6"/>
  <c r="L12" i="6"/>
  <c r="P12" i="6"/>
  <c r="G14" i="6"/>
  <c r="K14" i="6"/>
  <c r="O14" i="6"/>
  <c r="S14" i="6"/>
  <c r="F16" i="6"/>
  <c r="J16" i="6"/>
  <c r="N16" i="6"/>
  <c r="R16" i="6"/>
  <c r="I18" i="6"/>
  <c r="M18" i="6"/>
  <c r="Q18" i="6"/>
  <c r="H24" i="6"/>
  <c r="L24" i="6"/>
  <c r="P24" i="6"/>
  <c r="L26" i="6"/>
  <c r="Q26" i="6"/>
  <c r="G27" i="6"/>
  <c r="P27" i="6"/>
  <c r="F28" i="6"/>
  <c r="O28" i="6"/>
  <c r="J29" i="6"/>
  <c r="O29" i="6"/>
  <c r="F30" i="6"/>
  <c r="K30" i="6"/>
  <c r="P30" i="6"/>
  <c r="G31" i="6"/>
  <c r="H33" i="6"/>
  <c r="M33" i="6"/>
  <c r="Q36" i="6"/>
  <c r="H37" i="6"/>
  <c r="M37" i="6"/>
  <c r="R37" i="6"/>
  <c r="N38" i="6"/>
  <c r="S38" i="6"/>
  <c r="J39" i="6"/>
  <c r="F40" i="6"/>
  <c r="K40" i="6"/>
  <c r="Q44" i="6"/>
  <c r="H45" i="6"/>
  <c r="M45" i="6"/>
  <c r="R45" i="6"/>
  <c r="I46" i="6"/>
  <c r="N46" i="6"/>
  <c r="S46" i="6"/>
  <c r="F48" i="6"/>
  <c r="K48" i="6"/>
  <c r="G49" i="6"/>
  <c r="L49" i="6"/>
  <c r="R49" i="6"/>
  <c r="S50" i="6"/>
  <c r="I52" i="6"/>
  <c r="O52" i="6"/>
  <c r="P53" i="6"/>
  <c r="Q54" i="6"/>
  <c r="H55" i="6"/>
  <c r="M55" i="6"/>
  <c r="I56" i="6"/>
  <c r="N56" i="6"/>
  <c r="S56" i="6"/>
  <c r="J57" i="6"/>
  <c r="F58" i="6"/>
  <c r="K60" i="6"/>
  <c r="R60" i="6"/>
  <c r="I64" i="6"/>
  <c r="L65" i="6"/>
  <c r="R65" i="6"/>
  <c r="P66" i="6"/>
  <c r="G67" i="6"/>
  <c r="N67" i="6"/>
  <c r="K68" i="6"/>
  <c r="R68" i="6"/>
  <c r="I69" i="6"/>
  <c r="P69" i="6"/>
  <c r="G71" i="6"/>
  <c r="O71" i="6"/>
  <c r="G72" i="6"/>
  <c r="M73" i="6"/>
  <c r="S73" i="6"/>
  <c r="K74" i="6"/>
  <c r="S74" i="6"/>
  <c r="Q76" i="6"/>
  <c r="H77" i="6"/>
  <c r="P77" i="6"/>
  <c r="N78" i="6"/>
  <c r="N79" i="6"/>
  <c r="L84" i="6"/>
  <c r="R85" i="6"/>
  <c r="Q86" i="6"/>
  <c r="O88" i="6"/>
  <c r="N89" i="6"/>
  <c r="M90" i="6"/>
  <c r="L92" i="6"/>
  <c r="J94" i="6"/>
  <c r="Q94" i="6"/>
  <c r="L99" i="6"/>
  <c r="K100" i="6"/>
  <c r="R58" i="6"/>
  <c r="M59" i="6"/>
  <c r="G60" i="6"/>
  <c r="P60" i="6"/>
  <c r="F64" i="6"/>
  <c r="J65" i="6"/>
  <c r="S65" i="6"/>
  <c r="I66" i="6"/>
  <c r="M67" i="6"/>
  <c r="L68" i="6"/>
  <c r="G69" i="6"/>
  <c r="L69" i="6"/>
  <c r="Q69" i="6"/>
  <c r="H71" i="6"/>
  <c r="S71" i="6"/>
  <c r="O72" i="6"/>
  <c r="P73" i="6"/>
  <c r="L74" i="6"/>
  <c r="H75" i="6"/>
  <c r="M75" i="6"/>
  <c r="R75" i="6"/>
  <c r="I77" i="6"/>
  <c r="J78" i="6"/>
  <c r="F79" i="6"/>
  <c r="K79" i="6"/>
  <c r="Q79" i="6"/>
  <c r="H84" i="6"/>
  <c r="M84" i="6"/>
  <c r="R84" i="6"/>
  <c r="J86" i="6"/>
  <c r="F87" i="6"/>
  <c r="K87" i="6"/>
  <c r="G88" i="6"/>
  <c r="L88" i="6"/>
  <c r="Q88" i="6"/>
  <c r="H90" i="6"/>
  <c r="S90" i="6"/>
  <c r="O91" i="6"/>
  <c r="P92" i="6"/>
  <c r="L93" i="6"/>
  <c r="H94" i="6"/>
  <c r="M94" i="6"/>
  <c r="R94" i="6"/>
  <c r="I96" i="6"/>
  <c r="J97" i="6"/>
  <c r="F98" i="6"/>
  <c r="K98" i="6"/>
  <c r="Q98" i="6"/>
  <c r="H100" i="6"/>
  <c r="M100" i="6"/>
  <c r="R100" i="6"/>
  <c r="S25" i="6"/>
  <c r="F27" i="6"/>
  <c r="J27" i="6"/>
  <c r="N27" i="6"/>
  <c r="R27" i="6"/>
  <c r="I29" i="6"/>
  <c r="R29" i="6"/>
  <c r="H30" i="6"/>
  <c r="L31" i="6"/>
  <c r="K32" i="6"/>
  <c r="J33" i="6"/>
  <c r="S33" i="6"/>
  <c r="I34" i="6"/>
  <c r="R34" i="6"/>
  <c r="H35" i="6"/>
  <c r="M35" i="6"/>
  <c r="L36" i="6"/>
  <c r="K37" i="6"/>
  <c r="P37" i="6"/>
  <c r="F38" i="6"/>
  <c r="O38" i="6"/>
  <c r="N39" i="6"/>
  <c r="S39" i="6"/>
  <c r="I40" i="6"/>
  <c r="R40" i="6"/>
  <c r="L44" i="6"/>
  <c r="P45" i="6"/>
  <c r="F46" i="6"/>
  <c r="O46" i="6"/>
  <c r="S47" i="6"/>
  <c r="I48" i="6"/>
  <c r="R48" i="6"/>
  <c r="H49" i="6"/>
  <c r="L50" i="6"/>
  <c r="K51" i="6"/>
  <c r="J52" i="6"/>
  <c r="S52" i="6"/>
  <c r="I53" i="6"/>
  <c r="R53" i="6"/>
  <c r="H54" i="6"/>
  <c r="M54" i="6"/>
  <c r="L55" i="6"/>
  <c r="K56" i="6"/>
  <c r="P56" i="6"/>
  <c r="F57" i="6"/>
  <c r="O57" i="6"/>
  <c r="N58" i="6"/>
  <c r="S58" i="6"/>
  <c r="I59" i="6"/>
  <c r="R59" i="6"/>
  <c r="L60" i="6"/>
  <c r="P64" i="6"/>
  <c r="F65" i="6"/>
  <c r="O65" i="6"/>
  <c r="S66" i="6"/>
  <c r="I67" i="6"/>
  <c r="R67" i="6"/>
  <c r="H68" i="6"/>
  <c r="R69" i="6"/>
  <c r="H70" i="6"/>
  <c r="M70" i="6"/>
  <c r="R70" i="6"/>
  <c r="I71" i="6"/>
  <c r="F73" i="6"/>
  <c r="K73" i="6"/>
  <c r="R74" i="6"/>
  <c r="S75" i="6"/>
  <c r="I76" i="6"/>
  <c r="N76" i="6"/>
  <c r="J77" i="6"/>
  <c r="O77" i="6"/>
  <c r="P78" i="6"/>
  <c r="L79" i="6"/>
  <c r="H80" i="6"/>
  <c r="M80" i="6"/>
  <c r="J85" i="6"/>
  <c r="O85" i="6"/>
  <c r="K86" i="6"/>
  <c r="P86" i="6"/>
  <c r="R88" i="6"/>
  <c r="H89" i="6"/>
  <c r="M89" i="6"/>
  <c r="R89" i="6"/>
  <c r="I90" i="6"/>
  <c r="F92" i="6"/>
  <c r="K92" i="6"/>
  <c r="R93" i="6"/>
  <c r="S94" i="6"/>
  <c r="I95" i="6"/>
  <c r="N95" i="6"/>
  <c r="J96" i="6"/>
  <c r="O96" i="6"/>
  <c r="P97" i="6"/>
  <c r="L98" i="6"/>
  <c r="H99" i="6"/>
  <c r="M99" i="6"/>
  <c r="I30" i="6"/>
  <c r="M30" i="6"/>
  <c r="Q30" i="6"/>
  <c r="H32" i="6"/>
  <c r="L32" i="6"/>
  <c r="P32" i="6"/>
  <c r="G34" i="6"/>
  <c r="K34" i="6"/>
  <c r="O34" i="6"/>
  <c r="S34" i="6"/>
  <c r="F36" i="6"/>
  <c r="J36" i="6"/>
  <c r="N36" i="6"/>
  <c r="R36" i="6"/>
  <c r="I38" i="6"/>
  <c r="M38" i="6"/>
  <c r="Q38" i="6"/>
  <c r="H40" i="6"/>
  <c r="L40" i="6"/>
  <c r="P40" i="6"/>
  <c r="G45" i="6"/>
  <c r="K45" i="6"/>
  <c r="O45" i="6"/>
  <c r="S45" i="6"/>
  <c r="F47" i="6"/>
  <c r="J47" i="6"/>
  <c r="N47" i="6"/>
  <c r="R47" i="6"/>
  <c r="I49" i="6"/>
  <c r="M49" i="6"/>
  <c r="Q49" i="6"/>
  <c r="H51" i="6"/>
  <c r="L51" i="6"/>
  <c r="P51" i="6"/>
  <c r="G53" i="6"/>
  <c r="K53" i="6"/>
  <c r="O53" i="6"/>
  <c r="S53" i="6"/>
  <c r="F55" i="6"/>
  <c r="J55" i="6"/>
  <c r="N55" i="6"/>
  <c r="R55" i="6"/>
  <c r="I57" i="6"/>
  <c r="M57" i="6"/>
  <c r="Q57" i="6"/>
  <c r="H59" i="6"/>
  <c r="L59" i="6"/>
  <c r="P59" i="6"/>
  <c r="G64" i="6"/>
  <c r="K64" i="6"/>
  <c r="O64" i="6"/>
  <c r="S64" i="6"/>
  <c r="F66" i="6"/>
  <c r="J66" i="6"/>
  <c r="N66" i="6"/>
  <c r="R66" i="6"/>
  <c r="I68" i="6"/>
  <c r="M68" i="6"/>
  <c r="Q68" i="6"/>
  <c r="K69" i="6"/>
  <c r="J70" i="6"/>
  <c r="N71" i="6"/>
  <c r="M72" i="6"/>
  <c r="H73" i="6"/>
  <c r="Q73" i="6"/>
  <c r="G74" i="6"/>
  <c r="P74" i="6"/>
  <c r="F75" i="6"/>
  <c r="K75" i="6"/>
  <c r="J76" i="6"/>
  <c r="S76" i="6"/>
  <c r="M77" i="6"/>
  <c r="R77" i="6"/>
  <c r="H78" i="6"/>
  <c r="Q78" i="6"/>
  <c r="G79" i="6"/>
  <c r="P79" i="6"/>
  <c r="K80" i="6"/>
  <c r="J84" i="6"/>
  <c r="S84" i="6"/>
  <c r="N85" i="6"/>
  <c r="M86" i="6"/>
  <c r="Q87" i="6"/>
  <c r="K88" i="6"/>
  <c r="J89" i="6"/>
  <c r="N90" i="6"/>
  <c r="M91" i="6"/>
  <c r="H92" i="6"/>
  <c r="Q92" i="6"/>
  <c r="G93" i="6"/>
  <c r="P93" i="6"/>
  <c r="F94" i="6"/>
  <c r="K94" i="6"/>
  <c r="J95" i="6"/>
  <c r="S95" i="6"/>
  <c r="M96" i="6"/>
  <c r="R96" i="6"/>
  <c r="H97" i="6"/>
  <c r="Q97" i="6"/>
  <c r="G98" i="6"/>
  <c r="P98" i="6"/>
  <c r="K99" i="6"/>
  <c r="J100" i="6"/>
  <c r="S100" i="6"/>
  <c r="G70" i="6"/>
  <c r="K70" i="6"/>
  <c r="O70" i="6"/>
  <c r="S70" i="6"/>
  <c r="F72" i="6"/>
  <c r="J72" i="6"/>
  <c r="N72" i="6"/>
  <c r="R72" i="6"/>
  <c r="I74" i="6"/>
  <c r="M74" i="6"/>
  <c r="Q74" i="6"/>
  <c r="H76" i="6"/>
  <c r="L76" i="6"/>
  <c r="P76" i="6"/>
  <c r="G78" i="6"/>
  <c r="K78" i="6"/>
  <c r="O78" i="6"/>
  <c r="S78" i="6"/>
  <c r="F80" i="6"/>
  <c r="J80" i="6"/>
  <c r="N80" i="6"/>
  <c r="R80" i="6"/>
  <c r="I85" i="6"/>
  <c r="M85" i="6"/>
  <c r="Q85" i="6"/>
  <c r="H87" i="6"/>
  <c r="L87" i="6"/>
  <c r="P87" i="6"/>
  <c r="G89" i="6"/>
  <c r="K89" i="6"/>
  <c r="O89" i="6"/>
  <c r="S89" i="6"/>
  <c r="F91" i="6"/>
  <c r="J91" i="6"/>
  <c r="N91" i="6"/>
  <c r="R91" i="6"/>
  <c r="I93" i="6"/>
  <c r="M93" i="6"/>
  <c r="Q93" i="6"/>
  <c r="H95" i="6"/>
  <c r="L95" i="6"/>
  <c r="P95" i="6"/>
  <c r="G97" i="6"/>
  <c r="K97" i="6"/>
  <c r="O97" i="6"/>
  <c r="S97" i="6"/>
  <c r="F99" i="6"/>
  <c r="J99" i="6"/>
  <c r="N99" i="6"/>
  <c r="R99" i="6"/>
  <c r="P3" i="4"/>
  <c r="R4" i="4"/>
  <c r="Q7" i="4"/>
  <c r="H8" i="4"/>
  <c r="J9" i="4"/>
  <c r="H13" i="4"/>
  <c r="Q17" i="4"/>
  <c r="L19" i="4"/>
  <c r="S27" i="4"/>
  <c r="L30" i="4"/>
  <c r="H34" i="4"/>
  <c r="J39" i="4"/>
  <c r="M49" i="4"/>
  <c r="Q52" i="4"/>
  <c r="J70" i="4"/>
  <c r="G90" i="4"/>
  <c r="Q3" i="4"/>
  <c r="I7" i="4"/>
  <c r="N10" i="4"/>
  <c r="N15" i="4"/>
  <c r="G29" i="4"/>
  <c r="H38" i="4"/>
  <c r="J59" i="4"/>
  <c r="K66" i="4"/>
  <c r="J73" i="4"/>
  <c r="K78" i="4"/>
  <c r="I3" i="4"/>
  <c r="N5" i="4"/>
  <c r="J7" i="4"/>
  <c r="S8" i="4"/>
  <c r="O10" i="4"/>
  <c r="P11" i="4"/>
  <c r="K13" i="4"/>
  <c r="L14" i="4"/>
  <c r="J17" i="4"/>
  <c r="M19" i="4"/>
  <c r="J24" i="4"/>
  <c r="N30" i="4"/>
  <c r="N34" i="4"/>
  <c r="R46" i="4"/>
  <c r="I51" i="4"/>
  <c r="O56" i="4"/>
  <c r="F5" i="4"/>
  <c r="K8" i="4"/>
  <c r="M14" i="4"/>
  <c r="O15" i="4"/>
  <c r="N18" i="4"/>
  <c r="O19" i="4"/>
  <c r="K29" i="4"/>
  <c r="G36" i="4"/>
  <c r="R38" i="4"/>
  <c r="G53" i="4"/>
  <c r="S64" i="4"/>
  <c r="G76" i="4"/>
  <c r="N4" i="4"/>
  <c r="O5" i="4"/>
  <c r="S7" i="4"/>
  <c r="F9" i="4"/>
  <c r="R10" i="4"/>
  <c r="Q11" i="4"/>
  <c r="I15" i="4"/>
  <c r="K16" i="4"/>
  <c r="F18" i="4"/>
  <c r="P19" i="4"/>
  <c r="Q25" i="4"/>
  <c r="L28" i="4"/>
  <c r="R34" i="4"/>
  <c r="L47" i="4"/>
  <c r="K50" i="4"/>
  <c r="I67" i="4"/>
  <c r="R96" i="4"/>
  <c r="M7" i="4"/>
  <c r="P9" i="4"/>
  <c r="K11" i="4"/>
  <c r="F13" i="4"/>
  <c r="R15" i="4"/>
  <c r="G18" i="4"/>
  <c r="H19" i="4"/>
  <c r="R29" i="4"/>
  <c r="K36" i="4"/>
  <c r="S38" i="4"/>
  <c r="N44" i="4"/>
  <c r="M57" i="4"/>
  <c r="J60" i="4"/>
  <c r="P69" i="4"/>
  <c r="L74" i="4"/>
  <c r="M77" i="4"/>
  <c r="H85" i="4"/>
  <c r="H92" i="4"/>
  <c r="M3" i="4"/>
  <c r="Q4" i="4"/>
  <c r="H5" i="4"/>
  <c r="P5" i="4"/>
  <c r="L6" i="4"/>
  <c r="O8" i="4"/>
  <c r="Q9" i="4"/>
  <c r="K10" i="4"/>
  <c r="S10" i="4"/>
  <c r="O13" i="4"/>
  <c r="J15" i="4"/>
  <c r="S15" i="4"/>
  <c r="L16" i="4"/>
  <c r="P17" i="4"/>
  <c r="I19" i="4"/>
  <c r="S19" i="4"/>
  <c r="O27" i="4"/>
  <c r="P28" i="4"/>
  <c r="I31" i="4"/>
  <c r="J35" i="4"/>
  <c r="J40" i="4"/>
  <c r="N47" i="4"/>
  <c r="K49" i="4"/>
  <c r="P50" i="4"/>
  <c r="I52" i="4"/>
  <c r="O55" i="4"/>
  <c r="P65" i="4"/>
  <c r="M67" i="4"/>
  <c r="H80" i="4"/>
  <c r="J4" i="4"/>
  <c r="M6" i="4"/>
  <c r="P8" i="4"/>
  <c r="O11" i="4"/>
  <c r="R13" i="4"/>
  <c r="I17" i="4"/>
  <c r="J18" i="4"/>
  <c r="G25" i="4"/>
  <c r="P31" i="4"/>
  <c r="N35" i="4"/>
  <c r="K40" i="4"/>
  <c r="M46" i="4"/>
  <c r="H51" i="4"/>
  <c r="Q68" i="4"/>
  <c r="P80" i="4"/>
  <c r="H3" i="4"/>
  <c r="F10" i="4"/>
  <c r="G11" i="4"/>
  <c r="G16" i="4"/>
  <c r="M26" i="4"/>
  <c r="F37" i="4"/>
  <c r="N54" i="4"/>
  <c r="L64" i="4"/>
  <c r="R68" i="4"/>
  <c r="S3" i="4"/>
  <c r="R7" i="4"/>
  <c r="M9" i="4"/>
  <c r="H11" i="4"/>
  <c r="I12" i="4"/>
  <c r="S13" i="4"/>
  <c r="R17" i="4"/>
  <c r="P25" i="4"/>
  <c r="K33" i="4"/>
  <c r="N39" i="4"/>
  <c r="L45" i="4"/>
  <c r="L48" i="4"/>
  <c r="H71" i="4"/>
  <c r="L78" i="4"/>
  <c r="M4" i="4"/>
  <c r="H6" i="4"/>
  <c r="G10" i="4"/>
  <c r="G15" i="4"/>
  <c r="L17" i="4"/>
  <c r="G19" i="4"/>
  <c r="F32" i="4"/>
  <c r="M37" i="4"/>
  <c r="L58" i="4"/>
  <c r="S68" i="4"/>
  <c r="P87" i="4"/>
  <c r="H100" i="4"/>
  <c r="L3" i="4"/>
  <c r="G5" i="4"/>
  <c r="K7" i="4"/>
  <c r="L8" i="4"/>
  <c r="N9" i="4"/>
  <c r="I11" i="4"/>
  <c r="L13" i="4"/>
  <c r="Q15" i="4"/>
  <c r="S16" i="4"/>
  <c r="K24" i="4"/>
  <c r="H27" i="4"/>
  <c r="L33" i="4"/>
  <c r="O45" i="4"/>
  <c r="Q48" i="4"/>
  <c r="N55" i="4"/>
  <c r="F92" i="4"/>
  <c r="F4" i="4"/>
  <c r="H9" i="4"/>
  <c r="M12" i="4"/>
  <c r="N13" i="4"/>
  <c r="P14" i="4"/>
  <c r="O18" i="4"/>
  <c r="Q19" i="4"/>
  <c r="O32" i="4"/>
  <c r="Q37" i="4"/>
  <c r="P53" i="4"/>
  <c r="R58" i="4"/>
  <c r="G3" i="4"/>
  <c r="O3" i="4"/>
  <c r="J5" i="4"/>
  <c r="F7" i="4"/>
  <c r="I9" i="4"/>
  <c r="R9" i="4"/>
  <c r="F12" i="4"/>
  <c r="N12" i="4"/>
  <c r="G13" i="4"/>
  <c r="P13" i="4"/>
  <c r="I14" i="4"/>
  <c r="Q14" i="4"/>
  <c r="K15" i="4"/>
  <c r="H17" i="4"/>
  <c r="I26" i="4"/>
  <c r="Q32" i="4"/>
  <c r="Q36" i="4"/>
  <c r="G38" i="4"/>
  <c r="O44" i="4"/>
  <c r="F54" i="4"/>
  <c r="O57" i="4"/>
  <c r="I59" i="4"/>
  <c r="S60" i="4"/>
  <c r="P72" i="4"/>
  <c r="P77" i="4"/>
  <c r="R93" i="4"/>
  <c r="J27" i="4"/>
  <c r="G30" i="4"/>
  <c r="R30" i="4"/>
  <c r="J31" i="4"/>
  <c r="O35" i="4"/>
  <c r="L38" i="4"/>
  <c r="P39" i="4"/>
  <c r="F44" i="4"/>
  <c r="S47" i="4"/>
  <c r="R49" i="4"/>
  <c r="N51" i="4"/>
  <c r="J52" i="4"/>
  <c r="G55" i="4"/>
  <c r="F57" i="4"/>
  <c r="P59" i="4"/>
  <c r="K60" i="4"/>
  <c r="O73" i="4"/>
  <c r="M76" i="4"/>
  <c r="H79" i="4"/>
  <c r="G86" i="4"/>
  <c r="R87" i="4"/>
  <c r="I98" i="4"/>
  <c r="K5" i="4"/>
  <c r="R5" i="4"/>
  <c r="I6" i="4"/>
  <c r="P6" i="4"/>
  <c r="G7" i="4"/>
  <c r="N7" i="4"/>
  <c r="L11" i="4"/>
  <c r="S11" i="4"/>
  <c r="J12" i="4"/>
  <c r="Q12" i="4"/>
  <c r="H16" i="4"/>
  <c r="O16" i="4"/>
  <c r="F17" i="4"/>
  <c r="M17" i="4"/>
  <c r="K18" i="4"/>
  <c r="R18" i="4"/>
  <c r="O24" i="4"/>
  <c r="K25" i="4"/>
  <c r="N26" i="4"/>
  <c r="G28" i="4"/>
  <c r="Q28" i="4"/>
  <c r="M29" i="4"/>
  <c r="J32" i="4"/>
  <c r="P33" i="4"/>
  <c r="I34" i="4"/>
  <c r="L36" i="4"/>
  <c r="G37" i="4"/>
  <c r="R37" i="4"/>
  <c r="O40" i="4"/>
  <c r="F46" i="4"/>
  <c r="R50" i="4"/>
  <c r="I53" i="4"/>
  <c r="H54" i="4"/>
  <c r="G56" i="4"/>
  <c r="F58" i="4"/>
  <c r="S58" i="4"/>
  <c r="L66" i="4"/>
  <c r="O70" i="4"/>
  <c r="G72" i="4"/>
  <c r="R76" i="4"/>
  <c r="R80" i="4"/>
  <c r="F84" i="4"/>
  <c r="H90" i="4"/>
  <c r="N27" i="4"/>
  <c r="H30" i="4"/>
  <c r="S30" i="4"/>
  <c r="N31" i="4"/>
  <c r="H35" i="4"/>
  <c r="S35" i="4"/>
  <c r="N38" i="4"/>
  <c r="I39" i="4"/>
  <c r="I44" i="4"/>
  <c r="G45" i="4"/>
  <c r="G47" i="4"/>
  <c r="F49" i="4"/>
  <c r="P51" i="4"/>
  <c r="O52" i="4"/>
  <c r="H55" i="4"/>
  <c r="G57" i="4"/>
  <c r="R59" i="4"/>
  <c r="Q60" i="4"/>
  <c r="K64" i="4"/>
  <c r="M65" i="4"/>
  <c r="N72" i="4"/>
  <c r="J78" i="4"/>
  <c r="L79" i="4"/>
  <c r="S80" i="4"/>
  <c r="I86" i="4"/>
  <c r="P90" i="4"/>
  <c r="N93" i="4"/>
  <c r="K3" i="4"/>
  <c r="I4" i="4"/>
  <c r="L5" i="4"/>
  <c r="S5" i="4"/>
  <c r="Q6" i="4"/>
  <c r="O7" i="4"/>
  <c r="G8" i="4"/>
  <c r="L9" i="4"/>
  <c r="J10" i="4"/>
  <c r="M11" i="4"/>
  <c r="R12" i="4"/>
  <c r="J13" i="4"/>
  <c r="H14" i="4"/>
  <c r="F15" i="4"/>
  <c r="M15" i="4"/>
  <c r="P16" i="4"/>
  <c r="N17" i="4"/>
  <c r="S18" i="4"/>
  <c r="K19" i="4"/>
  <c r="F24" i="4"/>
  <c r="Q24" i="4"/>
  <c r="L25" i="4"/>
  <c r="H26" i="4"/>
  <c r="R26" i="4"/>
  <c r="K28" i="4"/>
  <c r="F29" i="4"/>
  <c r="Q29" i="4"/>
  <c r="K32" i="4"/>
  <c r="G33" i="4"/>
  <c r="Q33" i="4"/>
  <c r="M34" i="4"/>
  <c r="P36" i="4"/>
  <c r="K37" i="4"/>
  <c r="F40" i="4"/>
  <c r="Q40" i="4"/>
  <c r="L46" i="4"/>
  <c r="K48" i="4"/>
  <c r="H50" i="4"/>
  <c r="O53" i="4"/>
  <c r="M54" i="4"/>
  <c r="L56" i="4"/>
  <c r="K58" i="4"/>
  <c r="H68" i="4"/>
  <c r="O72" i="4"/>
  <c r="I74" i="4"/>
  <c r="S76" i="4"/>
  <c r="O86" i="4"/>
  <c r="F99" i="4"/>
  <c r="G24" i="4"/>
  <c r="R24" i="4"/>
  <c r="M25" i="4"/>
  <c r="F27" i="4"/>
  <c r="P27" i="4"/>
  <c r="N29" i="4"/>
  <c r="J30" i="4"/>
  <c r="M32" i="4"/>
  <c r="H33" i="4"/>
  <c r="S33" i="4"/>
  <c r="K35" i="4"/>
  <c r="N37" i="4"/>
  <c r="O38" i="4"/>
  <c r="G40" i="4"/>
  <c r="R40" i="4"/>
  <c r="N46" i="4"/>
  <c r="O48" i="4"/>
  <c r="L50" i="4"/>
  <c r="J51" i="4"/>
  <c r="I54" i="4"/>
  <c r="I56" i="4"/>
  <c r="N58" i="4"/>
  <c r="N64" i="4"/>
  <c r="S65" i="4"/>
  <c r="I68" i="4"/>
  <c r="K71" i="4"/>
  <c r="F73" i="4"/>
  <c r="I76" i="4"/>
  <c r="Q78" i="4"/>
  <c r="G89" i="4"/>
  <c r="O97" i="4"/>
  <c r="K4" i="4"/>
  <c r="S4" i="4"/>
  <c r="F6" i="4"/>
  <c r="N6" i="4"/>
  <c r="I8" i="4"/>
  <c r="Q8" i="4"/>
  <c r="L10" i="4"/>
  <c r="G12" i="4"/>
  <c r="O12" i="4"/>
  <c r="J14" i="4"/>
  <c r="R14" i="4"/>
  <c r="M16" i="4"/>
  <c r="L18" i="4"/>
  <c r="J26" i="4"/>
  <c r="H28" i="4"/>
  <c r="S28" i="4"/>
  <c r="F31" i="4"/>
  <c r="Q31" i="4"/>
  <c r="P34" i="4"/>
  <c r="H36" i="4"/>
  <c r="M36" i="4"/>
  <c r="F39" i="4"/>
  <c r="Q39" i="4"/>
  <c r="Q44" i="4"/>
  <c r="P45" i="4"/>
  <c r="O47" i="4"/>
  <c r="O49" i="4"/>
  <c r="K52" i="4"/>
  <c r="K53" i="4"/>
  <c r="J55" i="4"/>
  <c r="J57" i="4"/>
  <c r="F60" i="4"/>
  <c r="R66" i="4"/>
  <c r="J68" i="4"/>
  <c r="Q70" i="4"/>
  <c r="N75" i="4"/>
  <c r="L84" i="4"/>
  <c r="P85" i="4"/>
  <c r="O89" i="4"/>
  <c r="P92" i="4"/>
  <c r="F96" i="4"/>
  <c r="M99" i="4"/>
  <c r="J3" i="4"/>
  <c r="N3" i="4"/>
  <c r="R3" i="4"/>
  <c r="I5" i="4"/>
  <c r="M5" i="4"/>
  <c r="Q5" i="4"/>
  <c r="H7" i="4"/>
  <c r="L7" i="4"/>
  <c r="P7" i="4"/>
  <c r="G9" i="4"/>
  <c r="K9" i="4"/>
  <c r="O9" i="4"/>
  <c r="S9" i="4"/>
  <c r="F11" i="4"/>
  <c r="J11" i="4"/>
  <c r="N11" i="4"/>
  <c r="R11" i="4"/>
  <c r="I13" i="4"/>
  <c r="M13" i="4"/>
  <c r="Q13" i="4"/>
  <c r="H15" i="4"/>
  <c r="L15" i="4"/>
  <c r="P15" i="4"/>
  <c r="G17" i="4"/>
  <c r="K17" i="4"/>
  <c r="O17" i="4"/>
  <c r="S17" i="4"/>
  <c r="F19" i="4"/>
  <c r="J19" i="4"/>
  <c r="N19" i="4"/>
  <c r="R19" i="4"/>
  <c r="I24" i="4"/>
  <c r="N24" i="4"/>
  <c r="S24" i="4"/>
  <c r="I25" i="4"/>
  <c r="O25" i="4"/>
  <c r="G27" i="4"/>
  <c r="L27" i="4"/>
  <c r="R27" i="4"/>
  <c r="J29" i="4"/>
  <c r="O29" i="4"/>
  <c r="F30" i="4"/>
  <c r="K30" i="4"/>
  <c r="P30" i="4"/>
  <c r="I32" i="4"/>
  <c r="N32" i="4"/>
  <c r="S32" i="4"/>
  <c r="I33" i="4"/>
  <c r="O33" i="4"/>
  <c r="G35" i="4"/>
  <c r="L35" i="4"/>
  <c r="R35" i="4"/>
  <c r="J37" i="4"/>
  <c r="O37" i="4"/>
  <c r="F38" i="4"/>
  <c r="K38" i="4"/>
  <c r="P38" i="4"/>
  <c r="I40" i="4"/>
  <c r="N40" i="4"/>
  <c r="S40" i="4"/>
  <c r="I46" i="4"/>
  <c r="Q46" i="4"/>
  <c r="I48" i="4"/>
  <c r="P48" i="4"/>
  <c r="G50" i="4"/>
  <c r="N50" i="4"/>
  <c r="M51" i="4"/>
  <c r="L54" i="4"/>
  <c r="R54" i="4"/>
  <c r="K56" i="4"/>
  <c r="Q56" i="4"/>
  <c r="H58" i="4"/>
  <c r="P58" i="4"/>
  <c r="H59" i="4"/>
  <c r="N59" i="4"/>
  <c r="G64" i="4"/>
  <c r="R64" i="4"/>
  <c r="K65" i="4"/>
  <c r="M72" i="4"/>
  <c r="I77" i="4"/>
  <c r="F78" i="4"/>
  <c r="R78" i="4"/>
  <c r="N80" i="4"/>
  <c r="N84" i="4"/>
  <c r="F87" i="4"/>
  <c r="Q89" i="4"/>
  <c r="R92" i="4"/>
  <c r="Q94" i="4"/>
  <c r="S97" i="4"/>
  <c r="M24" i="4"/>
  <c r="H25" i="4"/>
  <c r="S25" i="4"/>
  <c r="K27" i="4"/>
  <c r="I29" i="4"/>
  <c r="S29" i="4"/>
  <c r="O30" i="4"/>
  <c r="G32" i="4"/>
  <c r="R32" i="4"/>
  <c r="M33" i="4"/>
  <c r="F35" i="4"/>
  <c r="P35" i="4"/>
  <c r="I37" i="4"/>
  <c r="S37" i="4"/>
  <c r="J38" i="4"/>
  <c r="M40" i="4"/>
  <c r="H46" i="4"/>
  <c r="G48" i="4"/>
  <c r="F50" i="4"/>
  <c r="S50" i="4"/>
  <c r="R51" i="4"/>
  <c r="Q54" i="4"/>
  <c r="P56" i="4"/>
  <c r="G58" i="4"/>
  <c r="M59" i="4"/>
  <c r="F64" i="4"/>
  <c r="I65" i="4"/>
  <c r="O66" i="4"/>
  <c r="P70" i="4"/>
  <c r="H72" i="4"/>
  <c r="O74" i="4"/>
  <c r="I80" i="4"/>
  <c r="L85" i="4"/>
  <c r="G99" i="4"/>
  <c r="G4" i="4"/>
  <c r="O4" i="4"/>
  <c r="J6" i="4"/>
  <c r="R6" i="4"/>
  <c r="M8" i="4"/>
  <c r="H10" i="4"/>
  <c r="P10" i="4"/>
  <c r="K12" i="4"/>
  <c r="S12" i="4"/>
  <c r="F14" i="4"/>
  <c r="N14" i="4"/>
  <c r="I16" i="4"/>
  <c r="Q16" i="4"/>
  <c r="H18" i="4"/>
  <c r="P18" i="4"/>
  <c r="P26" i="4"/>
  <c r="M28" i="4"/>
  <c r="L31" i="4"/>
  <c r="J34" i="4"/>
  <c r="S36" i="4"/>
  <c r="L39" i="4"/>
  <c r="J44" i="4"/>
  <c r="I45" i="4"/>
  <c r="H47" i="4"/>
  <c r="G49" i="4"/>
  <c r="S52" i="4"/>
  <c r="Q53" i="4"/>
  <c r="R55" i="4"/>
  <c r="Q57" i="4"/>
  <c r="N60" i="4"/>
  <c r="Q67" i="4"/>
  <c r="H69" i="4"/>
  <c r="J76" i="4"/>
  <c r="P79" i="4"/>
  <c r="F3" i="4"/>
  <c r="H4" i="4"/>
  <c r="L4" i="4"/>
  <c r="P4" i="4"/>
  <c r="G6" i="4"/>
  <c r="K6" i="4"/>
  <c r="O6" i="4"/>
  <c r="S6" i="4"/>
  <c r="F8" i="4"/>
  <c r="J8" i="4"/>
  <c r="N8" i="4"/>
  <c r="R8" i="4"/>
  <c r="I10" i="4"/>
  <c r="M10" i="4"/>
  <c r="Q10" i="4"/>
  <c r="H12" i="4"/>
  <c r="L12" i="4"/>
  <c r="P12" i="4"/>
  <c r="G14" i="4"/>
  <c r="K14" i="4"/>
  <c r="O14" i="4"/>
  <c r="S14" i="4"/>
  <c r="F16" i="4"/>
  <c r="J16" i="4"/>
  <c r="N16" i="4"/>
  <c r="R16" i="4"/>
  <c r="I18" i="4"/>
  <c r="M18" i="4"/>
  <c r="Q18" i="4"/>
  <c r="F26" i="4"/>
  <c r="L26" i="4"/>
  <c r="Q26" i="4"/>
  <c r="I28" i="4"/>
  <c r="O28" i="4"/>
  <c r="H31" i="4"/>
  <c r="M31" i="4"/>
  <c r="R31" i="4"/>
  <c r="F34" i="4"/>
  <c r="L34" i="4"/>
  <c r="Q34" i="4"/>
  <c r="I36" i="4"/>
  <c r="O36" i="4"/>
  <c r="H39" i="4"/>
  <c r="M39" i="4"/>
  <c r="R39" i="4"/>
  <c r="K44" i="4"/>
  <c r="S44" i="4"/>
  <c r="K45" i="4"/>
  <c r="Q45" i="4"/>
  <c r="J47" i="4"/>
  <c r="R47" i="4"/>
  <c r="J49" i="4"/>
  <c r="Q49" i="4"/>
  <c r="F52" i="4"/>
  <c r="N52" i="4"/>
  <c r="L53" i="4"/>
  <c r="L55" i="4"/>
  <c r="S55" i="4"/>
  <c r="K57" i="4"/>
  <c r="R57" i="4"/>
  <c r="I60" i="4"/>
  <c r="O60" i="4"/>
  <c r="J66" i="4"/>
  <c r="F67" i="4"/>
  <c r="R67" i="4"/>
  <c r="L68" i="4"/>
  <c r="G70" i="4"/>
  <c r="R70" i="4"/>
  <c r="F74" i="4"/>
  <c r="F75" i="4"/>
  <c r="R75" i="4"/>
  <c r="L76" i="4"/>
  <c r="O80" i="4"/>
  <c r="S84" i="4"/>
  <c r="G87" i="4"/>
  <c r="S94" i="4"/>
  <c r="H24" i="4"/>
  <c r="L24" i="4"/>
  <c r="P24" i="4"/>
  <c r="G26" i="4"/>
  <c r="K26" i="4"/>
  <c r="O26" i="4"/>
  <c r="S26" i="4"/>
  <c r="F28" i="4"/>
  <c r="J28" i="4"/>
  <c r="N28" i="4"/>
  <c r="R28" i="4"/>
  <c r="I30" i="4"/>
  <c r="M30" i="4"/>
  <c r="Q30" i="4"/>
  <c r="H32" i="4"/>
  <c r="L32" i="4"/>
  <c r="P32" i="4"/>
  <c r="G34" i="4"/>
  <c r="K34" i="4"/>
  <c r="O34" i="4"/>
  <c r="S34" i="4"/>
  <c r="F36" i="4"/>
  <c r="J36" i="4"/>
  <c r="N36" i="4"/>
  <c r="R36" i="4"/>
  <c r="I38" i="4"/>
  <c r="M38" i="4"/>
  <c r="Q38" i="4"/>
  <c r="H40" i="4"/>
  <c r="L40" i="4"/>
  <c r="P40" i="4"/>
  <c r="G44" i="4"/>
  <c r="M44" i="4"/>
  <c r="R44" i="4"/>
  <c r="H45" i="4"/>
  <c r="M45" i="4"/>
  <c r="S45" i="4"/>
  <c r="F47" i="4"/>
  <c r="K47" i="4"/>
  <c r="P47" i="4"/>
  <c r="I49" i="4"/>
  <c r="N49" i="4"/>
  <c r="S49" i="4"/>
  <c r="J50" i="4"/>
  <c r="O50" i="4"/>
  <c r="G52" i="4"/>
  <c r="M52" i="4"/>
  <c r="R52" i="4"/>
  <c r="H53" i="4"/>
  <c r="M53" i="4"/>
  <c r="S53" i="4"/>
  <c r="F55" i="4"/>
  <c r="K55" i="4"/>
  <c r="P55" i="4"/>
  <c r="I57" i="4"/>
  <c r="N57" i="4"/>
  <c r="S57" i="4"/>
  <c r="J58" i="4"/>
  <c r="O58" i="4"/>
  <c r="G60" i="4"/>
  <c r="M60" i="4"/>
  <c r="R60" i="4"/>
  <c r="F66" i="4"/>
  <c r="N73" i="4"/>
  <c r="G74" i="4"/>
  <c r="P74" i="4"/>
  <c r="N76" i="4"/>
  <c r="M78" i="4"/>
  <c r="J80" i="4"/>
  <c r="M86" i="4"/>
  <c r="J89" i="4"/>
  <c r="N91" i="4"/>
  <c r="P95" i="4"/>
  <c r="O98" i="4"/>
  <c r="F25" i="4"/>
  <c r="J25" i="4"/>
  <c r="N25" i="4"/>
  <c r="R25" i="4"/>
  <c r="I27" i="4"/>
  <c r="M27" i="4"/>
  <c r="Q27" i="4"/>
  <c r="H29" i="4"/>
  <c r="L29" i="4"/>
  <c r="P29" i="4"/>
  <c r="G31" i="4"/>
  <c r="K31" i="4"/>
  <c r="O31" i="4"/>
  <c r="S31" i="4"/>
  <c r="F33" i="4"/>
  <c r="J33" i="4"/>
  <c r="N33" i="4"/>
  <c r="R33" i="4"/>
  <c r="I35" i="4"/>
  <c r="M35" i="4"/>
  <c r="Q35" i="4"/>
  <c r="H37" i="4"/>
  <c r="L37" i="4"/>
  <c r="P37" i="4"/>
  <c r="G39" i="4"/>
  <c r="K39" i="4"/>
  <c r="O39" i="4"/>
  <c r="S39" i="4"/>
  <c r="J46" i="4"/>
  <c r="P46" i="4"/>
  <c r="H48" i="4"/>
  <c r="M48" i="4"/>
  <c r="S48" i="4"/>
  <c r="F51" i="4"/>
  <c r="L51" i="4"/>
  <c r="Q51" i="4"/>
  <c r="J54" i="4"/>
  <c r="P54" i="4"/>
  <c r="H56" i="4"/>
  <c r="M56" i="4"/>
  <c r="S56" i="4"/>
  <c r="F59" i="4"/>
  <c r="L59" i="4"/>
  <c r="Q59" i="4"/>
  <c r="H64" i="4"/>
  <c r="P64" i="4"/>
  <c r="H65" i="4"/>
  <c r="O65" i="4"/>
  <c r="G66" i="4"/>
  <c r="Q66" i="4"/>
  <c r="O68" i="4"/>
  <c r="I69" i="4"/>
  <c r="K70" i="4"/>
  <c r="G71" i="4"/>
  <c r="P71" i="4"/>
  <c r="I72" i="4"/>
  <c r="R74" i="4"/>
  <c r="M75" i="4"/>
  <c r="Q76" i="4"/>
  <c r="P78" i="4"/>
  <c r="K79" i="4"/>
  <c r="S79" i="4"/>
  <c r="R84" i="4"/>
  <c r="J88" i="4"/>
  <c r="O90" i="4"/>
  <c r="G97" i="4"/>
  <c r="P98" i="4"/>
  <c r="G100" i="4"/>
  <c r="H44" i="4"/>
  <c r="L44" i="4"/>
  <c r="P44" i="4"/>
  <c r="G46" i="4"/>
  <c r="K46" i="4"/>
  <c r="O46" i="4"/>
  <c r="S46" i="4"/>
  <c r="F48" i="4"/>
  <c r="J48" i="4"/>
  <c r="N48" i="4"/>
  <c r="R48" i="4"/>
  <c r="I50" i="4"/>
  <c r="M50" i="4"/>
  <c r="Q50" i="4"/>
  <c r="H52" i="4"/>
  <c r="L52" i="4"/>
  <c r="P52" i="4"/>
  <c r="G54" i="4"/>
  <c r="K54" i="4"/>
  <c r="O54" i="4"/>
  <c r="S54" i="4"/>
  <c r="F56" i="4"/>
  <c r="J56" i="4"/>
  <c r="N56" i="4"/>
  <c r="R56" i="4"/>
  <c r="I58" i="4"/>
  <c r="M58" i="4"/>
  <c r="Q58" i="4"/>
  <c r="H60" i="4"/>
  <c r="L60" i="4"/>
  <c r="P60" i="4"/>
  <c r="J64" i="4"/>
  <c r="O64" i="4"/>
  <c r="N67" i="4"/>
  <c r="M68" i="4"/>
  <c r="M69" i="4"/>
  <c r="L70" i="4"/>
  <c r="L71" i="4"/>
  <c r="S71" i="4"/>
  <c r="J72" i="4"/>
  <c r="R72" i="4"/>
  <c r="J74" i="4"/>
  <c r="I75" i="4"/>
  <c r="Q75" i="4"/>
  <c r="H77" i="4"/>
  <c r="G79" i="4"/>
  <c r="M80" i="4"/>
  <c r="H87" i="4"/>
  <c r="I91" i="4"/>
  <c r="H93" i="4"/>
  <c r="K94" i="4"/>
  <c r="I95" i="4"/>
  <c r="J99" i="4"/>
  <c r="F45" i="4"/>
  <c r="J45" i="4"/>
  <c r="N45" i="4"/>
  <c r="R45" i="4"/>
  <c r="I47" i="4"/>
  <c r="M47" i="4"/>
  <c r="Q47" i="4"/>
  <c r="H49" i="4"/>
  <c r="L49" i="4"/>
  <c r="P49" i="4"/>
  <c r="G51" i="4"/>
  <c r="K51" i="4"/>
  <c r="O51" i="4"/>
  <c r="S51" i="4"/>
  <c r="F53" i="4"/>
  <c r="J53" i="4"/>
  <c r="N53" i="4"/>
  <c r="R53" i="4"/>
  <c r="I55" i="4"/>
  <c r="M55" i="4"/>
  <c r="Q55" i="4"/>
  <c r="H57" i="4"/>
  <c r="L57" i="4"/>
  <c r="P57" i="4"/>
  <c r="G59" i="4"/>
  <c r="K59" i="4"/>
  <c r="O59" i="4"/>
  <c r="S59" i="4"/>
  <c r="G65" i="4"/>
  <c r="L65" i="4"/>
  <c r="Q65" i="4"/>
  <c r="I66" i="4"/>
  <c r="P66" i="4"/>
  <c r="G68" i="4"/>
  <c r="N68" i="4"/>
  <c r="F70" i="4"/>
  <c r="M70" i="4"/>
  <c r="S72" i="4"/>
  <c r="K73" i="4"/>
  <c r="S73" i="4"/>
  <c r="K74" i="4"/>
  <c r="Q74" i="4"/>
  <c r="H76" i="4"/>
  <c r="O76" i="4"/>
  <c r="G78" i="4"/>
  <c r="O78" i="4"/>
  <c r="G80" i="4"/>
  <c r="G85" i="4"/>
  <c r="S85" i="4"/>
  <c r="N86" i="4"/>
  <c r="J87" i="4"/>
  <c r="Q88" i="4"/>
  <c r="N89" i="4"/>
  <c r="K90" i="4"/>
  <c r="J91" i="4"/>
  <c r="G92" i="4"/>
  <c r="I93" i="4"/>
  <c r="J96" i="4"/>
  <c r="N97" i="4"/>
  <c r="K99" i="4"/>
  <c r="M100" i="4"/>
  <c r="F65" i="4"/>
  <c r="J65" i="4"/>
  <c r="N65" i="4"/>
  <c r="R65" i="4"/>
  <c r="H66" i="4"/>
  <c r="M66" i="4"/>
  <c r="S66" i="4"/>
  <c r="L69" i="4"/>
  <c r="Q69" i="4"/>
  <c r="H70" i="4"/>
  <c r="O71" i="4"/>
  <c r="K72" i="4"/>
  <c r="G73" i="4"/>
  <c r="R73" i="4"/>
  <c r="H74" i="4"/>
  <c r="M74" i="4"/>
  <c r="S74" i="4"/>
  <c r="L77" i="4"/>
  <c r="Q77" i="4"/>
  <c r="H78" i="4"/>
  <c r="O79" i="4"/>
  <c r="K80" i="4"/>
  <c r="G84" i="4"/>
  <c r="O84" i="4"/>
  <c r="Q85" i="4"/>
  <c r="K87" i="4"/>
  <c r="S87" i="4"/>
  <c r="P91" i="4"/>
  <c r="L96" i="4"/>
  <c r="H98" i="4"/>
  <c r="O99" i="4"/>
  <c r="I64" i="4"/>
  <c r="M64" i="4"/>
  <c r="Q64" i="4"/>
  <c r="N66" i="4"/>
  <c r="J67" i="4"/>
  <c r="F68" i="4"/>
  <c r="K68" i="4"/>
  <c r="P68" i="4"/>
  <c r="I70" i="4"/>
  <c r="N70" i="4"/>
  <c r="S70" i="4"/>
  <c r="F72" i="4"/>
  <c r="L72" i="4"/>
  <c r="Q72" i="4"/>
  <c r="N74" i="4"/>
  <c r="J75" i="4"/>
  <c r="F76" i="4"/>
  <c r="K76" i="4"/>
  <c r="P76" i="4"/>
  <c r="I78" i="4"/>
  <c r="N78" i="4"/>
  <c r="S78" i="4"/>
  <c r="F80" i="4"/>
  <c r="L80" i="4"/>
  <c r="Q80" i="4"/>
  <c r="H84" i="4"/>
  <c r="P84" i="4"/>
  <c r="K85" i="4"/>
  <c r="K86" i="4"/>
  <c r="S86" i="4"/>
  <c r="L87" i="4"/>
  <c r="P88" i="4"/>
  <c r="I89" i="4"/>
  <c r="M90" i="4"/>
  <c r="N92" i="4"/>
  <c r="L93" i="4"/>
  <c r="J94" i="4"/>
  <c r="Q95" i="4"/>
  <c r="M96" i="4"/>
  <c r="L97" i="4"/>
  <c r="Q99" i="4"/>
  <c r="Q100" i="4"/>
  <c r="G67" i="4"/>
  <c r="K67" i="4"/>
  <c r="O67" i="4"/>
  <c r="S67" i="4"/>
  <c r="F69" i="4"/>
  <c r="J69" i="4"/>
  <c r="N69" i="4"/>
  <c r="R69" i="4"/>
  <c r="I71" i="4"/>
  <c r="M71" i="4"/>
  <c r="Q71" i="4"/>
  <c r="H73" i="4"/>
  <c r="L73" i="4"/>
  <c r="P73" i="4"/>
  <c r="G75" i="4"/>
  <c r="K75" i="4"/>
  <c r="O75" i="4"/>
  <c r="S75" i="4"/>
  <c r="F77" i="4"/>
  <c r="J77" i="4"/>
  <c r="N77" i="4"/>
  <c r="R77" i="4"/>
  <c r="I79" i="4"/>
  <c r="M79" i="4"/>
  <c r="Q79" i="4"/>
  <c r="J84" i="4"/>
  <c r="M85" i="4"/>
  <c r="J86" i="4"/>
  <c r="Q86" i="4"/>
  <c r="N87" i="4"/>
  <c r="L88" i="4"/>
  <c r="K89" i="4"/>
  <c r="R89" i="4"/>
  <c r="I90" i="4"/>
  <c r="Q90" i="4"/>
  <c r="K92" i="4"/>
  <c r="S92" i="4"/>
  <c r="M93" i="4"/>
  <c r="K95" i="4"/>
  <c r="P96" i="4"/>
  <c r="H97" i="4"/>
  <c r="R97" i="4"/>
  <c r="I100" i="4"/>
  <c r="H67" i="4"/>
  <c r="L67" i="4"/>
  <c r="P67" i="4"/>
  <c r="G69" i="4"/>
  <c r="K69" i="4"/>
  <c r="O69" i="4"/>
  <c r="S69" i="4"/>
  <c r="F71" i="4"/>
  <c r="J71" i="4"/>
  <c r="N71" i="4"/>
  <c r="R71" i="4"/>
  <c r="I73" i="4"/>
  <c r="M73" i="4"/>
  <c r="Q73" i="4"/>
  <c r="H75" i="4"/>
  <c r="L75" i="4"/>
  <c r="P75" i="4"/>
  <c r="G77" i="4"/>
  <c r="K77" i="4"/>
  <c r="O77" i="4"/>
  <c r="S77" i="4"/>
  <c r="F79" i="4"/>
  <c r="J79" i="4"/>
  <c r="N79" i="4"/>
  <c r="R79" i="4"/>
  <c r="K84" i="4"/>
  <c r="F86" i="4"/>
  <c r="R86" i="4"/>
  <c r="O87" i="4"/>
  <c r="F88" i="4"/>
  <c r="F89" i="4"/>
  <c r="M89" i="4"/>
  <c r="S89" i="4"/>
  <c r="L90" i="4"/>
  <c r="S90" i="4"/>
  <c r="L92" i="4"/>
  <c r="F93" i="4"/>
  <c r="Q93" i="4"/>
  <c r="H96" i="4"/>
  <c r="Q96" i="4"/>
  <c r="J97" i="4"/>
  <c r="R99" i="4"/>
  <c r="O100" i="4"/>
  <c r="I85" i="4"/>
  <c r="O85" i="4"/>
  <c r="H88" i="4"/>
  <c r="M88" i="4"/>
  <c r="R88" i="4"/>
  <c r="F91" i="4"/>
  <c r="L91" i="4"/>
  <c r="Q91" i="4"/>
  <c r="F94" i="4"/>
  <c r="N94" i="4"/>
  <c r="L95" i="4"/>
  <c r="K98" i="4"/>
  <c r="S98" i="4"/>
  <c r="I88" i="4"/>
  <c r="N88" i="4"/>
  <c r="H91" i="4"/>
  <c r="M91" i="4"/>
  <c r="R91" i="4"/>
  <c r="I94" i="4"/>
  <c r="O94" i="4"/>
  <c r="G95" i="4"/>
  <c r="O95" i="4"/>
  <c r="M98" i="4"/>
  <c r="F85" i="4"/>
  <c r="J85" i="4"/>
  <c r="N85" i="4"/>
  <c r="R85" i="4"/>
  <c r="I87" i="4"/>
  <c r="M87" i="4"/>
  <c r="Q87" i="4"/>
  <c r="H89" i="4"/>
  <c r="L89" i="4"/>
  <c r="P89" i="4"/>
  <c r="G91" i="4"/>
  <c r="K91" i="4"/>
  <c r="O91" i="4"/>
  <c r="S91" i="4"/>
  <c r="J93" i="4"/>
  <c r="P93" i="4"/>
  <c r="I96" i="4"/>
  <c r="N96" i="4"/>
  <c r="G98" i="4"/>
  <c r="L98" i="4"/>
  <c r="Q98" i="4"/>
  <c r="I84" i="4"/>
  <c r="M84" i="4"/>
  <c r="Q84" i="4"/>
  <c r="H86" i="4"/>
  <c r="L86" i="4"/>
  <c r="P86" i="4"/>
  <c r="G88" i="4"/>
  <c r="K88" i="4"/>
  <c r="O88" i="4"/>
  <c r="S88" i="4"/>
  <c r="F90" i="4"/>
  <c r="J90" i="4"/>
  <c r="N90" i="4"/>
  <c r="R90" i="4"/>
  <c r="J92" i="4"/>
  <c r="O92" i="4"/>
  <c r="G94" i="4"/>
  <c r="M94" i="4"/>
  <c r="R94" i="4"/>
  <c r="H95" i="4"/>
  <c r="M95" i="4"/>
  <c r="S95" i="4"/>
  <c r="F97" i="4"/>
  <c r="K97" i="4"/>
  <c r="P97" i="4"/>
  <c r="I99" i="4"/>
  <c r="N99" i="4"/>
  <c r="S99" i="4"/>
  <c r="L100" i="4"/>
  <c r="S100" i="4"/>
  <c r="I92" i="4"/>
  <c r="M92" i="4"/>
  <c r="Q92" i="4"/>
  <c r="H94" i="4"/>
  <c r="L94" i="4"/>
  <c r="P94" i="4"/>
  <c r="G96" i="4"/>
  <c r="K96" i="4"/>
  <c r="O96" i="4"/>
  <c r="S96" i="4"/>
  <c r="F98" i="4"/>
  <c r="J98" i="4"/>
  <c r="N98" i="4"/>
  <c r="R98" i="4"/>
  <c r="K100" i="4"/>
  <c r="P100" i="4"/>
  <c r="G93" i="4"/>
  <c r="K93" i="4"/>
  <c r="O93" i="4"/>
  <c r="S93" i="4"/>
  <c r="F95" i="4"/>
  <c r="J95" i="4"/>
  <c r="N95" i="4"/>
  <c r="R95" i="4"/>
  <c r="I97" i="4"/>
  <c r="M97" i="4"/>
  <c r="Q97" i="4"/>
  <c r="H99" i="4"/>
  <c r="L99" i="4"/>
  <c r="P99" i="4"/>
  <c r="F100" i="4"/>
  <c r="J100" i="4"/>
  <c r="N100" i="4"/>
  <c r="R100" i="4"/>
  <c r="O231" i="3"/>
  <c r="F230" i="3"/>
  <c r="N224" i="3"/>
  <c r="Q222" i="3"/>
  <c r="F221" i="3"/>
  <c r="F226" i="3"/>
  <c r="I224" i="3"/>
  <c r="L222" i="3"/>
  <c r="J231" i="3"/>
  <c r="O229" i="3"/>
  <c r="R227" i="3"/>
  <c r="J222" i="3"/>
  <c r="M220" i="3"/>
  <c r="P218" i="3"/>
  <c r="J229" i="3"/>
  <c r="P223" i="3"/>
  <c r="S221" i="3"/>
  <c r="H220" i="3"/>
  <c r="R230" i="3"/>
  <c r="H229" i="3"/>
  <c r="K227" i="3"/>
  <c r="N225" i="3"/>
  <c r="F220" i="3"/>
  <c r="R217" i="3"/>
  <c r="Q228" i="3"/>
  <c r="F227" i="3"/>
  <c r="L221" i="3"/>
  <c r="O219" i="3"/>
  <c r="K217" i="3"/>
  <c r="M230" i="3"/>
  <c r="R226" i="3"/>
  <c r="G225" i="3"/>
  <c r="J223" i="3"/>
  <c r="H230" i="3"/>
  <c r="J228" i="3"/>
  <c r="M226" i="3"/>
  <c r="P224" i="3"/>
  <c r="H219" i="3"/>
  <c r="R216" i="3"/>
  <c r="I218" i="3"/>
  <c r="L216" i="3"/>
  <c r="I228" i="3"/>
  <c r="S225" i="3"/>
  <c r="H224" i="3"/>
  <c r="H223" i="3"/>
  <c r="R221" i="3"/>
  <c r="R220" i="3"/>
  <c r="N219" i="3"/>
  <c r="N218" i="3"/>
  <c r="Q216" i="3"/>
  <c r="S231" i="3"/>
  <c r="H231" i="3"/>
  <c r="L230" i="3"/>
  <c r="N229" i="3"/>
  <c r="N228" i="3"/>
  <c r="Q226" i="3"/>
  <c r="F225" i="3"/>
  <c r="F224" i="3"/>
  <c r="I222" i="3"/>
  <c r="L220" i="3"/>
  <c r="L219" i="3"/>
  <c r="O217" i="3"/>
  <c r="L229" i="3"/>
  <c r="O227" i="3"/>
  <c r="R225" i="3"/>
  <c r="R224" i="3"/>
  <c r="G223" i="3"/>
  <c r="Q220" i="3"/>
  <c r="F219" i="3"/>
  <c r="F218" i="3"/>
  <c r="P216" i="3"/>
  <c r="R231" i="3"/>
  <c r="G231" i="3"/>
  <c r="R229" i="3"/>
  <c r="M228" i="3"/>
  <c r="P226" i="3"/>
  <c r="P225" i="3"/>
  <c r="S223" i="3"/>
  <c r="O221" i="3"/>
  <c r="R219" i="3"/>
  <c r="R218" i="3"/>
  <c r="N217" i="3"/>
  <c r="N216" i="3"/>
  <c r="I230" i="3"/>
  <c r="K229" i="3"/>
  <c r="R228" i="3"/>
  <c r="N227" i="3"/>
  <c r="G227" i="3"/>
  <c r="N226" i="3"/>
  <c r="J225" i="3"/>
  <c r="Q224" i="3"/>
  <c r="J224" i="3"/>
  <c r="F223" i="3"/>
  <c r="M222" i="3"/>
  <c r="F222" i="3"/>
  <c r="P220" i="3"/>
  <c r="I220" i="3"/>
  <c r="P219" i="3"/>
  <c r="L218" i="3"/>
  <c r="S217" i="3"/>
  <c r="L217" i="3"/>
  <c r="H216" i="3"/>
  <c r="P217" i="3"/>
  <c r="P228" i="3"/>
  <c r="P227" i="3"/>
  <c r="L226" i="3"/>
  <c r="L225" i="3"/>
  <c r="O223" i="3"/>
  <c r="K221" i="3"/>
  <c r="G219" i="3"/>
  <c r="J217" i="3"/>
  <c r="J216" i="3"/>
  <c r="N231" i="3"/>
  <c r="Q230" i="3"/>
  <c r="S229" i="3"/>
  <c r="G229" i="3"/>
  <c r="J227" i="3"/>
  <c r="J226" i="3"/>
  <c r="M224" i="3"/>
  <c r="P222" i="3"/>
  <c r="P221" i="3"/>
  <c r="S219" i="3"/>
  <c r="H218" i="3"/>
  <c r="H217" i="3"/>
  <c r="J230" i="3"/>
  <c r="H228" i="3"/>
  <c r="H227" i="3"/>
  <c r="K225" i="3"/>
  <c r="N223" i="3"/>
  <c r="N222" i="3"/>
  <c r="J221" i="3"/>
  <c r="J220" i="3"/>
  <c r="M218" i="3"/>
  <c r="I216" i="3"/>
  <c r="L231" i="3"/>
  <c r="P230" i="3"/>
  <c r="F229" i="3"/>
  <c r="F228" i="3"/>
  <c r="I226" i="3"/>
  <c r="L224" i="3"/>
  <c r="L223" i="3"/>
  <c r="H222" i="3"/>
  <c r="H221" i="3"/>
  <c r="K219" i="3"/>
  <c r="G217" i="3"/>
  <c r="P231" i="3"/>
  <c r="K231" i="3"/>
  <c r="F231" i="3"/>
  <c r="N230" i="3"/>
  <c r="P229" i="3"/>
  <c r="L228" i="3"/>
  <c r="S227" i="3"/>
  <c r="L227" i="3"/>
  <c r="H226" i="3"/>
  <c r="O225" i="3"/>
  <c r="H225" i="3"/>
  <c r="R223" i="3"/>
  <c r="K223" i="3"/>
  <c r="R222" i="3"/>
  <c r="N221" i="3"/>
  <c r="G221" i="3"/>
  <c r="N220" i="3"/>
  <c r="J219" i="3"/>
  <c r="Q218" i="3"/>
  <c r="J218" i="3"/>
  <c r="F217" i="3"/>
  <c r="M216" i="3"/>
  <c r="F216" i="3"/>
  <c r="M231" i="3"/>
  <c r="S230" i="3"/>
  <c r="K230" i="3"/>
  <c r="G230" i="3"/>
  <c r="M229" i="3"/>
  <c r="S228" i="3"/>
  <c r="O228" i="3"/>
  <c r="G228" i="3"/>
  <c r="M227" i="3"/>
  <c r="I227" i="3"/>
  <c r="S226" i="3"/>
  <c r="O226" i="3"/>
  <c r="G226" i="3"/>
  <c r="Q225" i="3"/>
  <c r="M225" i="3"/>
  <c r="I225" i="3"/>
  <c r="S224" i="3"/>
  <c r="O224" i="3"/>
  <c r="K224" i="3"/>
  <c r="G224" i="3"/>
  <c r="Q223" i="3"/>
  <c r="M223" i="3"/>
  <c r="I223" i="3"/>
  <c r="S222" i="3"/>
  <c r="O222" i="3"/>
  <c r="K222" i="3"/>
  <c r="G222" i="3"/>
  <c r="Q221" i="3"/>
  <c r="M221" i="3"/>
  <c r="I221" i="3"/>
  <c r="S220" i="3"/>
  <c r="O220" i="3"/>
  <c r="K220" i="3"/>
  <c r="G220" i="3"/>
  <c r="Q219" i="3"/>
  <c r="M219" i="3"/>
  <c r="I219" i="3"/>
  <c r="S218" i="3"/>
  <c r="O218" i="3"/>
  <c r="K218" i="3"/>
  <c r="G218" i="3"/>
  <c r="Q217" i="3"/>
  <c r="M217" i="3"/>
  <c r="I217" i="3"/>
  <c r="S216" i="3"/>
  <c r="O216" i="3"/>
  <c r="K216" i="3"/>
  <c r="G216" i="3"/>
  <c r="Q231" i="3"/>
  <c r="I231" i="3"/>
  <c r="O230" i="3"/>
  <c r="Q229" i="3"/>
  <c r="I229" i="3"/>
  <c r="K228" i="3"/>
  <c r="Q227" i="3"/>
  <c r="K226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F212" i="3"/>
  <c r="I209" i="3"/>
  <c r="R202" i="3"/>
  <c r="P211" i="3"/>
  <c r="H207" i="3"/>
  <c r="N202" i="3"/>
  <c r="Q209" i="3"/>
  <c r="I205" i="3"/>
  <c r="Q199" i="3"/>
  <c r="O210" i="3"/>
  <c r="J204" i="3"/>
  <c r="M211" i="3"/>
  <c r="S206" i="3"/>
  <c r="K202" i="3"/>
  <c r="O206" i="3"/>
  <c r="L207" i="3"/>
  <c r="O204" i="3"/>
  <c r="O198" i="3"/>
  <c r="S208" i="3"/>
  <c r="K204" i="3"/>
  <c r="M201" i="3"/>
  <c r="N212" i="3"/>
  <c r="F208" i="3"/>
  <c r="L203" i="3"/>
  <c r="R208" i="3"/>
  <c r="G206" i="3"/>
  <c r="G198" i="3"/>
  <c r="P209" i="3"/>
  <c r="H205" i="3"/>
  <c r="S200" i="3"/>
  <c r="I211" i="3"/>
  <c r="L209" i="3"/>
  <c r="R204" i="3"/>
  <c r="G202" i="3"/>
  <c r="I199" i="3"/>
  <c r="G212" i="3"/>
  <c r="J210" i="3"/>
  <c r="M207" i="3"/>
  <c r="P205" i="3"/>
  <c r="S202" i="3"/>
  <c r="M197" i="3"/>
  <c r="S212" i="3"/>
  <c r="H211" i="3"/>
  <c r="K208" i="3"/>
  <c r="N206" i="3"/>
  <c r="Q203" i="3"/>
  <c r="F202" i="3"/>
  <c r="K200" i="3"/>
  <c r="L201" i="3"/>
  <c r="J200" i="3"/>
  <c r="H199" i="3"/>
  <c r="F198" i="3"/>
  <c r="K212" i="3"/>
  <c r="N210" i="3"/>
  <c r="Q207" i="3"/>
  <c r="F206" i="3"/>
  <c r="P203" i="3"/>
  <c r="Q201" i="3"/>
  <c r="L211" i="3"/>
  <c r="O208" i="3"/>
  <c r="R206" i="3"/>
  <c r="G204" i="3"/>
  <c r="J202" i="3"/>
  <c r="S198" i="3"/>
  <c r="I207" i="3"/>
  <c r="H203" i="3"/>
  <c r="P201" i="3"/>
  <c r="R200" i="3"/>
  <c r="P199" i="3"/>
  <c r="N198" i="3"/>
  <c r="L197" i="3"/>
  <c r="R212" i="3"/>
  <c r="G210" i="3"/>
  <c r="J208" i="3"/>
  <c r="M205" i="3"/>
  <c r="I203" i="3"/>
  <c r="S210" i="3"/>
  <c r="H209" i="3"/>
  <c r="K206" i="3"/>
  <c r="N204" i="3"/>
  <c r="I201" i="3"/>
  <c r="O200" i="3"/>
  <c r="G200" i="3"/>
  <c r="M199" i="3"/>
  <c r="K198" i="3"/>
  <c r="Q197" i="3"/>
  <c r="I197" i="3"/>
  <c r="J212" i="3"/>
  <c r="Q211" i="3"/>
  <c r="F210" i="3"/>
  <c r="M209" i="3"/>
  <c r="P207" i="3"/>
  <c r="L205" i="3"/>
  <c r="S204" i="3"/>
  <c r="O202" i="3"/>
  <c r="O212" i="3"/>
  <c r="R210" i="3"/>
  <c r="K210" i="3"/>
  <c r="N208" i="3"/>
  <c r="G208" i="3"/>
  <c r="J206" i="3"/>
  <c r="Q205" i="3"/>
  <c r="F204" i="3"/>
  <c r="M203" i="3"/>
  <c r="H201" i="3"/>
  <c r="N200" i="3"/>
  <c r="F200" i="3"/>
  <c r="L199" i="3"/>
  <c r="R198" i="3"/>
  <c r="J198" i="3"/>
  <c r="P197" i="3"/>
  <c r="H197" i="3"/>
  <c r="M212" i="3"/>
  <c r="S211" i="3"/>
  <c r="K211" i="3"/>
  <c r="Q210" i="3"/>
  <c r="I210" i="3"/>
  <c r="O209" i="3"/>
  <c r="G209" i="3"/>
  <c r="M208" i="3"/>
  <c r="S207" i="3"/>
  <c r="K207" i="3"/>
  <c r="M206" i="3"/>
  <c r="S205" i="3"/>
  <c r="K205" i="3"/>
  <c r="Q204" i="3"/>
  <c r="I204" i="3"/>
  <c r="O203" i="3"/>
  <c r="G203" i="3"/>
  <c r="M202" i="3"/>
  <c r="S201" i="3"/>
  <c r="K201" i="3"/>
  <c r="Q200" i="3"/>
  <c r="I200" i="3"/>
  <c r="O199" i="3"/>
  <c r="K199" i="3"/>
  <c r="G199" i="3"/>
  <c r="Q198" i="3"/>
  <c r="I198" i="3"/>
  <c r="S197" i="3"/>
  <c r="O197" i="3"/>
  <c r="K197" i="3"/>
  <c r="G197" i="3"/>
  <c r="Q212" i="3"/>
  <c r="I212" i="3"/>
  <c r="O211" i="3"/>
  <c r="G211" i="3"/>
  <c r="M210" i="3"/>
  <c r="S209" i="3"/>
  <c r="K209" i="3"/>
  <c r="Q208" i="3"/>
  <c r="I208" i="3"/>
  <c r="O207" i="3"/>
  <c r="G207" i="3"/>
  <c r="Q206" i="3"/>
  <c r="I206" i="3"/>
  <c r="O205" i="3"/>
  <c r="G205" i="3"/>
  <c r="M204" i="3"/>
  <c r="S203" i="3"/>
  <c r="K203" i="3"/>
  <c r="Q202" i="3"/>
  <c r="I202" i="3"/>
  <c r="O201" i="3"/>
  <c r="G201" i="3"/>
  <c r="M200" i="3"/>
  <c r="S199" i="3"/>
  <c r="M198" i="3"/>
  <c r="P212" i="3"/>
  <c r="L212" i="3"/>
  <c r="H212" i="3"/>
  <c r="R211" i="3"/>
  <c r="N211" i="3"/>
  <c r="J211" i="3"/>
  <c r="F211" i="3"/>
  <c r="P210" i="3"/>
  <c r="L210" i="3"/>
  <c r="H210" i="3"/>
  <c r="R209" i="3"/>
  <c r="N209" i="3"/>
  <c r="J209" i="3"/>
  <c r="F209" i="3"/>
  <c r="P208" i="3"/>
  <c r="L208" i="3"/>
  <c r="H208" i="3"/>
  <c r="R207" i="3"/>
  <c r="N207" i="3"/>
  <c r="J207" i="3"/>
  <c r="F207" i="3"/>
  <c r="P206" i="3"/>
  <c r="L206" i="3"/>
  <c r="H206" i="3"/>
  <c r="R205" i="3"/>
  <c r="N205" i="3"/>
  <c r="J205" i="3"/>
  <c r="F205" i="3"/>
  <c r="P204" i="3"/>
  <c r="L204" i="3"/>
  <c r="H204" i="3"/>
  <c r="R203" i="3"/>
  <c r="N203" i="3"/>
  <c r="J203" i="3"/>
  <c r="F203" i="3"/>
  <c r="P202" i="3"/>
  <c r="L202" i="3"/>
  <c r="H202" i="3"/>
  <c r="R201" i="3"/>
  <c r="N201" i="3"/>
  <c r="J201" i="3"/>
  <c r="F201" i="3"/>
  <c r="P200" i="3"/>
  <c r="L200" i="3"/>
  <c r="H200" i="3"/>
  <c r="R199" i="3"/>
  <c r="N199" i="3"/>
  <c r="J199" i="3"/>
  <c r="F199" i="3"/>
  <c r="P198" i="3"/>
  <c r="L198" i="3"/>
  <c r="H198" i="3"/>
  <c r="R197" i="3"/>
  <c r="N197" i="3"/>
  <c r="J197" i="3"/>
  <c r="F197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O185" i="3"/>
  <c r="N193" i="3"/>
  <c r="L192" i="3"/>
  <c r="J191" i="3"/>
  <c r="H190" i="3"/>
  <c r="S187" i="3"/>
  <c r="Q178" i="3"/>
  <c r="G187" i="3"/>
  <c r="M182" i="3"/>
  <c r="S193" i="3"/>
  <c r="Q192" i="3"/>
  <c r="O191" i="3"/>
  <c r="M190" i="3"/>
  <c r="J189" i="3"/>
  <c r="I186" i="3"/>
  <c r="O181" i="3"/>
  <c r="K185" i="3"/>
  <c r="G183" i="3"/>
  <c r="R193" i="3"/>
  <c r="P192" i="3"/>
  <c r="H192" i="3"/>
  <c r="F191" i="3"/>
  <c r="G189" i="3"/>
  <c r="M184" i="3"/>
  <c r="I182" i="3"/>
  <c r="I188" i="3"/>
  <c r="O183" i="3"/>
  <c r="G179" i="3"/>
  <c r="O193" i="3"/>
  <c r="M192" i="3"/>
  <c r="S191" i="3"/>
  <c r="K191" i="3"/>
  <c r="Q190" i="3"/>
  <c r="I190" i="3"/>
  <c r="K187" i="3"/>
  <c r="G185" i="3"/>
  <c r="Q182" i="3"/>
  <c r="M180" i="3"/>
  <c r="I178" i="3"/>
  <c r="F193" i="3"/>
  <c r="R191" i="3"/>
  <c r="P190" i="3"/>
  <c r="K189" i="3"/>
  <c r="K183" i="3"/>
  <c r="G181" i="3"/>
  <c r="Q184" i="3"/>
  <c r="I180" i="3"/>
  <c r="K193" i="3"/>
  <c r="I192" i="3"/>
  <c r="G191" i="3"/>
  <c r="S189" i="3"/>
  <c r="M188" i="3"/>
  <c r="S183" i="3"/>
  <c r="K179" i="3"/>
  <c r="O187" i="3"/>
  <c r="Q180" i="3"/>
  <c r="M178" i="3"/>
  <c r="J193" i="3"/>
  <c r="N191" i="3"/>
  <c r="L190" i="3"/>
  <c r="Q186" i="3"/>
  <c r="S179" i="3"/>
  <c r="O189" i="3"/>
  <c r="S185" i="3"/>
  <c r="K181" i="3"/>
  <c r="G193" i="3"/>
  <c r="Q188" i="3"/>
  <c r="M186" i="3"/>
  <c r="I184" i="3"/>
  <c r="S181" i="3"/>
  <c r="O179" i="3"/>
  <c r="R189" i="3"/>
  <c r="F189" i="3"/>
  <c r="H188" i="3"/>
  <c r="J187" i="3"/>
  <c r="P186" i="3"/>
  <c r="R185" i="3"/>
  <c r="F185" i="3"/>
  <c r="H184" i="3"/>
  <c r="J183" i="3"/>
  <c r="L182" i="3"/>
  <c r="N181" i="3"/>
  <c r="F181" i="3"/>
  <c r="H180" i="3"/>
  <c r="N179" i="3"/>
  <c r="H178" i="3"/>
  <c r="I193" i="3"/>
  <c r="K192" i="3"/>
  <c r="M191" i="3"/>
  <c r="S190" i="3"/>
  <c r="G190" i="3"/>
  <c r="M189" i="3"/>
  <c r="S188" i="3"/>
  <c r="K188" i="3"/>
  <c r="Q187" i="3"/>
  <c r="I187" i="3"/>
  <c r="O186" i="3"/>
  <c r="K186" i="3"/>
  <c r="Q185" i="3"/>
  <c r="M185" i="3"/>
  <c r="I185" i="3"/>
  <c r="S184" i="3"/>
  <c r="O184" i="3"/>
  <c r="K184" i="3"/>
  <c r="G184" i="3"/>
  <c r="Q183" i="3"/>
  <c r="M183" i="3"/>
  <c r="I183" i="3"/>
  <c r="S182" i="3"/>
  <c r="O182" i="3"/>
  <c r="G182" i="3"/>
  <c r="Q181" i="3"/>
  <c r="M181" i="3"/>
  <c r="I181" i="3"/>
  <c r="S180" i="3"/>
  <c r="O180" i="3"/>
  <c r="K180" i="3"/>
  <c r="G180" i="3"/>
  <c r="Q179" i="3"/>
  <c r="M179" i="3"/>
  <c r="I179" i="3"/>
  <c r="S178" i="3"/>
  <c r="O178" i="3"/>
  <c r="K178" i="3"/>
  <c r="G178" i="3"/>
  <c r="L188" i="3"/>
  <c r="N187" i="3"/>
  <c r="L186" i="3"/>
  <c r="N185" i="3"/>
  <c r="P184" i="3"/>
  <c r="N183" i="3"/>
  <c r="P182" i="3"/>
  <c r="R181" i="3"/>
  <c r="P180" i="3"/>
  <c r="R179" i="3"/>
  <c r="J179" i="3"/>
  <c r="L178" i="3"/>
  <c r="M193" i="3"/>
  <c r="O192" i="3"/>
  <c r="Q191" i="3"/>
  <c r="I191" i="3"/>
  <c r="K190" i="3"/>
  <c r="Q189" i="3"/>
  <c r="I189" i="3"/>
  <c r="O188" i="3"/>
  <c r="G188" i="3"/>
  <c r="M187" i="3"/>
  <c r="S186" i="3"/>
  <c r="G186" i="3"/>
  <c r="K182" i="3"/>
  <c r="N189" i="3"/>
  <c r="P188" i="3"/>
  <c r="R187" i="3"/>
  <c r="F187" i="3"/>
  <c r="H186" i="3"/>
  <c r="J185" i="3"/>
  <c r="L184" i="3"/>
  <c r="R183" i="3"/>
  <c r="F183" i="3"/>
  <c r="H182" i="3"/>
  <c r="J181" i="3"/>
  <c r="L180" i="3"/>
  <c r="F179" i="3"/>
  <c r="P178" i="3"/>
  <c r="Q193" i="3"/>
  <c r="S192" i="3"/>
  <c r="G192" i="3"/>
  <c r="O190" i="3"/>
  <c r="P193" i="3"/>
  <c r="L193" i="3"/>
  <c r="H193" i="3"/>
  <c r="R192" i="3"/>
  <c r="N192" i="3"/>
  <c r="J192" i="3"/>
  <c r="F192" i="3"/>
  <c r="P191" i="3"/>
  <c r="L191" i="3"/>
  <c r="H191" i="3"/>
  <c r="R190" i="3"/>
  <c r="N190" i="3"/>
  <c r="J190" i="3"/>
  <c r="F190" i="3"/>
  <c r="P189" i="3"/>
  <c r="L189" i="3"/>
  <c r="H189" i="3"/>
  <c r="R188" i="3"/>
  <c r="N188" i="3"/>
  <c r="J188" i="3"/>
  <c r="F188" i="3"/>
  <c r="P187" i="3"/>
  <c r="L187" i="3"/>
  <c r="H187" i="3"/>
  <c r="R186" i="3"/>
  <c r="N186" i="3"/>
  <c r="J186" i="3"/>
  <c r="F186" i="3"/>
  <c r="P185" i="3"/>
  <c r="L185" i="3"/>
  <c r="H185" i="3"/>
  <c r="R184" i="3"/>
  <c r="N184" i="3"/>
  <c r="J184" i="3"/>
  <c r="F184" i="3"/>
  <c r="P183" i="3"/>
  <c r="L183" i="3"/>
  <c r="H183" i="3"/>
  <c r="R182" i="3"/>
  <c r="N182" i="3"/>
  <c r="J182" i="3"/>
  <c r="F182" i="3"/>
  <c r="P181" i="3"/>
  <c r="L181" i="3"/>
  <c r="H181" i="3"/>
  <c r="R180" i="3"/>
  <c r="N180" i="3"/>
  <c r="J180" i="3"/>
  <c r="F180" i="3"/>
  <c r="P179" i="3"/>
  <c r="L179" i="3"/>
  <c r="H179" i="3"/>
  <c r="R178" i="3"/>
  <c r="N178" i="3"/>
  <c r="J178" i="3"/>
  <c r="F178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K171" i="3"/>
  <c r="N165" i="3"/>
  <c r="J161" i="3"/>
  <c r="F159" i="3"/>
  <c r="M168" i="3"/>
  <c r="R161" i="3"/>
  <c r="G173" i="3"/>
  <c r="R171" i="3"/>
  <c r="M170" i="3"/>
  <c r="O167" i="3"/>
  <c r="F161" i="3"/>
  <c r="N159" i="3"/>
  <c r="O169" i="3"/>
  <c r="I168" i="3"/>
  <c r="K165" i="3"/>
  <c r="S163" i="3"/>
  <c r="M158" i="3"/>
  <c r="N173" i="3"/>
  <c r="L170" i="3"/>
  <c r="F169" i="3"/>
  <c r="K167" i="3"/>
  <c r="S165" i="3"/>
  <c r="M164" i="3"/>
  <c r="G163" i="3"/>
  <c r="O161" i="3"/>
  <c r="Q172" i="3"/>
  <c r="I172" i="3"/>
  <c r="O171" i="3"/>
  <c r="H168" i="3"/>
  <c r="P166" i="3"/>
  <c r="I162" i="3"/>
  <c r="Q160" i="3"/>
  <c r="K159" i="3"/>
  <c r="H170" i="3"/>
  <c r="R165" i="3"/>
  <c r="Q162" i="3"/>
  <c r="K161" i="3"/>
  <c r="S159" i="3"/>
  <c r="G159" i="3"/>
  <c r="S171" i="3"/>
  <c r="Q170" i="3"/>
  <c r="H164" i="3"/>
  <c r="P162" i="3"/>
  <c r="R159" i="3"/>
  <c r="S169" i="3"/>
  <c r="J163" i="3"/>
  <c r="L160" i="3"/>
  <c r="O173" i="3"/>
  <c r="L172" i="3"/>
  <c r="J171" i="3"/>
  <c r="G169" i="3"/>
  <c r="I166" i="3"/>
  <c r="Q158" i="3"/>
  <c r="Q166" i="3"/>
  <c r="F171" i="3"/>
  <c r="N169" i="3"/>
  <c r="G165" i="3"/>
  <c r="O163" i="3"/>
  <c r="L158" i="3"/>
  <c r="P168" i="3"/>
  <c r="J167" i="3"/>
  <c r="L164" i="3"/>
  <c r="S173" i="3"/>
  <c r="J173" i="3"/>
  <c r="P172" i="3"/>
  <c r="H172" i="3"/>
  <c r="R167" i="3"/>
  <c r="L166" i="3"/>
  <c r="F165" i="3"/>
  <c r="N163" i="3"/>
  <c r="H162" i="3"/>
  <c r="M160" i="3"/>
  <c r="R169" i="3"/>
  <c r="K169" i="3"/>
  <c r="N167" i="3"/>
  <c r="G167" i="3"/>
  <c r="J165" i="3"/>
  <c r="Q164" i="3"/>
  <c r="F163" i="3"/>
  <c r="M162" i="3"/>
  <c r="P160" i="3"/>
  <c r="I160" i="3"/>
  <c r="I158" i="3"/>
  <c r="F173" i="3"/>
  <c r="M172" i="3"/>
  <c r="P170" i="3"/>
  <c r="I170" i="3"/>
  <c r="L168" i="3"/>
  <c r="S167" i="3"/>
  <c r="H166" i="3"/>
  <c r="O165" i="3"/>
  <c r="R163" i="3"/>
  <c r="K163" i="3"/>
  <c r="N161" i="3"/>
  <c r="G161" i="3"/>
  <c r="J159" i="3"/>
  <c r="P158" i="3"/>
  <c r="R173" i="3"/>
  <c r="K173" i="3"/>
  <c r="N171" i="3"/>
  <c r="G171" i="3"/>
  <c r="J169" i="3"/>
  <c r="Q168" i="3"/>
  <c r="F167" i="3"/>
  <c r="M166" i="3"/>
  <c r="P164" i="3"/>
  <c r="I164" i="3"/>
  <c r="L162" i="3"/>
  <c r="S161" i="3"/>
  <c r="H160" i="3"/>
  <c r="O159" i="3"/>
  <c r="H158" i="3"/>
  <c r="M173" i="3"/>
  <c r="S172" i="3"/>
  <c r="K172" i="3"/>
  <c r="Q171" i="3"/>
  <c r="I171" i="3"/>
  <c r="O170" i="3"/>
  <c r="G170" i="3"/>
  <c r="M169" i="3"/>
  <c r="S168" i="3"/>
  <c r="K168" i="3"/>
  <c r="M167" i="3"/>
  <c r="S166" i="3"/>
  <c r="K166" i="3"/>
  <c r="Q165" i="3"/>
  <c r="I165" i="3"/>
  <c r="O164" i="3"/>
  <c r="K164" i="3"/>
  <c r="G164" i="3"/>
  <c r="Q163" i="3"/>
  <c r="I163" i="3"/>
  <c r="S162" i="3"/>
  <c r="O162" i="3"/>
  <c r="K162" i="3"/>
  <c r="G162" i="3"/>
  <c r="Q161" i="3"/>
  <c r="M161" i="3"/>
  <c r="I161" i="3"/>
  <c r="S160" i="3"/>
  <c r="O160" i="3"/>
  <c r="K160" i="3"/>
  <c r="G160" i="3"/>
  <c r="Q159" i="3"/>
  <c r="M159" i="3"/>
  <c r="I159" i="3"/>
  <c r="S158" i="3"/>
  <c r="O158" i="3"/>
  <c r="K158" i="3"/>
  <c r="G158" i="3"/>
  <c r="Q173" i="3"/>
  <c r="I173" i="3"/>
  <c r="O172" i="3"/>
  <c r="G172" i="3"/>
  <c r="M171" i="3"/>
  <c r="S170" i="3"/>
  <c r="K170" i="3"/>
  <c r="Q169" i="3"/>
  <c r="I169" i="3"/>
  <c r="O168" i="3"/>
  <c r="G168" i="3"/>
  <c r="Q167" i="3"/>
  <c r="I167" i="3"/>
  <c r="O166" i="3"/>
  <c r="G166" i="3"/>
  <c r="M165" i="3"/>
  <c r="S164" i="3"/>
  <c r="M163" i="3"/>
  <c r="P173" i="3"/>
  <c r="L173" i="3"/>
  <c r="H173" i="3"/>
  <c r="R172" i="3"/>
  <c r="N172" i="3"/>
  <c r="J172" i="3"/>
  <c r="F172" i="3"/>
  <c r="P171" i="3"/>
  <c r="L171" i="3"/>
  <c r="H171" i="3"/>
  <c r="R170" i="3"/>
  <c r="N170" i="3"/>
  <c r="J170" i="3"/>
  <c r="F170" i="3"/>
  <c r="P169" i="3"/>
  <c r="L169" i="3"/>
  <c r="H169" i="3"/>
  <c r="R168" i="3"/>
  <c r="N168" i="3"/>
  <c r="J168" i="3"/>
  <c r="F168" i="3"/>
  <c r="P167" i="3"/>
  <c r="L167" i="3"/>
  <c r="H167" i="3"/>
  <c r="R166" i="3"/>
  <c r="N166" i="3"/>
  <c r="J166" i="3"/>
  <c r="F166" i="3"/>
  <c r="P165" i="3"/>
  <c r="L165" i="3"/>
  <c r="H165" i="3"/>
  <c r="R164" i="3"/>
  <c r="N164" i="3"/>
  <c r="J164" i="3"/>
  <c r="F164" i="3"/>
  <c r="P163" i="3"/>
  <c r="L163" i="3"/>
  <c r="H163" i="3"/>
  <c r="R162" i="3"/>
  <c r="N162" i="3"/>
  <c r="J162" i="3"/>
  <c r="F162" i="3"/>
  <c r="P161" i="3"/>
  <c r="L161" i="3"/>
  <c r="H161" i="3"/>
  <c r="R160" i="3"/>
  <c r="N160" i="3"/>
  <c r="J160" i="3"/>
  <c r="F160" i="3"/>
  <c r="P159" i="3"/>
  <c r="L159" i="3"/>
  <c r="H159" i="3"/>
  <c r="R158" i="3"/>
  <c r="N158" i="3"/>
  <c r="J158" i="3"/>
  <c r="F158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J152" i="3"/>
  <c r="I149" i="3"/>
  <c r="I146" i="3"/>
  <c r="H143" i="3"/>
  <c r="G140" i="3"/>
  <c r="N154" i="3"/>
  <c r="S153" i="3"/>
  <c r="H151" i="3"/>
  <c r="G148" i="3"/>
  <c r="G145" i="3"/>
  <c r="F142" i="3"/>
  <c r="F150" i="3"/>
  <c r="S146" i="3"/>
  <c r="S143" i="3"/>
  <c r="R140" i="3"/>
  <c r="S152" i="3"/>
  <c r="S151" i="3"/>
  <c r="R148" i="3"/>
  <c r="Q145" i="3"/>
  <c r="Q142" i="3"/>
  <c r="P139" i="3"/>
  <c r="S154" i="3"/>
  <c r="J154" i="3"/>
  <c r="O153" i="3"/>
  <c r="Q150" i="3"/>
  <c r="P147" i="3"/>
  <c r="O144" i="3"/>
  <c r="O141" i="3"/>
  <c r="O152" i="3"/>
  <c r="O149" i="3"/>
  <c r="N146" i="3"/>
  <c r="M143" i="3"/>
  <c r="M140" i="3"/>
  <c r="R154" i="3"/>
  <c r="I154" i="3"/>
  <c r="K153" i="3"/>
  <c r="M151" i="3"/>
  <c r="M148" i="3"/>
  <c r="L145" i="3"/>
  <c r="K142" i="3"/>
  <c r="K139" i="3"/>
  <c r="O154" i="3"/>
  <c r="F154" i="3"/>
  <c r="K150" i="3"/>
  <c r="K147" i="3"/>
  <c r="J144" i="3"/>
  <c r="I141" i="3"/>
  <c r="I153" i="3"/>
  <c r="N152" i="3"/>
  <c r="I152" i="3"/>
  <c r="Q151" i="3"/>
  <c r="L151" i="3"/>
  <c r="G151" i="3"/>
  <c r="O150" i="3"/>
  <c r="J150" i="3"/>
  <c r="S149" i="3"/>
  <c r="M149" i="3"/>
  <c r="H149" i="3"/>
  <c r="Q148" i="3"/>
  <c r="K148" i="3"/>
  <c r="F148" i="3"/>
  <c r="O147" i="3"/>
  <c r="I147" i="3"/>
  <c r="R146" i="3"/>
  <c r="M146" i="3"/>
  <c r="G146" i="3"/>
  <c r="P145" i="3"/>
  <c r="K145" i="3"/>
  <c r="S144" i="3"/>
  <c r="N144" i="3"/>
  <c r="I144" i="3"/>
  <c r="Q143" i="3"/>
  <c r="L143" i="3"/>
  <c r="G143" i="3"/>
  <c r="O142" i="3"/>
  <c r="J142" i="3"/>
  <c r="S141" i="3"/>
  <c r="M141" i="3"/>
  <c r="H141" i="3"/>
  <c r="Q140" i="3"/>
  <c r="K140" i="3"/>
  <c r="F140" i="3"/>
  <c r="O139" i="3"/>
  <c r="I139" i="3"/>
  <c r="M154" i="3"/>
  <c r="M153" i="3"/>
  <c r="R152" i="3"/>
  <c r="Q154" i="3"/>
  <c r="Q153" i="3"/>
  <c r="H153" i="3"/>
  <c r="M152" i="3"/>
  <c r="G152" i="3"/>
  <c r="P151" i="3"/>
  <c r="K151" i="3"/>
  <c r="S150" i="3"/>
  <c r="N150" i="3"/>
  <c r="I150" i="3"/>
  <c r="Q149" i="3"/>
  <c r="L149" i="3"/>
  <c r="G149" i="3"/>
  <c r="O148" i="3"/>
  <c r="J148" i="3"/>
  <c r="S147" i="3"/>
  <c r="M147" i="3"/>
  <c r="H147" i="3"/>
  <c r="Q146" i="3"/>
  <c r="K146" i="3"/>
  <c r="F146" i="3"/>
  <c r="O145" i="3"/>
  <c r="I145" i="3"/>
  <c r="R144" i="3"/>
  <c r="M144" i="3"/>
  <c r="G144" i="3"/>
  <c r="P143" i="3"/>
  <c r="K143" i="3"/>
  <c r="S142" i="3"/>
  <c r="N142" i="3"/>
  <c r="I142" i="3"/>
  <c r="Q141" i="3"/>
  <c r="L141" i="3"/>
  <c r="G141" i="3"/>
  <c r="O140" i="3"/>
  <c r="J140" i="3"/>
  <c r="S139" i="3"/>
  <c r="M139" i="3"/>
  <c r="H139" i="3"/>
  <c r="G154" i="3"/>
  <c r="L153" i="3"/>
  <c r="Q152" i="3"/>
  <c r="K154" i="3"/>
  <c r="P153" i="3"/>
  <c r="G153" i="3"/>
  <c r="K152" i="3"/>
  <c r="F152" i="3"/>
  <c r="O151" i="3"/>
  <c r="I151" i="3"/>
  <c r="R150" i="3"/>
  <c r="M150" i="3"/>
  <c r="G150" i="3"/>
  <c r="P149" i="3"/>
  <c r="K149" i="3"/>
  <c r="S148" i="3"/>
  <c r="N148" i="3"/>
  <c r="I148" i="3"/>
  <c r="Q147" i="3"/>
  <c r="L147" i="3"/>
  <c r="G147" i="3"/>
  <c r="O146" i="3"/>
  <c r="J146" i="3"/>
  <c r="S145" i="3"/>
  <c r="M145" i="3"/>
  <c r="H145" i="3"/>
  <c r="Q144" i="3"/>
  <c r="K144" i="3"/>
  <c r="F144" i="3"/>
  <c r="O143" i="3"/>
  <c r="I143" i="3"/>
  <c r="R142" i="3"/>
  <c r="M142" i="3"/>
  <c r="G142" i="3"/>
  <c r="P141" i="3"/>
  <c r="K141" i="3"/>
  <c r="S140" i="3"/>
  <c r="N140" i="3"/>
  <c r="I140" i="3"/>
  <c r="Q139" i="3"/>
  <c r="L139" i="3"/>
  <c r="G139" i="3"/>
  <c r="P154" i="3"/>
  <c r="L154" i="3"/>
  <c r="H154" i="3"/>
  <c r="R153" i="3"/>
  <c r="N153" i="3"/>
  <c r="J153" i="3"/>
  <c r="F153" i="3"/>
  <c r="P152" i="3"/>
  <c r="L152" i="3"/>
  <c r="H152" i="3"/>
  <c r="R151" i="3"/>
  <c r="N151" i="3"/>
  <c r="J151" i="3"/>
  <c r="F151" i="3"/>
  <c r="P150" i="3"/>
  <c r="L150" i="3"/>
  <c r="H150" i="3"/>
  <c r="R149" i="3"/>
  <c r="N149" i="3"/>
  <c r="J149" i="3"/>
  <c r="F149" i="3"/>
  <c r="P148" i="3"/>
  <c r="L148" i="3"/>
  <c r="H148" i="3"/>
  <c r="R147" i="3"/>
  <c r="N147" i="3"/>
  <c r="J147" i="3"/>
  <c r="F147" i="3"/>
  <c r="P146" i="3"/>
  <c r="L146" i="3"/>
  <c r="H146" i="3"/>
  <c r="R145" i="3"/>
  <c r="N145" i="3"/>
  <c r="J145" i="3"/>
  <c r="F145" i="3"/>
  <c r="P144" i="3"/>
  <c r="L144" i="3"/>
  <c r="H144" i="3"/>
  <c r="R143" i="3"/>
  <c r="N143" i="3"/>
  <c r="J143" i="3"/>
  <c r="F143" i="3"/>
  <c r="P142" i="3"/>
  <c r="L142" i="3"/>
  <c r="H142" i="3"/>
  <c r="R141" i="3"/>
  <c r="N141" i="3"/>
  <c r="J141" i="3"/>
  <c r="F141" i="3"/>
  <c r="P140" i="3"/>
  <c r="L140" i="3"/>
  <c r="H140" i="3"/>
  <c r="R139" i="3"/>
  <c r="N139" i="3"/>
  <c r="J139" i="3"/>
  <c r="F139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K123" i="3"/>
  <c r="H122" i="3"/>
  <c r="M120" i="3"/>
  <c r="S135" i="3"/>
  <c r="L134" i="3"/>
  <c r="O133" i="3"/>
  <c r="M132" i="3"/>
  <c r="K131" i="3"/>
  <c r="I130" i="3"/>
  <c r="G129" i="3"/>
  <c r="S127" i="3"/>
  <c r="Q126" i="3"/>
  <c r="O125" i="3"/>
  <c r="M124" i="3"/>
  <c r="O121" i="3"/>
  <c r="R135" i="3"/>
  <c r="G135" i="3"/>
  <c r="N133" i="3"/>
  <c r="L132" i="3"/>
  <c r="J131" i="3"/>
  <c r="H130" i="3"/>
  <c r="F129" i="3"/>
  <c r="R127" i="3"/>
  <c r="P126" i="3"/>
  <c r="N125" i="3"/>
  <c r="L124" i="3"/>
  <c r="Q122" i="3"/>
  <c r="N135" i="3"/>
  <c r="Q134" i="3"/>
  <c r="G133" i="3"/>
  <c r="S131" i="3"/>
  <c r="Q130" i="3"/>
  <c r="O129" i="3"/>
  <c r="M128" i="3"/>
  <c r="K127" i="3"/>
  <c r="I126" i="3"/>
  <c r="G125" i="3"/>
  <c r="S123" i="3"/>
  <c r="G121" i="3"/>
  <c r="I122" i="3"/>
  <c r="P134" i="3"/>
  <c r="S133" i="3"/>
  <c r="F133" i="3"/>
  <c r="R131" i="3"/>
  <c r="P130" i="3"/>
  <c r="N129" i="3"/>
  <c r="L128" i="3"/>
  <c r="J127" i="3"/>
  <c r="H126" i="3"/>
  <c r="F125" i="3"/>
  <c r="R123" i="3"/>
  <c r="J123" i="3"/>
  <c r="P122" i="3"/>
  <c r="N121" i="3"/>
  <c r="F121" i="3"/>
  <c r="L120" i="3"/>
  <c r="K135" i="3"/>
  <c r="F135" i="3"/>
  <c r="I134" i="3"/>
  <c r="R133" i="3"/>
  <c r="K133" i="3"/>
  <c r="Q132" i="3"/>
  <c r="I132" i="3"/>
  <c r="O131" i="3"/>
  <c r="G131" i="3"/>
  <c r="M130" i="3"/>
  <c r="S129" i="3"/>
  <c r="K129" i="3"/>
  <c r="Q128" i="3"/>
  <c r="I128" i="3"/>
  <c r="O127" i="3"/>
  <c r="G127" i="3"/>
  <c r="M126" i="3"/>
  <c r="S125" i="3"/>
  <c r="K125" i="3"/>
  <c r="Q124" i="3"/>
  <c r="I124" i="3"/>
  <c r="O123" i="3"/>
  <c r="G123" i="3"/>
  <c r="M122" i="3"/>
  <c r="S121" i="3"/>
  <c r="K121" i="3"/>
  <c r="Q120" i="3"/>
  <c r="I120" i="3"/>
  <c r="O135" i="3"/>
  <c r="J135" i="3"/>
  <c r="M134" i="3"/>
  <c r="H134" i="3"/>
  <c r="J133" i="3"/>
  <c r="P132" i="3"/>
  <c r="H132" i="3"/>
  <c r="N131" i="3"/>
  <c r="F131" i="3"/>
  <c r="L130" i="3"/>
  <c r="R129" i="3"/>
  <c r="J129" i="3"/>
  <c r="P128" i="3"/>
  <c r="H128" i="3"/>
  <c r="N127" i="3"/>
  <c r="F127" i="3"/>
  <c r="L126" i="3"/>
  <c r="R125" i="3"/>
  <c r="J125" i="3"/>
  <c r="P124" i="3"/>
  <c r="H124" i="3"/>
  <c r="N123" i="3"/>
  <c r="F123" i="3"/>
  <c r="L122" i="3"/>
  <c r="R121" i="3"/>
  <c r="J121" i="3"/>
  <c r="P120" i="3"/>
  <c r="H120" i="3"/>
  <c r="Q135" i="3"/>
  <c r="M135" i="3"/>
  <c r="I135" i="3"/>
  <c r="S134" i="3"/>
  <c r="O134" i="3"/>
  <c r="K134" i="3"/>
  <c r="G134" i="3"/>
  <c r="Q133" i="3"/>
  <c r="M133" i="3"/>
  <c r="I133" i="3"/>
  <c r="S132" i="3"/>
  <c r="O132" i="3"/>
  <c r="K132" i="3"/>
  <c r="G132" i="3"/>
  <c r="Q131" i="3"/>
  <c r="M131" i="3"/>
  <c r="I131" i="3"/>
  <c r="S130" i="3"/>
  <c r="O130" i="3"/>
  <c r="K130" i="3"/>
  <c r="G130" i="3"/>
  <c r="Q129" i="3"/>
  <c r="M129" i="3"/>
  <c r="I129" i="3"/>
  <c r="S128" i="3"/>
  <c r="O128" i="3"/>
  <c r="K128" i="3"/>
  <c r="G128" i="3"/>
  <c r="Q127" i="3"/>
  <c r="M127" i="3"/>
  <c r="I127" i="3"/>
  <c r="S126" i="3"/>
  <c r="O126" i="3"/>
  <c r="K126" i="3"/>
  <c r="G126" i="3"/>
  <c r="Q125" i="3"/>
  <c r="M125" i="3"/>
  <c r="I125" i="3"/>
  <c r="S124" i="3"/>
  <c r="O124" i="3"/>
  <c r="K124" i="3"/>
  <c r="G124" i="3"/>
  <c r="Q123" i="3"/>
  <c r="M123" i="3"/>
  <c r="I123" i="3"/>
  <c r="S122" i="3"/>
  <c r="O122" i="3"/>
  <c r="K122" i="3"/>
  <c r="G122" i="3"/>
  <c r="Q121" i="3"/>
  <c r="M121" i="3"/>
  <c r="I121" i="3"/>
  <c r="S120" i="3"/>
  <c r="O120" i="3"/>
  <c r="K120" i="3"/>
  <c r="G120" i="3"/>
  <c r="P135" i="3"/>
  <c r="L135" i="3"/>
  <c r="H135" i="3"/>
  <c r="R134" i="3"/>
  <c r="N134" i="3"/>
  <c r="J134" i="3"/>
  <c r="F134" i="3"/>
  <c r="P133" i="3"/>
  <c r="L133" i="3"/>
  <c r="H133" i="3"/>
  <c r="R132" i="3"/>
  <c r="N132" i="3"/>
  <c r="J132" i="3"/>
  <c r="F132" i="3"/>
  <c r="P131" i="3"/>
  <c r="L131" i="3"/>
  <c r="H131" i="3"/>
  <c r="R130" i="3"/>
  <c r="N130" i="3"/>
  <c r="J130" i="3"/>
  <c r="F130" i="3"/>
  <c r="P129" i="3"/>
  <c r="L129" i="3"/>
  <c r="H129" i="3"/>
  <c r="R128" i="3"/>
  <c r="N128" i="3"/>
  <c r="J128" i="3"/>
  <c r="F128" i="3"/>
  <c r="P127" i="3"/>
  <c r="L127" i="3"/>
  <c r="H127" i="3"/>
  <c r="R126" i="3"/>
  <c r="N126" i="3"/>
  <c r="J126" i="3"/>
  <c r="F126" i="3"/>
  <c r="P125" i="3"/>
  <c r="L125" i="3"/>
  <c r="H125" i="3"/>
  <c r="R124" i="3"/>
  <c r="N124" i="3"/>
  <c r="J124" i="3"/>
  <c r="F124" i="3"/>
  <c r="P123" i="3"/>
  <c r="L123" i="3"/>
  <c r="H123" i="3"/>
  <c r="R122" i="3"/>
  <c r="N122" i="3"/>
  <c r="J122" i="3"/>
  <c r="F122" i="3"/>
  <c r="P121" i="3"/>
  <c r="L121" i="3"/>
  <c r="H121" i="3"/>
  <c r="R120" i="3"/>
  <c r="N120" i="3"/>
  <c r="J120" i="3"/>
  <c r="F120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P113" i="3"/>
  <c r="H110" i="3"/>
  <c r="Q102" i="3"/>
  <c r="K113" i="3"/>
  <c r="F106" i="3"/>
  <c r="I104" i="3"/>
  <c r="L111" i="3"/>
  <c r="R107" i="3"/>
  <c r="G111" i="3"/>
  <c r="R101" i="3"/>
  <c r="N105" i="3"/>
  <c r="J101" i="3"/>
  <c r="S111" i="3"/>
  <c r="N104" i="3"/>
  <c r="H115" i="3"/>
  <c r="N111" i="3"/>
  <c r="L102" i="3"/>
  <c r="O109" i="3"/>
  <c r="R112" i="3"/>
  <c r="J109" i="3"/>
  <c r="P103" i="3"/>
  <c r="H109" i="3"/>
  <c r="K107" i="3"/>
  <c r="N110" i="3"/>
  <c r="Q108" i="3"/>
  <c r="F107" i="3"/>
  <c r="I114" i="3"/>
  <c r="L112" i="3"/>
  <c r="R106" i="3"/>
  <c r="G105" i="3"/>
  <c r="J103" i="3"/>
  <c r="P114" i="3"/>
  <c r="O115" i="3"/>
  <c r="R113" i="3"/>
  <c r="J108" i="3"/>
  <c r="M106" i="3"/>
  <c r="P104" i="3"/>
  <c r="P100" i="3"/>
  <c r="N115" i="3"/>
  <c r="G115" i="3"/>
  <c r="J113" i="3"/>
  <c r="J112" i="3"/>
  <c r="M110" i="3"/>
  <c r="I108" i="3"/>
  <c r="L106" i="3"/>
  <c r="L105" i="3"/>
  <c r="O103" i="3"/>
  <c r="H103" i="3"/>
  <c r="G101" i="3"/>
  <c r="S115" i="3"/>
  <c r="H114" i="3"/>
  <c r="H113" i="3"/>
  <c r="K111" i="3"/>
  <c r="N109" i="3"/>
  <c r="G109" i="3"/>
  <c r="Q106" i="3"/>
  <c r="F104" i="3"/>
  <c r="M114" i="3"/>
  <c r="F114" i="3"/>
  <c r="I112" i="3"/>
  <c r="L110" i="3"/>
  <c r="L109" i="3"/>
  <c r="H108" i="3"/>
  <c r="H107" i="3"/>
  <c r="K105" i="3"/>
  <c r="R104" i="3"/>
  <c r="G103" i="3"/>
  <c r="H102" i="3"/>
  <c r="N101" i="3"/>
  <c r="R114" i="3"/>
  <c r="N113" i="3"/>
  <c r="N112" i="3"/>
  <c r="J111" i="3"/>
  <c r="J110" i="3"/>
  <c r="M108" i="3"/>
  <c r="P106" i="3"/>
  <c r="P105" i="3"/>
  <c r="L104" i="3"/>
  <c r="I100" i="3"/>
  <c r="P115" i="3"/>
  <c r="L114" i="3"/>
  <c r="S113" i="3"/>
  <c r="L113" i="3"/>
  <c r="H112" i="3"/>
  <c r="O111" i="3"/>
  <c r="H111" i="3"/>
  <c r="R109" i="3"/>
  <c r="K109" i="3"/>
  <c r="R108" i="3"/>
  <c r="N107" i="3"/>
  <c r="G107" i="3"/>
  <c r="N106" i="3"/>
  <c r="J105" i="3"/>
  <c r="Q104" i="3"/>
  <c r="J104" i="3"/>
  <c r="F103" i="3"/>
  <c r="M102" i="3"/>
  <c r="S101" i="3"/>
  <c r="K101" i="3"/>
  <c r="Q100" i="3"/>
  <c r="N114" i="3"/>
  <c r="Q112" i="3"/>
  <c r="F111" i="3"/>
  <c r="F110" i="3"/>
  <c r="P108" i="3"/>
  <c r="P107" i="3"/>
  <c r="S105" i="3"/>
  <c r="H104" i="3"/>
  <c r="I102" i="3"/>
  <c r="O101" i="3"/>
  <c r="M100" i="3"/>
  <c r="L115" i="3"/>
  <c r="O113" i="3"/>
  <c r="R111" i="3"/>
  <c r="R110" i="3"/>
  <c r="N108" i="3"/>
  <c r="J107" i="3"/>
  <c r="J106" i="3"/>
  <c r="F105" i="3"/>
  <c r="M104" i="3"/>
  <c r="P102" i="3"/>
  <c r="F115" i="3"/>
  <c r="P112" i="3"/>
  <c r="P111" i="3"/>
  <c r="S109" i="3"/>
  <c r="O107" i="3"/>
  <c r="R105" i="3"/>
  <c r="N103" i="3"/>
  <c r="N102" i="3"/>
  <c r="F101" i="3"/>
  <c r="R115" i="3"/>
  <c r="K115" i="3"/>
  <c r="G113" i="3"/>
  <c r="Q110" i="3"/>
  <c r="F109" i="3"/>
  <c r="F108" i="3"/>
  <c r="I106" i="3"/>
  <c r="S103" i="3"/>
  <c r="L103" i="3"/>
  <c r="J115" i="3"/>
  <c r="Q114" i="3"/>
  <c r="J114" i="3"/>
  <c r="F113" i="3"/>
  <c r="M112" i="3"/>
  <c r="F112" i="3"/>
  <c r="P110" i="3"/>
  <c r="I110" i="3"/>
  <c r="P109" i="3"/>
  <c r="L108" i="3"/>
  <c r="S107" i="3"/>
  <c r="L107" i="3"/>
  <c r="H106" i="3"/>
  <c r="O105" i="3"/>
  <c r="H105" i="3"/>
  <c r="R103" i="3"/>
  <c r="K103" i="3"/>
  <c r="R102" i="3"/>
  <c r="H100" i="3"/>
  <c r="L100" i="3"/>
  <c r="Q115" i="3"/>
  <c r="M115" i="3"/>
  <c r="I115" i="3"/>
  <c r="S114" i="3"/>
  <c r="O114" i="3"/>
  <c r="K114" i="3"/>
  <c r="G114" i="3"/>
  <c r="Q113" i="3"/>
  <c r="M113" i="3"/>
  <c r="I113" i="3"/>
  <c r="S112" i="3"/>
  <c r="O112" i="3"/>
  <c r="K112" i="3"/>
  <c r="G112" i="3"/>
  <c r="Q111" i="3"/>
  <c r="M111" i="3"/>
  <c r="I111" i="3"/>
  <c r="S110" i="3"/>
  <c r="O110" i="3"/>
  <c r="K110" i="3"/>
  <c r="G110" i="3"/>
  <c r="Q109" i="3"/>
  <c r="M109" i="3"/>
  <c r="I109" i="3"/>
  <c r="S108" i="3"/>
  <c r="O108" i="3"/>
  <c r="K108" i="3"/>
  <c r="G108" i="3"/>
  <c r="Q107" i="3"/>
  <c r="M107" i="3"/>
  <c r="I107" i="3"/>
  <c r="S106" i="3"/>
  <c r="O106" i="3"/>
  <c r="K106" i="3"/>
  <c r="G106" i="3"/>
  <c r="Q105" i="3"/>
  <c r="M105" i="3"/>
  <c r="I105" i="3"/>
  <c r="S104" i="3"/>
  <c r="O104" i="3"/>
  <c r="K104" i="3"/>
  <c r="G104" i="3"/>
  <c r="Q103" i="3"/>
  <c r="M103" i="3"/>
  <c r="I103" i="3"/>
  <c r="S102" i="3"/>
  <c r="O102" i="3"/>
  <c r="K102" i="3"/>
  <c r="G102" i="3"/>
  <c r="Q101" i="3"/>
  <c r="M101" i="3"/>
  <c r="I101" i="3"/>
  <c r="S100" i="3"/>
  <c r="O100" i="3"/>
  <c r="K100" i="3"/>
  <c r="G100" i="3"/>
  <c r="J102" i="3"/>
  <c r="F102" i="3"/>
  <c r="P101" i="3"/>
  <c r="L101" i="3"/>
  <c r="H101" i="3"/>
  <c r="R100" i="3"/>
  <c r="N100" i="3"/>
  <c r="J100" i="3"/>
  <c r="F100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Q91" i="3"/>
  <c r="O94" i="3"/>
  <c r="M85" i="3"/>
  <c r="N96" i="3"/>
  <c r="L95" i="3"/>
  <c r="S84" i="3"/>
  <c r="G94" i="3"/>
  <c r="Q87" i="3"/>
  <c r="K84" i="3"/>
  <c r="O90" i="3"/>
  <c r="G86" i="3"/>
  <c r="Q95" i="3"/>
  <c r="I87" i="3"/>
  <c r="G90" i="3"/>
  <c r="I83" i="3"/>
  <c r="S92" i="3"/>
  <c r="K88" i="3"/>
  <c r="I91" i="3"/>
  <c r="O86" i="3"/>
  <c r="O82" i="3"/>
  <c r="M89" i="3"/>
  <c r="K92" i="3"/>
  <c r="G82" i="3"/>
  <c r="S96" i="3"/>
  <c r="M93" i="3"/>
  <c r="S88" i="3"/>
  <c r="Q83" i="3"/>
  <c r="M81" i="3"/>
  <c r="P95" i="3"/>
  <c r="S94" i="3"/>
  <c r="F94" i="3"/>
  <c r="R92" i="3"/>
  <c r="J92" i="3"/>
  <c r="H91" i="3"/>
  <c r="F90" i="3"/>
  <c r="R88" i="3"/>
  <c r="J88" i="3"/>
  <c r="H87" i="3"/>
  <c r="F86" i="3"/>
  <c r="R84" i="3"/>
  <c r="P83" i="3"/>
  <c r="N82" i="3"/>
  <c r="L81" i="3"/>
  <c r="K96" i="3"/>
  <c r="I95" i="3"/>
  <c r="K94" i="3"/>
  <c r="I93" i="3"/>
  <c r="O92" i="3"/>
  <c r="G92" i="3"/>
  <c r="M91" i="3"/>
  <c r="S90" i="3"/>
  <c r="K90" i="3"/>
  <c r="Q89" i="3"/>
  <c r="I89" i="3"/>
  <c r="O88" i="3"/>
  <c r="G88" i="3"/>
  <c r="M87" i="3"/>
  <c r="S86" i="3"/>
  <c r="K86" i="3"/>
  <c r="Q85" i="3"/>
  <c r="I85" i="3"/>
  <c r="O84" i="3"/>
  <c r="G84" i="3"/>
  <c r="M83" i="3"/>
  <c r="S82" i="3"/>
  <c r="K82" i="3"/>
  <c r="Q81" i="3"/>
  <c r="I81" i="3"/>
  <c r="R96" i="3"/>
  <c r="G96" i="3"/>
  <c r="N94" i="3"/>
  <c r="L93" i="3"/>
  <c r="P91" i="3"/>
  <c r="N90" i="3"/>
  <c r="L89" i="3"/>
  <c r="P87" i="3"/>
  <c r="N86" i="3"/>
  <c r="L85" i="3"/>
  <c r="J84" i="3"/>
  <c r="H83" i="3"/>
  <c r="F82" i="3"/>
  <c r="F96" i="3"/>
  <c r="R94" i="3"/>
  <c r="Q93" i="3"/>
  <c r="O96" i="3"/>
  <c r="J96" i="3"/>
  <c r="M95" i="3"/>
  <c r="H95" i="3"/>
  <c r="J94" i="3"/>
  <c r="P93" i="3"/>
  <c r="H93" i="3"/>
  <c r="N92" i="3"/>
  <c r="F92" i="3"/>
  <c r="L91" i="3"/>
  <c r="R90" i="3"/>
  <c r="J90" i="3"/>
  <c r="P89" i="3"/>
  <c r="H89" i="3"/>
  <c r="N88" i="3"/>
  <c r="F88" i="3"/>
  <c r="L87" i="3"/>
  <c r="R86" i="3"/>
  <c r="J86" i="3"/>
  <c r="P85" i="3"/>
  <c r="H85" i="3"/>
  <c r="N84" i="3"/>
  <c r="F84" i="3"/>
  <c r="L83" i="3"/>
  <c r="R82" i="3"/>
  <c r="J82" i="3"/>
  <c r="P81" i="3"/>
  <c r="H81" i="3"/>
  <c r="Q96" i="3"/>
  <c r="M96" i="3"/>
  <c r="I96" i="3"/>
  <c r="S95" i="3"/>
  <c r="O95" i="3"/>
  <c r="K95" i="3"/>
  <c r="G95" i="3"/>
  <c r="Q94" i="3"/>
  <c r="M94" i="3"/>
  <c r="I94" i="3"/>
  <c r="S93" i="3"/>
  <c r="O93" i="3"/>
  <c r="K93" i="3"/>
  <c r="G93" i="3"/>
  <c r="Q92" i="3"/>
  <c r="M92" i="3"/>
  <c r="I92" i="3"/>
  <c r="S91" i="3"/>
  <c r="O91" i="3"/>
  <c r="K91" i="3"/>
  <c r="G91" i="3"/>
  <c r="Q90" i="3"/>
  <c r="M90" i="3"/>
  <c r="I90" i="3"/>
  <c r="S89" i="3"/>
  <c r="O89" i="3"/>
  <c r="K89" i="3"/>
  <c r="G89" i="3"/>
  <c r="Q88" i="3"/>
  <c r="M88" i="3"/>
  <c r="I88" i="3"/>
  <c r="S87" i="3"/>
  <c r="O87" i="3"/>
  <c r="K87" i="3"/>
  <c r="G87" i="3"/>
  <c r="Q86" i="3"/>
  <c r="M86" i="3"/>
  <c r="I86" i="3"/>
  <c r="S85" i="3"/>
  <c r="O85" i="3"/>
  <c r="K85" i="3"/>
  <c r="G85" i="3"/>
  <c r="Q84" i="3"/>
  <c r="M84" i="3"/>
  <c r="I84" i="3"/>
  <c r="S83" i="3"/>
  <c r="O83" i="3"/>
  <c r="K83" i="3"/>
  <c r="G83" i="3"/>
  <c r="Q82" i="3"/>
  <c r="M82" i="3"/>
  <c r="I82" i="3"/>
  <c r="S81" i="3"/>
  <c r="O81" i="3"/>
  <c r="K81" i="3"/>
  <c r="G81" i="3"/>
  <c r="P96" i="3"/>
  <c r="L96" i="3"/>
  <c r="H96" i="3"/>
  <c r="R95" i="3"/>
  <c r="N95" i="3"/>
  <c r="J95" i="3"/>
  <c r="F95" i="3"/>
  <c r="P94" i="3"/>
  <c r="L94" i="3"/>
  <c r="H94" i="3"/>
  <c r="R93" i="3"/>
  <c r="N93" i="3"/>
  <c r="J93" i="3"/>
  <c r="F93" i="3"/>
  <c r="P92" i="3"/>
  <c r="L92" i="3"/>
  <c r="H92" i="3"/>
  <c r="R91" i="3"/>
  <c r="N91" i="3"/>
  <c r="J91" i="3"/>
  <c r="F91" i="3"/>
  <c r="P90" i="3"/>
  <c r="L90" i="3"/>
  <c r="H90" i="3"/>
  <c r="R89" i="3"/>
  <c r="N89" i="3"/>
  <c r="J89" i="3"/>
  <c r="F89" i="3"/>
  <c r="P88" i="3"/>
  <c r="L88" i="3"/>
  <c r="H88" i="3"/>
  <c r="R87" i="3"/>
  <c r="N87" i="3"/>
  <c r="J87" i="3"/>
  <c r="F87" i="3"/>
  <c r="P86" i="3"/>
  <c r="L86" i="3"/>
  <c r="H86" i="3"/>
  <c r="R85" i="3"/>
  <c r="N85" i="3"/>
  <c r="J85" i="3"/>
  <c r="F85" i="3"/>
  <c r="P84" i="3"/>
  <c r="L84" i="3"/>
  <c r="H84" i="3"/>
  <c r="R83" i="3"/>
  <c r="N83" i="3"/>
  <c r="J83" i="3"/>
  <c r="F83" i="3"/>
  <c r="P82" i="3"/>
  <c r="L82" i="3"/>
  <c r="H82" i="3"/>
  <c r="R81" i="3"/>
  <c r="N81" i="3"/>
  <c r="J81" i="3"/>
  <c r="F81" i="3"/>
  <c r="S80" i="3"/>
  <c r="R80" i="3"/>
  <c r="Q80" i="3"/>
  <c r="P80" i="3"/>
  <c r="O80" i="3"/>
  <c r="N80" i="3"/>
  <c r="M80" i="3"/>
  <c r="L80" i="3"/>
  <c r="K80" i="3"/>
  <c r="J80" i="3"/>
  <c r="H80" i="3"/>
  <c r="I80" i="3"/>
  <c r="G80" i="3"/>
  <c r="F80" i="3"/>
  <c r="H74" i="3"/>
  <c r="P72" i="3"/>
  <c r="J71" i="3"/>
  <c r="O69" i="3"/>
  <c r="I68" i="3"/>
  <c r="Q66" i="3"/>
  <c r="K65" i="3"/>
  <c r="S63" i="3"/>
  <c r="F63" i="3"/>
  <c r="R77" i="3"/>
  <c r="J77" i="3"/>
  <c r="P76" i="3"/>
  <c r="P74" i="3"/>
  <c r="J73" i="3"/>
  <c r="R71" i="3"/>
  <c r="L70" i="3"/>
  <c r="F69" i="3"/>
  <c r="K67" i="3"/>
  <c r="S65" i="3"/>
  <c r="M64" i="3"/>
  <c r="O63" i="3"/>
  <c r="M76" i="3"/>
  <c r="S75" i="3"/>
  <c r="K75" i="3"/>
  <c r="L72" i="3"/>
  <c r="F71" i="3"/>
  <c r="N69" i="3"/>
  <c r="H68" i="3"/>
  <c r="P66" i="3"/>
  <c r="G65" i="3"/>
  <c r="Q62" i="3"/>
  <c r="H70" i="3"/>
  <c r="P68" i="3"/>
  <c r="J67" i="3"/>
  <c r="R65" i="3"/>
  <c r="L64" i="3"/>
  <c r="N63" i="3"/>
  <c r="M62" i="3"/>
  <c r="O77" i="3"/>
  <c r="F77" i="3"/>
  <c r="L76" i="3"/>
  <c r="R75" i="3"/>
  <c r="M74" i="3"/>
  <c r="G73" i="3"/>
  <c r="R67" i="3"/>
  <c r="L66" i="3"/>
  <c r="F65" i="3"/>
  <c r="G75" i="3"/>
  <c r="O73" i="3"/>
  <c r="I72" i="3"/>
  <c r="Q70" i="3"/>
  <c r="N65" i="3"/>
  <c r="H64" i="3"/>
  <c r="K63" i="3"/>
  <c r="L62" i="3"/>
  <c r="I74" i="3"/>
  <c r="Q72" i="3"/>
  <c r="K71" i="3"/>
  <c r="S69" i="3"/>
  <c r="M68" i="3"/>
  <c r="G63" i="3"/>
  <c r="K77" i="3"/>
  <c r="Q76" i="3"/>
  <c r="I76" i="3"/>
  <c r="N75" i="3"/>
  <c r="F75" i="3"/>
  <c r="N73" i="3"/>
  <c r="S71" i="3"/>
  <c r="M70" i="3"/>
  <c r="G69" i="3"/>
  <c r="O67" i="3"/>
  <c r="I66" i="3"/>
  <c r="I62" i="3"/>
  <c r="L74" i="3"/>
  <c r="S73" i="3"/>
  <c r="H72" i="3"/>
  <c r="O71" i="3"/>
  <c r="R69" i="3"/>
  <c r="K69" i="3"/>
  <c r="N67" i="3"/>
  <c r="G67" i="3"/>
  <c r="J65" i="3"/>
  <c r="Q64" i="3"/>
  <c r="N77" i="3"/>
  <c r="G77" i="3"/>
  <c r="J75" i="3"/>
  <c r="Q74" i="3"/>
  <c r="F73" i="3"/>
  <c r="M72" i="3"/>
  <c r="P70" i="3"/>
  <c r="I70" i="3"/>
  <c r="L68" i="3"/>
  <c r="S67" i="3"/>
  <c r="H66" i="3"/>
  <c r="O65" i="3"/>
  <c r="R63" i="3"/>
  <c r="J63" i="3"/>
  <c r="P62" i="3"/>
  <c r="H62" i="3"/>
  <c r="S77" i="3"/>
  <c r="H76" i="3"/>
  <c r="O75" i="3"/>
  <c r="R73" i="3"/>
  <c r="K73" i="3"/>
  <c r="N71" i="3"/>
  <c r="G71" i="3"/>
  <c r="J69" i="3"/>
  <c r="Q68" i="3"/>
  <c r="F67" i="3"/>
  <c r="M66" i="3"/>
  <c r="P64" i="3"/>
  <c r="I64" i="3"/>
  <c r="Q77" i="3"/>
  <c r="I77" i="3"/>
  <c r="O76" i="3"/>
  <c r="G76" i="3"/>
  <c r="M75" i="3"/>
  <c r="S74" i="3"/>
  <c r="K74" i="3"/>
  <c r="Q73" i="3"/>
  <c r="S72" i="3"/>
  <c r="K72" i="3"/>
  <c r="Q71" i="3"/>
  <c r="I71" i="3"/>
  <c r="O70" i="3"/>
  <c r="Q69" i="3"/>
  <c r="I69" i="3"/>
  <c r="O68" i="3"/>
  <c r="G68" i="3"/>
  <c r="M67" i="3"/>
  <c r="S66" i="3"/>
  <c r="O66" i="3"/>
  <c r="K66" i="3"/>
  <c r="G66" i="3"/>
  <c r="M65" i="3"/>
  <c r="I65" i="3"/>
  <c r="S64" i="3"/>
  <c r="O64" i="3"/>
  <c r="K64" i="3"/>
  <c r="G64" i="3"/>
  <c r="Q63" i="3"/>
  <c r="M63" i="3"/>
  <c r="I63" i="3"/>
  <c r="S62" i="3"/>
  <c r="O62" i="3"/>
  <c r="K62" i="3"/>
  <c r="G62" i="3"/>
  <c r="M77" i="3"/>
  <c r="S76" i="3"/>
  <c r="K76" i="3"/>
  <c r="Q75" i="3"/>
  <c r="I75" i="3"/>
  <c r="O74" i="3"/>
  <c r="G74" i="3"/>
  <c r="M73" i="3"/>
  <c r="I73" i="3"/>
  <c r="O72" i="3"/>
  <c r="G72" i="3"/>
  <c r="M71" i="3"/>
  <c r="S70" i="3"/>
  <c r="K70" i="3"/>
  <c r="G70" i="3"/>
  <c r="M69" i="3"/>
  <c r="S68" i="3"/>
  <c r="K68" i="3"/>
  <c r="Q67" i="3"/>
  <c r="I67" i="3"/>
  <c r="Q65" i="3"/>
  <c r="P77" i="3"/>
  <c r="L77" i="3"/>
  <c r="H77" i="3"/>
  <c r="R76" i="3"/>
  <c r="N76" i="3"/>
  <c r="J76" i="3"/>
  <c r="F76" i="3"/>
  <c r="P75" i="3"/>
  <c r="L75" i="3"/>
  <c r="H75" i="3"/>
  <c r="R74" i="3"/>
  <c r="N74" i="3"/>
  <c r="J74" i="3"/>
  <c r="F74" i="3"/>
  <c r="P73" i="3"/>
  <c r="L73" i="3"/>
  <c r="H73" i="3"/>
  <c r="R72" i="3"/>
  <c r="N72" i="3"/>
  <c r="J72" i="3"/>
  <c r="F72" i="3"/>
  <c r="P71" i="3"/>
  <c r="L71" i="3"/>
  <c r="H71" i="3"/>
  <c r="R70" i="3"/>
  <c r="N70" i="3"/>
  <c r="J70" i="3"/>
  <c r="F70" i="3"/>
  <c r="P69" i="3"/>
  <c r="L69" i="3"/>
  <c r="H69" i="3"/>
  <c r="R68" i="3"/>
  <c r="N68" i="3"/>
  <c r="J68" i="3"/>
  <c r="F68" i="3"/>
  <c r="P67" i="3"/>
  <c r="L67" i="3"/>
  <c r="H67" i="3"/>
  <c r="R66" i="3"/>
  <c r="N66" i="3"/>
  <c r="J66" i="3"/>
  <c r="F66" i="3"/>
  <c r="P65" i="3"/>
  <c r="L65" i="3"/>
  <c r="H65" i="3"/>
  <c r="R64" i="3"/>
  <c r="N64" i="3"/>
  <c r="J64" i="3"/>
  <c r="F64" i="3"/>
  <c r="P63" i="3"/>
  <c r="L63" i="3"/>
  <c r="H63" i="3"/>
  <c r="R62" i="3"/>
  <c r="N62" i="3"/>
  <c r="J62" i="3"/>
  <c r="F62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J288" i="3" a="1"/>
  <c r="L285" i="3" a="1"/>
  <c r="F284" i="3" a="1"/>
  <c r="H283" i="3" a="1"/>
  <c r="L281" i="3" a="1"/>
  <c r="L279" i="3" a="1"/>
  <c r="J278" i="3" a="1"/>
  <c r="N276" i="3" a="1"/>
  <c r="N274" i="3" a="1"/>
  <c r="S289" i="3" a="1"/>
  <c r="O289" i="3" a="1"/>
  <c r="K289" i="3" a="1"/>
  <c r="G289" i="3" a="1"/>
  <c r="Q288" i="3" a="1"/>
  <c r="M288" i="3" a="1"/>
  <c r="I288" i="3" a="1"/>
  <c r="S287" i="3" a="1"/>
  <c r="O287" i="3" a="1"/>
  <c r="K287" i="3" a="1"/>
  <c r="G287" i="3" a="1"/>
  <c r="Q286" i="3" a="1"/>
  <c r="M286" i="3" a="1"/>
  <c r="I286" i="3" a="1"/>
  <c r="S285" i="3" a="1"/>
  <c r="O285" i="3" a="1"/>
  <c r="K285" i="3" a="1"/>
  <c r="G285" i="3" a="1"/>
  <c r="Q284" i="3" a="1"/>
  <c r="M284" i="3" a="1"/>
  <c r="I284" i="3" a="1"/>
  <c r="S283" i="3" a="1"/>
  <c r="O283" i="3" a="1"/>
  <c r="K283" i="3" a="1"/>
  <c r="G283" i="3" a="1"/>
  <c r="Q282" i="3" a="1"/>
  <c r="M282" i="3" a="1"/>
  <c r="I282" i="3" a="1"/>
  <c r="S281" i="3" a="1"/>
  <c r="O281" i="3" a="1"/>
  <c r="K281" i="3" a="1"/>
  <c r="G281" i="3" a="1"/>
  <c r="Q280" i="3" a="1"/>
  <c r="M280" i="3" a="1"/>
  <c r="I280" i="3" a="1"/>
  <c r="S279" i="3" a="1"/>
  <c r="O279" i="3" a="1"/>
  <c r="K279" i="3" a="1"/>
  <c r="G279" i="3" a="1"/>
  <c r="Q278" i="3" a="1"/>
  <c r="M278" i="3" a="1"/>
  <c r="I278" i="3" a="1"/>
  <c r="S277" i="3" a="1"/>
  <c r="O277" i="3" a="1"/>
  <c r="K277" i="3" a="1"/>
  <c r="G277" i="3" a="1"/>
  <c r="Q276" i="3" a="1"/>
  <c r="M276" i="3" a="1"/>
  <c r="I276" i="3" a="1"/>
  <c r="S275" i="3" a="1"/>
  <c r="O275" i="3" a="1"/>
  <c r="K275" i="3" a="1"/>
  <c r="G275" i="3" a="1"/>
  <c r="Q274" i="3" a="1"/>
  <c r="M274" i="3" a="1"/>
  <c r="I274" i="3" a="1"/>
  <c r="S273" i="3" a="1"/>
  <c r="O273" i="3" a="1"/>
  <c r="K273" i="3" a="1"/>
  <c r="G273" i="3" a="1"/>
  <c r="F288" i="3" a="1"/>
  <c r="P287" i="3" a="1"/>
  <c r="L287" i="3" a="1"/>
  <c r="H287" i="3" a="1"/>
  <c r="J286" i="3" a="1"/>
  <c r="H285" i="3" a="1"/>
  <c r="J284" i="3" a="1"/>
  <c r="R282" i="3" a="1"/>
  <c r="N280" i="3" a="1"/>
  <c r="H279" i="3" a="1"/>
  <c r="L277" i="3" a="1"/>
  <c r="F276" i="3" a="1"/>
  <c r="F274" i="3" a="1"/>
  <c r="R288" i="3" a="1"/>
  <c r="F280" i="3" a="1"/>
  <c r="J276" i="3" a="1"/>
  <c r="J274" i="3" a="1"/>
  <c r="H273" i="3" a="1"/>
  <c r="R289" i="3" a="1"/>
  <c r="N289" i="3" a="1"/>
  <c r="J289" i="3" a="1"/>
  <c r="F289" i="3" a="1"/>
  <c r="P288" i="3" a="1"/>
  <c r="L288" i="3" a="1"/>
  <c r="H288" i="3" a="1"/>
  <c r="R287" i="3" a="1"/>
  <c r="N287" i="3" a="1"/>
  <c r="J287" i="3" a="1"/>
  <c r="F287" i="3" a="1"/>
  <c r="P286" i="3" a="1"/>
  <c r="L286" i="3" a="1"/>
  <c r="H286" i="3" a="1"/>
  <c r="R285" i="3" a="1"/>
  <c r="N285" i="3" a="1"/>
  <c r="J285" i="3" a="1"/>
  <c r="F285" i="3" a="1"/>
  <c r="P284" i="3" a="1"/>
  <c r="L284" i="3" a="1"/>
  <c r="H284" i="3" a="1"/>
  <c r="R283" i="3" a="1"/>
  <c r="N283" i="3" a="1"/>
  <c r="J283" i="3" a="1"/>
  <c r="F283" i="3" a="1"/>
  <c r="P282" i="3" a="1"/>
  <c r="L282" i="3" a="1"/>
  <c r="H282" i="3" a="1"/>
  <c r="R281" i="3" a="1"/>
  <c r="N281" i="3" a="1"/>
  <c r="J281" i="3" a="1"/>
  <c r="F281" i="3" a="1"/>
  <c r="P280" i="3" a="1"/>
  <c r="L280" i="3" a="1"/>
  <c r="H280" i="3" a="1"/>
  <c r="R279" i="3" a="1"/>
  <c r="N279" i="3" a="1"/>
  <c r="J279" i="3" a="1"/>
  <c r="F279" i="3" a="1"/>
  <c r="P278" i="3" a="1"/>
  <c r="L278" i="3" a="1"/>
  <c r="H278" i="3" a="1"/>
  <c r="R277" i="3" a="1"/>
  <c r="N277" i="3" a="1"/>
  <c r="J277" i="3" a="1"/>
  <c r="F277" i="3" a="1"/>
  <c r="P276" i="3" a="1"/>
  <c r="L276" i="3" a="1"/>
  <c r="H276" i="3" a="1"/>
  <c r="R275" i="3" a="1"/>
  <c r="N275" i="3" a="1"/>
  <c r="J275" i="3" a="1"/>
  <c r="F275" i="3" a="1"/>
  <c r="P274" i="3" a="1"/>
  <c r="L274" i="3" a="1"/>
  <c r="H274" i="3" a="1"/>
  <c r="R273" i="3" a="1"/>
  <c r="N273" i="3" a="1"/>
  <c r="J273" i="3" a="1"/>
  <c r="F273" i="3" a="1"/>
  <c r="L289" i="3" a="1"/>
  <c r="R286" i="3" a="1"/>
  <c r="P285" i="3" a="1"/>
  <c r="N284" i="3" a="1"/>
  <c r="L283" i="3" a="1"/>
  <c r="J282" i="3" a="1"/>
  <c r="H281" i="3" a="1"/>
  <c r="J280" i="3" a="1"/>
  <c r="R278" i="3" a="1"/>
  <c r="H277" i="3" a="1"/>
  <c r="L275" i="3" a="1"/>
  <c r="L273" i="3" a="1"/>
  <c r="N288" i="3" a="1"/>
  <c r="P281" i="3" a="1"/>
  <c r="F278" i="3" a="1"/>
  <c r="H275" i="3" a="1"/>
  <c r="Q289" i="3" a="1"/>
  <c r="M289" i="3" a="1"/>
  <c r="I289" i="3" a="1"/>
  <c r="S288" i="3" a="1"/>
  <c r="O288" i="3" a="1"/>
  <c r="K288" i="3" a="1"/>
  <c r="G288" i="3" a="1"/>
  <c r="Q287" i="3" a="1"/>
  <c r="M287" i="3" a="1"/>
  <c r="I287" i="3" a="1"/>
  <c r="S286" i="3" a="1"/>
  <c r="O286" i="3" a="1"/>
  <c r="K286" i="3" a="1"/>
  <c r="G286" i="3" a="1"/>
  <c r="Q285" i="3" a="1"/>
  <c r="M285" i="3" a="1"/>
  <c r="I285" i="3" a="1"/>
  <c r="S284" i="3" a="1"/>
  <c r="O284" i="3" a="1"/>
  <c r="K284" i="3" a="1"/>
  <c r="G284" i="3" a="1"/>
  <c r="Q283" i="3" a="1"/>
  <c r="M283" i="3" a="1"/>
  <c r="I283" i="3" a="1"/>
  <c r="S282" i="3" a="1"/>
  <c r="O282" i="3" a="1"/>
  <c r="K282" i="3" a="1"/>
  <c r="G282" i="3" a="1"/>
  <c r="Q281" i="3" a="1"/>
  <c r="M281" i="3" a="1"/>
  <c r="I281" i="3" a="1"/>
  <c r="S280" i="3" a="1"/>
  <c r="O280" i="3" a="1"/>
  <c r="K280" i="3" a="1"/>
  <c r="G280" i="3" a="1"/>
  <c r="Q279" i="3" a="1"/>
  <c r="M279" i="3" a="1"/>
  <c r="I279" i="3" a="1"/>
  <c r="S278" i="3" a="1"/>
  <c r="O278" i="3" a="1"/>
  <c r="K278" i="3" a="1"/>
  <c r="G278" i="3" a="1"/>
  <c r="Q277" i="3" a="1"/>
  <c r="M277" i="3" a="1"/>
  <c r="I277" i="3" a="1"/>
  <c r="S276" i="3" a="1"/>
  <c r="O276" i="3" a="1"/>
  <c r="K276" i="3" a="1"/>
  <c r="G276" i="3" a="1"/>
  <c r="Q275" i="3" a="1"/>
  <c r="M275" i="3" a="1"/>
  <c r="I275" i="3" a="1"/>
  <c r="S274" i="3" a="1"/>
  <c r="O274" i="3" a="1"/>
  <c r="K274" i="3" a="1"/>
  <c r="G274" i="3" a="1"/>
  <c r="Q273" i="3" a="1"/>
  <c r="M273" i="3" a="1"/>
  <c r="I273" i="3" a="1"/>
  <c r="P289" i="3" a="1"/>
  <c r="N286" i="3" a="1"/>
  <c r="F286" i="3" a="1"/>
  <c r="R284" i="3" a="1"/>
  <c r="P283" i="3" a="1"/>
  <c r="N282" i="3" a="1"/>
  <c r="R280" i="3" a="1"/>
  <c r="P279" i="3" a="1"/>
  <c r="N278" i="3" a="1"/>
  <c r="R276" i="3" a="1"/>
  <c r="P275" i="3" a="1"/>
  <c r="P273" i="3" a="1"/>
  <c r="H289" i="3" a="1"/>
  <c r="F282" i="3" a="1"/>
  <c r="P277" i="3" a="1"/>
  <c r="R274" i="3" a="1"/>
  <c r="S270" i="3" a="1"/>
  <c r="O270" i="3" a="1"/>
  <c r="K270" i="3" a="1"/>
  <c r="G270" i="3" a="1"/>
  <c r="Q269" i="3" a="1"/>
  <c r="M269" i="3" a="1"/>
  <c r="I269" i="3" a="1"/>
  <c r="S268" i="3" a="1"/>
  <c r="O268" i="3" a="1"/>
  <c r="K268" i="3" a="1"/>
  <c r="G268" i="3" a="1"/>
  <c r="Q267" i="3" a="1"/>
  <c r="M267" i="3" a="1"/>
  <c r="I267" i="3" a="1"/>
  <c r="S266" i="3" a="1"/>
  <c r="O266" i="3" a="1"/>
  <c r="K266" i="3" a="1"/>
  <c r="G266" i="3" a="1"/>
  <c r="Q265" i="3" a="1"/>
  <c r="M265" i="3" a="1"/>
  <c r="I265" i="3" a="1"/>
  <c r="S264" i="3" a="1"/>
  <c r="O264" i="3" a="1"/>
  <c r="K264" i="3" a="1"/>
  <c r="G264" i="3" a="1"/>
  <c r="Q263" i="3" a="1"/>
  <c r="M263" i="3" a="1"/>
  <c r="I263" i="3" a="1"/>
  <c r="S262" i="3" a="1"/>
  <c r="O262" i="3" a="1"/>
  <c r="K262" i="3" a="1"/>
  <c r="G262" i="3" a="1"/>
  <c r="Q261" i="3" a="1"/>
  <c r="M261" i="3" a="1"/>
  <c r="I261" i="3" a="1"/>
  <c r="S260" i="3" a="1"/>
  <c r="O260" i="3" a="1"/>
  <c r="K260" i="3" a="1"/>
  <c r="G260" i="3" a="1"/>
  <c r="Q259" i="3" a="1"/>
  <c r="M259" i="3" a="1"/>
  <c r="I259" i="3" a="1"/>
  <c r="S258" i="3" a="1"/>
  <c r="O258" i="3" a="1"/>
  <c r="K258" i="3" a="1"/>
  <c r="G258" i="3" a="1"/>
  <c r="Q257" i="3" a="1"/>
  <c r="M257" i="3" a="1"/>
  <c r="I257" i="3" a="1"/>
  <c r="S256" i="3" a="1"/>
  <c r="O256" i="3" a="1"/>
  <c r="K256" i="3" a="1"/>
  <c r="G256" i="3" a="1"/>
  <c r="Q255" i="3" a="1"/>
  <c r="M255" i="3" a="1"/>
  <c r="I255" i="3" a="1"/>
  <c r="S254" i="3" a="1"/>
  <c r="O254" i="3" a="1"/>
  <c r="K254" i="3" a="1"/>
  <c r="G254" i="3" a="1"/>
  <c r="R270" i="3" a="1"/>
  <c r="N270" i="3" a="1"/>
  <c r="J270" i="3" a="1"/>
  <c r="F270" i="3" a="1"/>
  <c r="P269" i="3" a="1"/>
  <c r="L269" i="3" a="1"/>
  <c r="H269" i="3" a="1"/>
  <c r="R268" i="3" a="1"/>
  <c r="N268" i="3" a="1"/>
  <c r="J268" i="3" a="1"/>
  <c r="F268" i="3" a="1"/>
  <c r="P267" i="3" a="1"/>
  <c r="L267" i="3" a="1"/>
  <c r="H267" i="3" a="1"/>
  <c r="R266" i="3" a="1"/>
  <c r="N266" i="3" a="1"/>
  <c r="J266" i="3" a="1"/>
  <c r="F266" i="3" a="1"/>
  <c r="P265" i="3" a="1"/>
  <c r="L265" i="3" a="1"/>
  <c r="H265" i="3" a="1"/>
  <c r="R264" i="3" a="1"/>
  <c r="N264" i="3" a="1"/>
  <c r="J264" i="3" a="1"/>
  <c r="F264" i="3" a="1"/>
  <c r="P263" i="3" a="1"/>
  <c r="L263" i="3" a="1"/>
  <c r="H263" i="3" a="1"/>
  <c r="R262" i="3" a="1"/>
  <c r="N262" i="3" a="1"/>
  <c r="J262" i="3" a="1"/>
  <c r="F262" i="3" a="1"/>
  <c r="P261" i="3" a="1"/>
  <c r="L261" i="3" a="1"/>
  <c r="H261" i="3" a="1"/>
  <c r="R260" i="3" a="1"/>
  <c r="N260" i="3" a="1"/>
  <c r="J260" i="3" a="1"/>
  <c r="F260" i="3" a="1"/>
  <c r="P259" i="3" a="1"/>
  <c r="L259" i="3" a="1"/>
  <c r="H259" i="3" a="1"/>
  <c r="R258" i="3" a="1"/>
  <c r="N258" i="3" a="1"/>
  <c r="J258" i="3" a="1"/>
  <c r="F258" i="3" a="1"/>
  <c r="P257" i="3" a="1"/>
  <c r="L257" i="3" a="1"/>
  <c r="H257" i="3" a="1"/>
  <c r="R256" i="3" a="1"/>
  <c r="N256" i="3" a="1"/>
  <c r="J256" i="3" a="1"/>
  <c r="F256" i="3" a="1"/>
  <c r="P255" i="3" a="1"/>
  <c r="L255" i="3" a="1"/>
  <c r="H255" i="3" a="1"/>
  <c r="R254" i="3" a="1"/>
  <c r="N254" i="3" a="1"/>
  <c r="J254" i="3" a="1"/>
  <c r="F254" i="3" a="1"/>
  <c r="G259" i="3" a="1"/>
  <c r="K257" i="3" a="1"/>
  <c r="Q256" i="3" a="1"/>
  <c r="M256" i="3" a="1"/>
  <c r="S255" i="3" a="1"/>
  <c r="O255" i="3" a="1"/>
  <c r="G255" i="3" a="1"/>
  <c r="M254" i="3" a="1"/>
  <c r="I254" i="3" a="1"/>
  <c r="P268" i="3" a="1"/>
  <c r="H266" i="3" a="1"/>
  <c r="J265" i="3" a="1"/>
  <c r="P264" i="3" a="1"/>
  <c r="R263" i="3" a="1"/>
  <c r="P262" i="3" a="1"/>
  <c r="R261" i="3" a="1"/>
  <c r="F261" i="3" a="1"/>
  <c r="H260" i="3" a="1"/>
  <c r="F259" i="3" a="1"/>
  <c r="H258" i="3" a="1"/>
  <c r="F257" i="3" a="1"/>
  <c r="R255" i="3" a="1"/>
  <c r="F255" i="3" a="1"/>
  <c r="K259" i="3" a="1"/>
  <c r="Q254" i="3" a="1"/>
  <c r="L268" i="3" a="1"/>
  <c r="N265" i="3" a="1"/>
  <c r="H264" i="3" a="1"/>
  <c r="J263" i="3" a="1"/>
  <c r="L262" i="3" a="1"/>
  <c r="N261" i="3" a="1"/>
  <c r="L260" i="3" a="1"/>
  <c r="N259" i="3" a="1"/>
  <c r="J259" i="3" a="1"/>
  <c r="L258" i="3" a="1"/>
  <c r="N257" i="3" a="1"/>
  <c r="P256" i="3" a="1"/>
  <c r="H256" i="3" a="1"/>
  <c r="J255" i="3" a="1"/>
  <c r="L254" i="3" a="1"/>
  <c r="Q270" i="3" a="1"/>
  <c r="M270" i="3" a="1"/>
  <c r="I270" i="3" a="1"/>
  <c r="S269" i="3" a="1"/>
  <c r="O269" i="3" a="1"/>
  <c r="K269" i="3" a="1"/>
  <c r="G269" i="3" a="1"/>
  <c r="Q268" i="3" a="1"/>
  <c r="M268" i="3" a="1"/>
  <c r="I268" i="3" a="1"/>
  <c r="S267" i="3" a="1"/>
  <c r="O267" i="3" a="1"/>
  <c r="K267" i="3" a="1"/>
  <c r="G267" i="3" a="1"/>
  <c r="Q266" i="3" a="1"/>
  <c r="M266" i="3" a="1"/>
  <c r="I266" i="3" a="1"/>
  <c r="S265" i="3" a="1"/>
  <c r="O265" i="3" a="1"/>
  <c r="K265" i="3" a="1"/>
  <c r="G265" i="3" a="1"/>
  <c r="Q264" i="3" a="1"/>
  <c r="M264" i="3" a="1"/>
  <c r="I264" i="3" a="1"/>
  <c r="S263" i="3" a="1"/>
  <c r="O263" i="3" a="1"/>
  <c r="K263" i="3" a="1"/>
  <c r="G263" i="3" a="1"/>
  <c r="Q262" i="3" a="1"/>
  <c r="M262" i="3" a="1"/>
  <c r="I262" i="3" a="1"/>
  <c r="S261" i="3" a="1"/>
  <c r="O261" i="3" a="1"/>
  <c r="K261" i="3" a="1"/>
  <c r="G261" i="3" a="1"/>
  <c r="Q260" i="3" a="1"/>
  <c r="M260" i="3" a="1"/>
  <c r="I260" i="3" a="1"/>
  <c r="S259" i="3" a="1"/>
  <c r="O259" i="3" a="1"/>
  <c r="Q258" i="3" a="1"/>
  <c r="M258" i="3" a="1"/>
  <c r="I258" i="3" a="1"/>
  <c r="S257" i="3" a="1"/>
  <c r="O257" i="3" a="1"/>
  <c r="G257" i="3" a="1"/>
  <c r="I256" i="3" a="1"/>
  <c r="K255" i="3" a="1"/>
  <c r="P260" i="3" a="1"/>
  <c r="H254" i="3" a="1"/>
  <c r="P270" i="3" a="1"/>
  <c r="L270" i="3" a="1"/>
  <c r="H270" i="3" a="1"/>
  <c r="R269" i="3" a="1"/>
  <c r="N269" i="3" a="1"/>
  <c r="J269" i="3" a="1"/>
  <c r="F269" i="3" a="1"/>
  <c r="H268" i="3" a="1"/>
  <c r="R267" i="3" a="1"/>
  <c r="N267" i="3" a="1"/>
  <c r="J267" i="3" a="1"/>
  <c r="F267" i="3" a="1"/>
  <c r="P266" i="3" a="1"/>
  <c r="L266" i="3" a="1"/>
  <c r="R265" i="3" a="1"/>
  <c r="F265" i="3" a="1"/>
  <c r="L264" i="3" a="1"/>
  <c r="N263" i="3" a="1"/>
  <c r="F263" i="3" a="1"/>
  <c r="H262" i="3" a="1"/>
  <c r="J261" i="3" a="1"/>
  <c r="R259" i="3" a="1"/>
  <c r="P258" i="3" a="1"/>
  <c r="R257" i="3" a="1"/>
  <c r="J257" i="3" a="1"/>
  <c r="L256" i="3" a="1"/>
  <c r="N255" i="3" a="1"/>
  <c r="P254" i="3" a="1"/>
  <c r="G236" i="3" a="1"/>
  <c r="K236" i="3" a="1"/>
  <c r="O236" i="3" a="1"/>
  <c r="S236" i="3" a="1"/>
  <c r="I237" i="3" a="1"/>
  <c r="M237" i="3" a="1"/>
  <c r="Q237" i="3" a="1"/>
  <c r="G238" i="3" a="1"/>
  <c r="K238" i="3" a="1"/>
  <c r="O238" i="3" a="1"/>
  <c r="S238" i="3" a="1"/>
  <c r="I239" i="3" a="1"/>
  <c r="M239" i="3" a="1"/>
  <c r="Q239" i="3" a="1"/>
  <c r="G240" i="3" a="1"/>
  <c r="K240" i="3" a="1"/>
  <c r="O240" i="3" a="1"/>
  <c r="S240" i="3" a="1"/>
  <c r="I241" i="3" a="1"/>
  <c r="M241" i="3" a="1"/>
  <c r="Q241" i="3" a="1"/>
  <c r="G242" i="3" a="1"/>
  <c r="K242" i="3" a="1"/>
  <c r="O242" i="3" a="1"/>
  <c r="S242" i="3" a="1"/>
  <c r="I243" i="3" a="1"/>
  <c r="M243" i="3" a="1"/>
  <c r="Q243" i="3" a="1"/>
  <c r="G244" i="3" a="1"/>
  <c r="K244" i="3" a="1"/>
  <c r="O244" i="3" a="1"/>
  <c r="S244" i="3" a="1"/>
  <c r="I245" i="3" a="1"/>
  <c r="M245" i="3" a="1"/>
  <c r="Q245" i="3" a="1"/>
  <c r="G246" i="3" a="1"/>
  <c r="K246" i="3" a="1"/>
  <c r="O246" i="3" a="1"/>
  <c r="S246" i="3" a="1"/>
  <c r="I247" i="3" a="1"/>
  <c r="M247" i="3" a="1"/>
  <c r="Q247" i="3" a="1"/>
  <c r="G248" i="3" a="1"/>
  <c r="K248" i="3" a="1"/>
  <c r="O248" i="3" a="1"/>
  <c r="S248" i="3" a="1"/>
  <c r="I249" i="3" a="1"/>
  <c r="M249" i="3" a="1"/>
  <c r="Q249" i="3" a="1"/>
  <c r="G250" i="3" a="1"/>
  <c r="K250" i="3" a="1"/>
  <c r="O250" i="3" a="1"/>
  <c r="S250" i="3" a="1"/>
  <c r="I251" i="3" a="1"/>
  <c r="M251" i="3" a="1"/>
  <c r="Q251" i="3" a="1"/>
  <c r="H236" i="3" a="1"/>
  <c r="L236" i="3" a="1"/>
  <c r="P236" i="3" a="1"/>
  <c r="F237" i="3" a="1"/>
  <c r="J237" i="3" a="1"/>
  <c r="N237" i="3" a="1"/>
  <c r="R237" i="3" a="1"/>
  <c r="H238" i="3" a="1"/>
  <c r="L238" i="3" a="1"/>
  <c r="P238" i="3" a="1"/>
  <c r="F239" i="3" a="1"/>
  <c r="J239" i="3" a="1"/>
  <c r="N239" i="3" a="1"/>
  <c r="R239" i="3" a="1"/>
  <c r="H240" i="3" a="1"/>
  <c r="L240" i="3" a="1"/>
  <c r="P240" i="3" a="1"/>
  <c r="F241" i="3" a="1"/>
  <c r="J241" i="3" a="1"/>
  <c r="N241" i="3" a="1"/>
  <c r="R241" i="3" a="1"/>
  <c r="H242" i="3" a="1"/>
  <c r="L242" i="3" a="1"/>
  <c r="P242" i="3" a="1"/>
  <c r="F243" i="3" a="1"/>
  <c r="J243" i="3" a="1"/>
  <c r="N243" i="3" a="1"/>
  <c r="R243" i="3" a="1"/>
  <c r="H244" i="3" a="1"/>
  <c r="L244" i="3" a="1"/>
  <c r="P244" i="3" a="1"/>
  <c r="F245" i="3" a="1"/>
  <c r="J245" i="3" a="1"/>
  <c r="N245" i="3" a="1"/>
  <c r="R245" i="3" a="1"/>
  <c r="H246" i="3" a="1"/>
  <c r="L246" i="3" a="1"/>
  <c r="P246" i="3" a="1"/>
  <c r="F247" i="3" a="1"/>
  <c r="J247" i="3" a="1"/>
  <c r="N247" i="3" a="1"/>
  <c r="R247" i="3" a="1"/>
  <c r="H248" i="3" a="1"/>
  <c r="L248" i="3" a="1"/>
  <c r="P248" i="3" a="1"/>
  <c r="F249" i="3" a="1"/>
  <c r="J249" i="3" a="1"/>
  <c r="N249" i="3" a="1"/>
  <c r="R249" i="3" a="1"/>
  <c r="H250" i="3" a="1"/>
  <c r="L250" i="3" a="1"/>
  <c r="P250" i="3" a="1"/>
  <c r="F251" i="3" a="1"/>
  <c r="J251" i="3" a="1"/>
  <c r="N251" i="3" a="1"/>
  <c r="R251" i="3" a="1"/>
  <c r="I236" i="3" a="1"/>
  <c r="M236" i="3" a="1"/>
  <c r="Q236" i="3" a="1"/>
  <c r="G237" i="3" a="1"/>
  <c r="K237" i="3" a="1"/>
  <c r="O237" i="3" a="1"/>
  <c r="S237" i="3" a="1"/>
  <c r="I238" i="3" a="1"/>
  <c r="M238" i="3" a="1"/>
  <c r="Q238" i="3" a="1"/>
  <c r="G239" i="3" a="1"/>
  <c r="K239" i="3" a="1"/>
  <c r="O239" i="3" a="1"/>
  <c r="S239" i="3" a="1"/>
  <c r="I240" i="3" a="1"/>
  <c r="M240" i="3" a="1"/>
  <c r="Q240" i="3" a="1"/>
  <c r="G241" i="3" a="1"/>
  <c r="K241" i="3" a="1"/>
  <c r="O241" i="3" a="1"/>
  <c r="S241" i="3" a="1"/>
  <c r="I242" i="3" a="1"/>
  <c r="M242" i="3" a="1"/>
  <c r="Q242" i="3" a="1"/>
  <c r="G243" i="3" a="1"/>
  <c r="K243" i="3" a="1"/>
  <c r="O243" i="3" a="1"/>
  <c r="S243" i="3" a="1"/>
  <c r="I244" i="3" a="1"/>
  <c r="M244" i="3" a="1"/>
  <c r="Q244" i="3" a="1"/>
  <c r="G245" i="3" a="1"/>
  <c r="K245" i="3" a="1"/>
  <c r="O245" i="3" a="1"/>
  <c r="S245" i="3" a="1"/>
  <c r="I246" i="3" a="1"/>
  <c r="M246" i="3" a="1"/>
  <c r="Q246" i="3" a="1"/>
  <c r="G247" i="3" a="1"/>
  <c r="K247" i="3" a="1"/>
  <c r="O247" i="3" a="1"/>
  <c r="S247" i="3" a="1"/>
  <c r="I248" i="3" a="1"/>
  <c r="M248" i="3" a="1"/>
  <c r="Q248" i="3" a="1"/>
  <c r="G249" i="3" a="1"/>
  <c r="K249" i="3" a="1"/>
  <c r="O249" i="3" a="1"/>
  <c r="S249" i="3" a="1"/>
  <c r="I250" i="3" a="1"/>
  <c r="M250" i="3" a="1"/>
  <c r="Q250" i="3" a="1"/>
  <c r="G251" i="3" a="1"/>
  <c r="K251" i="3" a="1"/>
  <c r="O251" i="3" a="1"/>
  <c r="S251" i="3" a="1"/>
  <c r="F236" i="3" a="1"/>
  <c r="H237" i="3" a="1"/>
  <c r="J238" i="3" a="1"/>
  <c r="L239" i="3" a="1"/>
  <c r="N240" i="3" a="1"/>
  <c r="P241" i="3" a="1"/>
  <c r="R242" i="3" a="1"/>
  <c r="F244" i="3" a="1"/>
  <c r="H245" i="3" a="1"/>
  <c r="J246" i="3" a="1"/>
  <c r="L247" i="3" a="1"/>
  <c r="N248" i="3" a="1"/>
  <c r="P249" i="3" a="1"/>
  <c r="N250" i="3" a="1"/>
  <c r="J236" i="3" a="1"/>
  <c r="L237" i="3" a="1"/>
  <c r="N238" i="3" a="1"/>
  <c r="P239" i="3" a="1"/>
  <c r="R240" i="3" a="1"/>
  <c r="F242" i="3" a="1"/>
  <c r="H243" i="3" a="1"/>
  <c r="J244" i="3" a="1"/>
  <c r="L245" i="3" a="1"/>
  <c r="N246" i="3" a="1"/>
  <c r="P247" i="3" a="1"/>
  <c r="R248" i="3" a="1"/>
  <c r="L251" i="3" a="1"/>
  <c r="F250" i="3" a="1"/>
  <c r="N236" i="3" a="1"/>
  <c r="P237" i="3" a="1"/>
  <c r="R238" i="3" a="1"/>
  <c r="F240" i="3" a="1"/>
  <c r="H241" i="3" a="1"/>
  <c r="J242" i="3" a="1"/>
  <c r="L243" i="3" a="1"/>
  <c r="N244" i="3" a="1"/>
  <c r="P245" i="3" a="1"/>
  <c r="R246" i="3" a="1"/>
  <c r="F248" i="3" a="1"/>
  <c r="H249" i="3" a="1"/>
  <c r="R250" i="3" a="1"/>
  <c r="P251" i="3" a="1"/>
  <c r="R236" i="3" a="1"/>
  <c r="F238" i="3" a="1"/>
  <c r="H239" i="3" a="1"/>
  <c r="J240" i="3" a="1"/>
  <c r="L241" i="3" a="1"/>
  <c r="N242" i="3" a="1"/>
  <c r="P243" i="3" a="1"/>
  <c r="R244" i="3" a="1"/>
  <c r="F246" i="3" a="1"/>
  <c r="H247" i="3" a="1"/>
  <c r="J248" i="3" a="1"/>
  <c r="L249" i="3" a="1"/>
  <c r="J250" i="3" a="1"/>
  <c r="H251" i="3" a="1"/>
  <c r="S235" i="3" a="1"/>
  <c r="R235" i="3" a="1"/>
  <c r="Q235" i="3" a="1"/>
  <c r="P235" i="3" a="1"/>
  <c r="O235" i="3" a="1"/>
  <c r="N235" i="3" a="1"/>
  <c r="M235" i="3" a="1"/>
  <c r="L235" i="3" a="1"/>
  <c r="K235" i="3" a="1"/>
  <c r="J235" i="3" a="1"/>
  <c r="I235" i="3" a="1"/>
  <c r="H235" i="3" a="1"/>
  <c r="G235" i="3" a="1"/>
  <c r="F235" i="3" a="1"/>
  <c r="S57" i="3" a="1"/>
  <c r="O57" i="3" a="1"/>
  <c r="K57" i="3" a="1"/>
  <c r="G57" i="3" a="1"/>
  <c r="P55" i="3" a="1"/>
  <c r="L55" i="3" a="1"/>
  <c r="H55" i="3" a="1"/>
  <c r="Q53" i="3" a="1"/>
  <c r="M53" i="3" a="1"/>
  <c r="I53" i="3" a="1"/>
  <c r="R51" i="3" a="1"/>
  <c r="N51" i="3" a="1"/>
  <c r="J51" i="3" a="1"/>
  <c r="F51" i="3" a="1"/>
  <c r="S49" i="3" a="1"/>
  <c r="O49" i="3" a="1"/>
  <c r="K49" i="3" a="1"/>
  <c r="G49" i="3" a="1"/>
  <c r="P47" i="3" a="1"/>
  <c r="L47" i="3" a="1"/>
  <c r="H47" i="3" a="1"/>
  <c r="Q45" i="3" a="1"/>
  <c r="M45" i="3" a="1"/>
  <c r="I45" i="3" a="1"/>
  <c r="R43" i="3" a="1"/>
  <c r="N43" i="3" a="1"/>
  <c r="J43" i="3" a="1"/>
  <c r="F43" i="3" a="1"/>
  <c r="S41" i="3" a="1"/>
  <c r="O41" i="3" a="1"/>
  <c r="K41" i="3" a="1"/>
  <c r="G41" i="3" a="1"/>
  <c r="Q56" i="3" a="1"/>
  <c r="M56" i="3" a="1"/>
  <c r="I56" i="3" a="1"/>
  <c r="R54" i="3" a="1"/>
  <c r="N54" i="3" a="1"/>
  <c r="J54" i="3" a="1"/>
  <c r="F54" i="3" a="1"/>
  <c r="S52" i="3" a="1"/>
  <c r="O52" i="3" a="1"/>
  <c r="K52" i="3" a="1"/>
  <c r="G52" i="3" a="1"/>
  <c r="P50" i="3" a="1"/>
  <c r="L50" i="3" a="1"/>
  <c r="H50" i="3" a="1"/>
  <c r="Q48" i="3" a="1"/>
  <c r="M48" i="3" a="1"/>
  <c r="I48" i="3" a="1"/>
  <c r="R46" i="3" a="1"/>
  <c r="N46" i="3" a="1"/>
  <c r="R57" i="3" a="1"/>
  <c r="N57" i="3" a="1"/>
  <c r="J57" i="3" a="1"/>
  <c r="F57" i="3" a="1"/>
  <c r="S55" i="3" a="1"/>
  <c r="O55" i="3" a="1"/>
  <c r="K55" i="3" a="1"/>
  <c r="G55" i="3" a="1"/>
  <c r="P53" i="3" a="1"/>
  <c r="L53" i="3" a="1"/>
  <c r="H53" i="3" a="1"/>
  <c r="Q51" i="3" a="1"/>
  <c r="M51" i="3" a="1"/>
  <c r="I51" i="3" a="1"/>
  <c r="R49" i="3" a="1"/>
  <c r="N49" i="3" a="1"/>
  <c r="J49" i="3" a="1"/>
  <c r="F49" i="3" a="1"/>
  <c r="S47" i="3" a="1"/>
  <c r="O47" i="3" a="1"/>
  <c r="K47" i="3" a="1"/>
  <c r="G47" i="3" a="1"/>
  <c r="P45" i="3" a="1"/>
  <c r="L45" i="3" a="1"/>
  <c r="H45" i="3" a="1"/>
  <c r="Q43" i="3" a="1"/>
  <c r="M43" i="3" a="1"/>
  <c r="I43" i="3" a="1"/>
  <c r="R41" i="3" a="1"/>
  <c r="N41" i="3" a="1"/>
  <c r="J41" i="3" a="1"/>
  <c r="F41" i="3" a="1"/>
  <c r="P56" i="3" a="1"/>
  <c r="L56" i="3" a="1"/>
  <c r="H56" i="3" a="1"/>
  <c r="Q57" i="3" a="1"/>
  <c r="M57" i="3" a="1"/>
  <c r="I57" i="3" a="1"/>
  <c r="R55" i="3" a="1"/>
  <c r="N55" i="3" a="1"/>
  <c r="J55" i="3" a="1"/>
  <c r="F55" i="3" a="1"/>
  <c r="S53" i="3" a="1"/>
  <c r="O53" i="3" a="1"/>
  <c r="K53" i="3" a="1"/>
  <c r="G53" i="3" a="1"/>
  <c r="P51" i="3" a="1"/>
  <c r="L51" i="3" a="1"/>
  <c r="H51" i="3" a="1"/>
  <c r="Q49" i="3" a="1"/>
  <c r="M49" i="3" a="1"/>
  <c r="I49" i="3" a="1"/>
  <c r="R47" i="3" a="1"/>
  <c r="N47" i="3" a="1"/>
  <c r="J47" i="3" a="1"/>
  <c r="F47" i="3" a="1"/>
  <c r="S45" i="3" a="1"/>
  <c r="O45" i="3" a="1"/>
  <c r="K45" i="3" a="1"/>
  <c r="G45" i="3" a="1"/>
  <c r="P43" i="3" a="1"/>
  <c r="L43" i="3" a="1"/>
  <c r="H43" i="3" a="1"/>
  <c r="Q41" i="3" a="1"/>
  <c r="M41" i="3" a="1"/>
  <c r="I41" i="3" a="1"/>
  <c r="S56" i="3" a="1"/>
  <c r="O56" i="3" a="1"/>
  <c r="K56" i="3" a="1"/>
  <c r="G56" i="3" a="1"/>
  <c r="P54" i="3" a="1"/>
  <c r="L54" i="3" a="1"/>
  <c r="H54" i="3" a="1"/>
  <c r="Q52" i="3" a="1"/>
  <c r="M52" i="3" a="1"/>
  <c r="I52" i="3" a="1"/>
  <c r="R50" i="3" a="1"/>
  <c r="N50" i="3" a="1"/>
  <c r="J50" i="3" a="1"/>
  <c r="F50" i="3" a="1"/>
  <c r="S48" i="3" a="1"/>
  <c r="O48" i="3" a="1"/>
  <c r="K48" i="3" a="1"/>
  <c r="G48" i="3" a="1"/>
  <c r="P46" i="3" a="1"/>
  <c r="L46" i="3" a="1"/>
  <c r="H46" i="3" a="1"/>
  <c r="P57" i="3" a="1"/>
  <c r="L57" i="3" a="1"/>
  <c r="H57" i="3" a="1"/>
  <c r="Q55" i="3" a="1"/>
  <c r="M55" i="3" a="1"/>
  <c r="I55" i="3" a="1"/>
  <c r="R53" i="3" a="1"/>
  <c r="N53" i="3" a="1"/>
  <c r="J53" i="3" a="1"/>
  <c r="F53" i="3" a="1"/>
  <c r="S51" i="3" a="1"/>
  <c r="O51" i="3" a="1"/>
  <c r="K51" i="3" a="1"/>
  <c r="G51" i="3" a="1"/>
  <c r="P49" i="3" a="1"/>
  <c r="L49" i="3" a="1"/>
  <c r="H49" i="3" a="1"/>
  <c r="Q47" i="3" a="1"/>
  <c r="M47" i="3" a="1"/>
  <c r="I47" i="3" a="1"/>
  <c r="R45" i="3" a="1"/>
  <c r="N45" i="3" a="1"/>
  <c r="J45" i="3" a="1"/>
  <c r="F45" i="3" a="1"/>
  <c r="S43" i="3" a="1"/>
  <c r="O43" i="3" a="1"/>
  <c r="K43" i="3" a="1"/>
  <c r="G43" i="3" a="1"/>
  <c r="P41" i="3" a="1"/>
  <c r="L41" i="3" a="1"/>
  <c r="H41" i="3" a="1"/>
  <c r="R56" i="3" a="1"/>
  <c r="N56" i="3" a="1"/>
  <c r="J56" i="3" a="1"/>
  <c r="F56" i="3" a="1"/>
  <c r="S54" i="3" a="1"/>
  <c r="O54" i="3" a="1"/>
  <c r="K54" i="3" a="1"/>
  <c r="G54" i="3" a="1"/>
  <c r="P52" i="3" a="1"/>
  <c r="L52" i="3" a="1"/>
  <c r="H52" i="3" a="1"/>
  <c r="Q50" i="3" a="1"/>
  <c r="M50" i="3" a="1"/>
  <c r="I50" i="3" a="1"/>
  <c r="R48" i="3" a="1"/>
  <c r="N48" i="3" a="1"/>
  <c r="J48" i="3" a="1"/>
  <c r="F48" i="3" a="1"/>
  <c r="S46" i="3" a="1"/>
  <c r="O46" i="3" a="1"/>
  <c r="K46" i="3" a="1"/>
  <c r="G46" i="3" a="1"/>
  <c r="M54" i="3" a="1"/>
  <c r="R52" i="3" a="1"/>
  <c r="R44" i="3" a="1"/>
  <c r="J44" i="3" a="1"/>
  <c r="P42" i="3" a="1"/>
  <c r="H42" i="3" a="1"/>
  <c r="F46" i="3" a="1"/>
  <c r="I54" i="3" a="1"/>
  <c r="N52" i="3" a="1"/>
  <c r="S50" i="3" a="1"/>
  <c r="Q44" i="3" a="1"/>
  <c r="I44" i="3" a="1"/>
  <c r="O42" i="3" a="1"/>
  <c r="G42" i="3" a="1"/>
  <c r="J52" i="3" a="1"/>
  <c r="O50" i="3" a="1"/>
  <c r="P48" i="3" a="1"/>
  <c r="P44" i="3" a="1"/>
  <c r="H44" i="3" a="1"/>
  <c r="N42" i="3" a="1"/>
  <c r="F42" i="3" a="1"/>
  <c r="M46" i="3" a="1"/>
  <c r="F44" i="3" a="1"/>
  <c r="L42" i="3" a="1"/>
  <c r="M44" i="3" a="1"/>
  <c r="K42" i="3" a="1"/>
  <c r="S44" i="3" a="1"/>
  <c r="I42" i="3" a="1"/>
  <c r="F52" i="3" a="1"/>
  <c r="K50" i="3" a="1"/>
  <c r="L48" i="3" a="1"/>
  <c r="Q46" i="3" a="1"/>
  <c r="O44" i="3" a="1"/>
  <c r="G44" i="3" a="1"/>
  <c r="M42" i="3" a="1"/>
  <c r="H48" i="3" a="1"/>
  <c r="J46" i="3" a="1"/>
  <c r="S42" i="3" a="1"/>
  <c r="K44" i="3" a="1"/>
  <c r="Q42" i="3" a="1"/>
  <c r="G50" i="3" a="1"/>
  <c r="N44" i="3" a="1"/>
  <c r="I46" i="3" a="1"/>
  <c r="L44" i="3" a="1"/>
  <c r="R42" i="3" a="1"/>
  <c r="J42" i="3" a="1"/>
  <c r="Q54" i="3" a="1"/>
  <c r="R37" i="3" a="1"/>
  <c r="N37" i="3" a="1"/>
  <c r="J37" i="3" a="1"/>
  <c r="F37" i="3" a="1"/>
  <c r="S35" i="3" a="1"/>
  <c r="O35" i="3" a="1"/>
  <c r="K35" i="3" a="1"/>
  <c r="G35" i="3" a="1"/>
  <c r="P33" i="3" a="1"/>
  <c r="L33" i="3" a="1"/>
  <c r="H33" i="3" a="1"/>
  <c r="Q31" i="3" a="1"/>
  <c r="M31" i="3" a="1"/>
  <c r="I31" i="3" a="1"/>
  <c r="R29" i="3" a="1"/>
  <c r="N29" i="3" a="1"/>
  <c r="J29" i="3" a="1"/>
  <c r="F29" i="3" a="1"/>
  <c r="S27" i="3" a="1"/>
  <c r="O27" i="3" a="1"/>
  <c r="K27" i="3" a="1"/>
  <c r="G27" i="3" a="1"/>
  <c r="P25" i="3" a="1"/>
  <c r="L25" i="3" a="1"/>
  <c r="H25" i="3" a="1"/>
  <c r="Q23" i="3" a="1"/>
  <c r="M23" i="3" a="1"/>
  <c r="I23" i="3" a="1"/>
  <c r="S38" i="3" a="1"/>
  <c r="P36" i="3" a="1"/>
  <c r="M34" i="3" a="1"/>
  <c r="J32" i="3" a="1"/>
  <c r="K30" i="3" a="1"/>
  <c r="M26" i="3" a="1"/>
  <c r="G22" i="3" a="1"/>
  <c r="Q37" i="3" a="1"/>
  <c r="M37" i="3" a="1"/>
  <c r="I37" i="3" a="1"/>
  <c r="R35" i="3" a="1"/>
  <c r="N35" i="3" a="1"/>
  <c r="J35" i="3" a="1"/>
  <c r="F35" i="3" a="1"/>
  <c r="S33" i="3" a="1"/>
  <c r="O33" i="3" a="1"/>
  <c r="K33" i="3" a="1"/>
  <c r="G33" i="3" a="1"/>
  <c r="P31" i="3" a="1"/>
  <c r="L31" i="3" a="1"/>
  <c r="H31" i="3" a="1"/>
  <c r="Q29" i="3" a="1"/>
  <c r="M29" i="3" a="1"/>
  <c r="I29" i="3" a="1"/>
  <c r="R27" i="3" a="1"/>
  <c r="N27" i="3" a="1"/>
  <c r="J27" i="3" a="1"/>
  <c r="F27" i="3" a="1"/>
  <c r="S25" i="3" a="1"/>
  <c r="O25" i="3" a="1"/>
  <c r="K25" i="3" a="1"/>
  <c r="G25" i="3" a="1"/>
  <c r="P23" i="3" a="1"/>
  <c r="L23" i="3" a="1"/>
  <c r="H23" i="3" a="1"/>
  <c r="P28" i="3" a="1"/>
  <c r="I26" i="3" a="1"/>
  <c r="R38" i="3" a="1"/>
  <c r="N38" i="3" a="1"/>
  <c r="J38" i="3" a="1"/>
  <c r="F38" i="3" a="1"/>
  <c r="S36" i="3" a="1"/>
  <c r="O36" i="3" a="1"/>
  <c r="K36" i="3" a="1"/>
  <c r="G36" i="3" a="1"/>
  <c r="P34" i="3" a="1"/>
  <c r="L34" i="3" a="1"/>
  <c r="H34" i="3" a="1"/>
  <c r="Q32" i="3" a="1"/>
  <c r="M32" i="3" a="1"/>
  <c r="I32" i="3" a="1"/>
  <c r="R30" i="3" a="1"/>
  <c r="N30" i="3" a="1"/>
  <c r="J30" i="3" a="1"/>
  <c r="F30" i="3" a="1"/>
  <c r="S28" i="3" a="1"/>
  <c r="O28" i="3" a="1"/>
  <c r="K28" i="3" a="1"/>
  <c r="G28" i="3" a="1"/>
  <c r="P26" i="3" a="1"/>
  <c r="L26" i="3" a="1"/>
  <c r="H26" i="3" a="1"/>
  <c r="Q24" i="3" a="1"/>
  <c r="M24" i="3" a="1"/>
  <c r="I24" i="3" a="1"/>
  <c r="R22" i="3" a="1"/>
  <c r="N22" i="3" a="1"/>
  <c r="J22" i="3" a="1"/>
  <c r="F22" i="3" a="1"/>
  <c r="K38" i="3" a="1"/>
  <c r="R24" i="3" a="1"/>
  <c r="P37" i="3" a="1"/>
  <c r="L37" i="3" a="1"/>
  <c r="H37" i="3" a="1"/>
  <c r="Q35" i="3" a="1"/>
  <c r="M35" i="3" a="1"/>
  <c r="I35" i="3" a="1"/>
  <c r="R33" i="3" a="1"/>
  <c r="N33" i="3" a="1"/>
  <c r="J33" i="3" a="1"/>
  <c r="F33" i="3" a="1"/>
  <c r="S31" i="3" a="1"/>
  <c r="O31" i="3" a="1"/>
  <c r="K31" i="3" a="1"/>
  <c r="G31" i="3" a="1"/>
  <c r="P29" i="3" a="1"/>
  <c r="L29" i="3" a="1"/>
  <c r="H29" i="3" a="1"/>
  <c r="Q27" i="3" a="1"/>
  <c r="M27" i="3" a="1"/>
  <c r="I27" i="3" a="1"/>
  <c r="R25" i="3" a="1"/>
  <c r="N25" i="3" a="1"/>
  <c r="J25" i="3" a="1"/>
  <c r="F25" i="3" a="1"/>
  <c r="S23" i="3" a="1"/>
  <c r="O23" i="3" a="1"/>
  <c r="K23" i="3" a="1"/>
  <c r="G23" i="3" a="1"/>
  <c r="O38" i="3" a="1"/>
  <c r="I34" i="3" a="1"/>
  <c r="O30" i="3" a="1"/>
  <c r="H28" i="3" a="1"/>
  <c r="N24" i="3" a="1"/>
  <c r="K22" i="3" a="1"/>
  <c r="Q38" i="3" a="1"/>
  <c r="M38" i="3" a="1"/>
  <c r="I38" i="3" a="1"/>
  <c r="R36" i="3" a="1"/>
  <c r="N36" i="3" a="1"/>
  <c r="J36" i="3" a="1"/>
  <c r="F36" i="3" a="1"/>
  <c r="S34" i="3" a="1"/>
  <c r="O34" i="3" a="1"/>
  <c r="K34" i="3" a="1"/>
  <c r="G34" i="3" a="1"/>
  <c r="P32" i="3" a="1"/>
  <c r="L32" i="3" a="1"/>
  <c r="H32" i="3" a="1"/>
  <c r="Q30" i="3" a="1"/>
  <c r="M30" i="3" a="1"/>
  <c r="I30" i="3" a="1"/>
  <c r="R28" i="3" a="1"/>
  <c r="N28" i="3" a="1"/>
  <c r="J28" i="3" a="1"/>
  <c r="F28" i="3" a="1"/>
  <c r="S26" i="3" a="1"/>
  <c r="O26" i="3" a="1"/>
  <c r="K26" i="3" a="1"/>
  <c r="G26" i="3" a="1"/>
  <c r="P24" i="3" a="1"/>
  <c r="L24" i="3" a="1"/>
  <c r="H24" i="3" a="1"/>
  <c r="Q22" i="3" a="1"/>
  <c r="M22" i="3" a="1"/>
  <c r="I22" i="3" a="1"/>
  <c r="G38" i="3" a="1"/>
  <c r="L36" i="3" a="1"/>
  <c r="Q34" i="3" a="1"/>
  <c r="N32" i="3" a="1"/>
  <c r="G30" i="3" a="1"/>
  <c r="Q26" i="3" a="1"/>
  <c r="F24" i="3" a="1"/>
  <c r="S37" i="3" a="1"/>
  <c r="O37" i="3" a="1"/>
  <c r="K37" i="3" a="1"/>
  <c r="G37" i="3" a="1"/>
  <c r="P35" i="3" a="1"/>
  <c r="L35" i="3" a="1"/>
  <c r="H35" i="3" a="1"/>
  <c r="Q33" i="3" a="1"/>
  <c r="M33" i="3" a="1"/>
  <c r="I33" i="3" a="1"/>
  <c r="R31" i="3" a="1"/>
  <c r="N31" i="3" a="1"/>
  <c r="J31" i="3" a="1"/>
  <c r="F31" i="3" a="1"/>
  <c r="S29" i="3" a="1"/>
  <c r="O29" i="3" a="1"/>
  <c r="K29" i="3" a="1"/>
  <c r="G29" i="3" a="1"/>
  <c r="P27" i="3" a="1"/>
  <c r="L27" i="3" a="1"/>
  <c r="H27" i="3" a="1"/>
  <c r="Q25" i="3" a="1"/>
  <c r="M25" i="3" a="1"/>
  <c r="I25" i="3" a="1"/>
  <c r="R23" i="3" a="1"/>
  <c r="N23" i="3" a="1"/>
  <c r="J23" i="3" a="1"/>
  <c r="F23" i="3" a="1"/>
  <c r="H36" i="3" a="1"/>
  <c r="R32" i="3" a="1"/>
  <c r="S30" i="3" a="1"/>
  <c r="S22" i="3" a="1"/>
  <c r="P38" i="3" a="1"/>
  <c r="L38" i="3" a="1"/>
  <c r="H38" i="3" a="1"/>
  <c r="Q36" i="3" a="1"/>
  <c r="M36" i="3" a="1"/>
  <c r="I36" i="3" a="1"/>
  <c r="R34" i="3" a="1"/>
  <c r="N34" i="3" a="1"/>
  <c r="J34" i="3" a="1"/>
  <c r="F34" i="3" a="1"/>
  <c r="S32" i="3" a="1"/>
  <c r="O32" i="3" a="1"/>
  <c r="K32" i="3" a="1"/>
  <c r="G32" i="3" a="1"/>
  <c r="P30" i="3" a="1"/>
  <c r="L30" i="3" a="1"/>
  <c r="H30" i="3" a="1"/>
  <c r="Q28" i="3" a="1"/>
  <c r="M28" i="3" a="1"/>
  <c r="I28" i="3" a="1"/>
  <c r="R26" i="3" a="1"/>
  <c r="N26" i="3" a="1"/>
  <c r="J26" i="3" a="1"/>
  <c r="F26" i="3" a="1"/>
  <c r="S24" i="3" a="1"/>
  <c r="O24" i="3" a="1"/>
  <c r="K24" i="3" a="1"/>
  <c r="G24" i="3" a="1"/>
  <c r="P22" i="3" a="1"/>
  <c r="L22" i="3" a="1"/>
  <c r="H22" i="3" a="1"/>
  <c r="F32" i="3" a="1"/>
  <c r="L28" i="3" a="1"/>
  <c r="J24" i="3" a="1"/>
  <c r="O22" i="3" a="1"/>
  <c r="S8" i="3" a="1"/>
  <c r="S13" i="3" a="1"/>
  <c r="S6" i="3" a="1"/>
  <c r="S10" i="3" a="1"/>
  <c r="S14" i="3" a="1"/>
  <c r="S18" i="3" a="1"/>
  <c r="S12" i="3" a="1"/>
  <c r="S5" i="3" a="1"/>
  <c r="S17" i="3" a="1"/>
  <c r="S7" i="3" a="1"/>
  <c r="S11" i="3" a="1"/>
  <c r="S15" i="3" a="1"/>
  <c r="S19" i="3" a="1"/>
  <c r="S4" i="3" a="1"/>
  <c r="S16" i="3" a="1"/>
  <c r="S9" i="3" a="1"/>
  <c r="R5" i="3" a="1"/>
  <c r="R12" i="3" a="1"/>
  <c r="R6" i="3" a="1"/>
  <c r="R10" i="3" a="1"/>
  <c r="R14" i="3" a="1"/>
  <c r="R18" i="3" a="1"/>
  <c r="R8" i="3" a="1"/>
  <c r="R13" i="3" a="1"/>
  <c r="R7" i="3" a="1"/>
  <c r="R11" i="3" a="1"/>
  <c r="R15" i="3" a="1"/>
  <c r="R19" i="3" a="1"/>
  <c r="R4" i="3" a="1"/>
  <c r="R16" i="3" a="1"/>
  <c r="R9" i="3" a="1"/>
  <c r="R17" i="3" a="1"/>
  <c r="Q5" i="3" a="1"/>
  <c r="Q13" i="3" a="1"/>
  <c r="Q6" i="3" a="1"/>
  <c r="Q10" i="3" a="1"/>
  <c r="Q14" i="3" a="1"/>
  <c r="Q18" i="3" a="1"/>
  <c r="Q7" i="3" a="1"/>
  <c r="Q11" i="3" a="1"/>
  <c r="Q15" i="3" a="1"/>
  <c r="Q19" i="3" a="1"/>
  <c r="Q4" i="3" a="1"/>
  <c r="Q8" i="3" a="1"/>
  <c r="Q12" i="3" a="1"/>
  <c r="Q16" i="3" a="1"/>
  <c r="Q9" i="3" a="1"/>
  <c r="Q17" i="3" a="1"/>
  <c r="S3" i="3" a="1"/>
  <c r="R3" i="3" a="1"/>
  <c r="Q3" i="3" a="1"/>
  <c r="P5" i="3" a="1"/>
  <c r="P9" i="3" a="1"/>
  <c r="P13" i="3" a="1"/>
  <c r="P17" i="3" a="1"/>
  <c r="P6" i="3" a="1"/>
  <c r="P10" i="3" a="1"/>
  <c r="P14" i="3" a="1"/>
  <c r="P18" i="3" a="1"/>
  <c r="P8" i="3" a="1"/>
  <c r="P16" i="3" a="1"/>
  <c r="P7" i="3" a="1"/>
  <c r="P11" i="3" a="1"/>
  <c r="P15" i="3" a="1"/>
  <c r="P19" i="3" a="1"/>
  <c r="P4" i="3" a="1"/>
  <c r="P12" i="3" a="1"/>
  <c r="P3" i="3" a="1"/>
  <c r="O5" i="3" a="1"/>
  <c r="O9" i="3" a="1"/>
  <c r="O13" i="3" a="1"/>
  <c r="O17" i="3" a="1"/>
  <c r="O6" i="3" a="1"/>
  <c r="O10" i="3" a="1"/>
  <c r="O14" i="3" a="1"/>
  <c r="O18" i="3" a="1"/>
  <c r="O7" i="3" a="1"/>
  <c r="O11" i="3" a="1"/>
  <c r="O15" i="3" a="1"/>
  <c r="O19" i="3" a="1"/>
  <c r="O4" i="3" a="1"/>
  <c r="O8" i="3" a="1"/>
  <c r="O12" i="3" a="1"/>
  <c r="O16" i="3" a="1"/>
  <c r="O3" i="3" a="1"/>
  <c r="N3" i="3" a="1"/>
  <c r="N4" i="3" a="1"/>
  <c r="N8" i="3" a="1"/>
  <c r="N12" i="3" a="1"/>
  <c r="N16" i="3" a="1"/>
  <c r="N15" i="3" a="1"/>
  <c r="N5" i="3" a="1"/>
  <c r="N9" i="3" a="1"/>
  <c r="N13" i="3" a="1"/>
  <c r="N17" i="3" a="1"/>
  <c r="N7" i="3" a="1"/>
  <c r="N19" i="3" a="1"/>
  <c r="N6" i="3" a="1"/>
  <c r="N10" i="3" a="1"/>
  <c r="N14" i="3" a="1"/>
  <c r="N18" i="3" a="1"/>
  <c r="N11" i="3" a="1"/>
  <c r="M12" i="3" a="1"/>
  <c r="M9" i="3" a="1"/>
  <c r="M17" i="3" a="1"/>
  <c r="M6" i="3" a="1"/>
  <c r="M10" i="3" a="1"/>
  <c r="M14" i="3" a="1"/>
  <c r="M18" i="3" a="1"/>
  <c r="M7" i="3" a="1"/>
  <c r="M11" i="3" a="1"/>
  <c r="M15" i="3" a="1"/>
  <c r="M19" i="3" a="1"/>
  <c r="M4" i="3" a="1"/>
  <c r="M8" i="3" a="1"/>
  <c r="M16" i="3" a="1"/>
  <c r="M5" i="3" a="1"/>
  <c r="M13" i="3" a="1"/>
  <c r="M3" i="3" a="1"/>
  <c r="L4" i="3" a="1"/>
  <c r="L6" i="3" a="1"/>
  <c r="L10" i="3" a="1"/>
  <c r="L14" i="3" a="1"/>
  <c r="L18" i="3" a="1"/>
  <c r="L8" i="3" a="1"/>
  <c r="L9" i="3" a="1"/>
  <c r="L17" i="3" a="1"/>
  <c r="L7" i="3" a="1"/>
  <c r="L11" i="3" a="1"/>
  <c r="L15" i="3" a="1"/>
  <c r="L19" i="3" a="1"/>
  <c r="L12" i="3" a="1"/>
  <c r="L16" i="3" a="1"/>
  <c r="L5" i="3" a="1"/>
  <c r="L13" i="3" a="1"/>
  <c r="L3" i="3" a="1"/>
  <c r="K14" i="3" a="1"/>
  <c r="K5" i="3" a="1"/>
  <c r="K9" i="3" a="1"/>
  <c r="K13" i="3" a="1"/>
  <c r="K17" i="3" a="1"/>
  <c r="K10" i="3" a="1"/>
  <c r="K18" i="3" a="1"/>
  <c r="K6" i="3" a="1"/>
  <c r="K7" i="3" a="1"/>
  <c r="K11" i="3" a="1"/>
  <c r="K15" i="3" a="1"/>
  <c r="K19" i="3" a="1"/>
  <c r="K8" i="3" a="1"/>
  <c r="K12" i="3" a="1"/>
  <c r="K16" i="3" a="1"/>
  <c r="K4" i="3" a="1"/>
  <c r="K3" i="3" a="1"/>
  <c r="J5" i="3" a="1"/>
  <c r="J9" i="3" a="1"/>
  <c r="J13" i="3" a="1"/>
  <c r="J10" i="3" a="1"/>
  <c r="J6" i="3" a="1"/>
  <c r="J14" i="3" a="1"/>
  <c r="J18" i="3" a="1"/>
  <c r="J7" i="3" a="1"/>
  <c r="J11" i="3" a="1"/>
  <c r="J15" i="3" a="1"/>
  <c r="J19" i="3" a="1"/>
  <c r="J4" i="3" a="1"/>
  <c r="J8" i="3" a="1"/>
  <c r="J12" i="3" a="1"/>
  <c r="J16" i="3" a="1"/>
  <c r="J17" i="3" a="1"/>
  <c r="J3" i="3" a="1"/>
  <c r="I4" i="3" a="1"/>
  <c r="I8" i="3" a="1"/>
  <c r="I12" i="3" a="1"/>
  <c r="I16" i="3" a="1"/>
  <c r="I13" i="3" a="1"/>
  <c r="I15" i="3" a="1"/>
  <c r="I17" i="3" a="1"/>
  <c r="I5" i="3" a="1"/>
  <c r="I9" i="3" a="1"/>
  <c r="I19" i="3" a="1"/>
  <c r="I6" i="3" a="1"/>
  <c r="I10" i="3" a="1"/>
  <c r="I14" i="3" a="1"/>
  <c r="I18" i="3" a="1"/>
  <c r="I11" i="3" a="1"/>
  <c r="I7" i="3" a="1"/>
  <c r="I3" i="3" a="1"/>
  <c r="H4" i="3" a="1"/>
  <c r="H8" i="3" a="1"/>
  <c r="H12" i="3" a="1"/>
  <c r="H16" i="3" a="1"/>
  <c r="H17" i="3" a="1"/>
  <c r="H13" i="3" a="1"/>
  <c r="H5" i="3" a="1"/>
  <c r="H9" i="3" a="1"/>
  <c r="H11" i="3" a="1"/>
  <c r="H6" i="3" a="1"/>
  <c r="H10" i="3" a="1"/>
  <c r="H14" i="3" a="1"/>
  <c r="H18" i="3" a="1"/>
  <c r="H7" i="3" a="1"/>
  <c r="H15" i="3" a="1"/>
  <c r="H19" i="3" a="1"/>
  <c r="H3" i="3" a="1"/>
  <c r="G4" i="3" a="1"/>
  <c r="G8" i="3" a="1"/>
  <c r="G12" i="3" a="1"/>
  <c r="G16" i="3" a="1"/>
  <c r="G5" i="3" a="1"/>
  <c r="G9" i="3" a="1"/>
  <c r="G13" i="3" a="1"/>
  <c r="G17" i="3" a="1"/>
  <c r="G6" i="3" a="1"/>
  <c r="G10" i="3" a="1"/>
  <c r="G14" i="3" a="1"/>
  <c r="G18" i="3" a="1"/>
  <c r="G7" i="3" a="1"/>
  <c r="G11" i="3" a="1"/>
  <c r="G15" i="3" a="1"/>
  <c r="G19" i="3" a="1"/>
  <c r="G3" i="3" a="1"/>
  <c r="F6" i="3" a="1"/>
  <c r="F10" i="3" a="1"/>
  <c r="F14" i="3" a="1"/>
  <c r="F18" i="3" a="1"/>
  <c r="F9" i="3" a="1"/>
  <c r="F17" i="3" a="1"/>
  <c r="F7" i="3" a="1"/>
  <c r="F11" i="3" a="1"/>
  <c r="F15" i="3" a="1"/>
  <c r="F19" i="3" a="1"/>
  <c r="F4" i="3" a="1"/>
  <c r="F8" i="3" a="1"/>
  <c r="F12" i="3" a="1"/>
  <c r="F16" i="3" a="1"/>
  <c r="F5" i="3" a="1"/>
  <c r="F13" i="3" a="1"/>
  <c r="F3" i="3" a="1"/>
  <c r="R274" i="3" l="1"/>
  <c r="P277" i="3"/>
  <c r="F282" i="3"/>
  <c r="H289" i="3"/>
  <c r="P273" i="3"/>
  <c r="P275" i="3"/>
  <c r="R276" i="3"/>
  <c r="N278" i="3"/>
  <c r="P279" i="3"/>
  <c r="R280" i="3"/>
  <c r="N282" i="3"/>
  <c r="P283" i="3"/>
  <c r="R284" i="3"/>
  <c r="F286" i="3"/>
  <c r="N286" i="3"/>
  <c r="P289" i="3"/>
  <c r="I273" i="3"/>
  <c r="M273" i="3"/>
  <c r="Q273" i="3"/>
  <c r="G274" i="3"/>
  <c r="K274" i="3"/>
  <c r="O274" i="3"/>
  <c r="S274" i="3"/>
  <c r="I275" i="3"/>
  <c r="M275" i="3"/>
  <c r="Q275" i="3"/>
  <c r="G276" i="3"/>
  <c r="K276" i="3"/>
  <c r="O276" i="3"/>
  <c r="S276" i="3"/>
  <c r="I277" i="3"/>
  <c r="M277" i="3"/>
  <c r="Q277" i="3"/>
  <c r="G278" i="3"/>
  <c r="K278" i="3"/>
  <c r="O278" i="3"/>
  <c r="S278" i="3"/>
  <c r="I279" i="3"/>
  <c r="M279" i="3"/>
  <c r="Q279" i="3"/>
  <c r="G280" i="3"/>
  <c r="K280" i="3"/>
  <c r="O280" i="3"/>
  <c r="S280" i="3"/>
  <c r="I281" i="3"/>
  <c r="M281" i="3"/>
  <c r="Q281" i="3"/>
  <c r="G282" i="3"/>
  <c r="K282" i="3"/>
  <c r="O282" i="3"/>
  <c r="S282" i="3"/>
  <c r="I283" i="3"/>
  <c r="M283" i="3"/>
  <c r="Q283" i="3"/>
  <c r="G284" i="3"/>
  <c r="K284" i="3"/>
  <c r="O284" i="3"/>
  <c r="S284" i="3"/>
  <c r="I285" i="3"/>
  <c r="M285" i="3"/>
  <c r="Q285" i="3"/>
  <c r="G286" i="3"/>
  <c r="K286" i="3"/>
  <c r="O286" i="3"/>
  <c r="S286" i="3"/>
  <c r="I287" i="3"/>
  <c r="M287" i="3"/>
  <c r="Q287" i="3"/>
  <c r="G288" i="3"/>
  <c r="K288" i="3"/>
  <c r="O288" i="3"/>
  <c r="S288" i="3"/>
  <c r="I289" i="3"/>
  <c r="M289" i="3"/>
  <c r="Q289" i="3"/>
  <c r="H275" i="3"/>
  <c r="F278" i="3"/>
  <c r="P281" i="3"/>
  <c r="N288" i="3"/>
  <c r="L273" i="3"/>
  <c r="L275" i="3"/>
  <c r="H277" i="3"/>
  <c r="R278" i="3"/>
  <c r="J280" i="3"/>
  <c r="H281" i="3"/>
  <c r="J282" i="3"/>
  <c r="L283" i="3"/>
  <c r="N284" i="3"/>
  <c r="P285" i="3"/>
  <c r="R286" i="3"/>
  <c r="L289" i="3"/>
  <c r="F273" i="3"/>
  <c r="J273" i="3"/>
  <c r="N273" i="3"/>
  <c r="R273" i="3"/>
  <c r="H274" i="3"/>
  <c r="L274" i="3"/>
  <c r="P274" i="3"/>
  <c r="F275" i="3"/>
  <c r="J275" i="3"/>
  <c r="N275" i="3"/>
  <c r="R275" i="3"/>
  <c r="H276" i="3"/>
  <c r="L276" i="3"/>
  <c r="P276" i="3"/>
  <c r="F277" i="3"/>
  <c r="J277" i="3"/>
  <c r="N277" i="3"/>
  <c r="R277" i="3"/>
  <c r="H278" i="3"/>
  <c r="L278" i="3"/>
  <c r="P278" i="3"/>
  <c r="F279" i="3"/>
  <c r="J279" i="3"/>
  <c r="N279" i="3"/>
  <c r="R279" i="3"/>
  <c r="H280" i="3"/>
  <c r="L280" i="3"/>
  <c r="P280" i="3"/>
  <c r="F281" i="3"/>
  <c r="J281" i="3"/>
  <c r="N281" i="3"/>
  <c r="R281" i="3"/>
  <c r="H282" i="3"/>
  <c r="L282" i="3"/>
  <c r="P282" i="3"/>
  <c r="F283" i="3"/>
  <c r="J283" i="3"/>
  <c r="N283" i="3"/>
  <c r="R283" i="3"/>
  <c r="H284" i="3"/>
  <c r="L284" i="3"/>
  <c r="P284" i="3"/>
  <c r="F285" i="3"/>
  <c r="J285" i="3"/>
  <c r="N285" i="3"/>
  <c r="R285" i="3"/>
  <c r="H286" i="3"/>
  <c r="L286" i="3"/>
  <c r="P286" i="3"/>
  <c r="F287" i="3"/>
  <c r="J287" i="3"/>
  <c r="N287" i="3"/>
  <c r="R287" i="3"/>
  <c r="H288" i="3"/>
  <c r="L288" i="3"/>
  <c r="P288" i="3"/>
  <c r="F289" i="3"/>
  <c r="J289" i="3"/>
  <c r="N289" i="3"/>
  <c r="R289" i="3"/>
  <c r="H273" i="3"/>
  <c r="J274" i="3"/>
  <c r="J276" i="3"/>
  <c r="F280" i="3"/>
  <c r="R288" i="3"/>
  <c r="F274" i="3"/>
  <c r="F276" i="3"/>
  <c r="L277" i="3"/>
  <c r="H279" i="3"/>
  <c r="N280" i="3"/>
  <c r="R282" i="3"/>
  <c r="J284" i="3"/>
  <c r="H285" i="3"/>
  <c r="J286" i="3"/>
  <c r="H287" i="3"/>
  <c r="L287" i="3"/>
  <c r="P287" i="3"/>
  <c r="F288" i="3"/>
  <c r="G273" i="3"/>
  <c r="K273" i="3"/>
  <c r="O273" i="3"/>
  <c r="S273" i="3"/>
  <c r="I274" i="3"/>
  <c r="M274" i="3"/>
  <c r="Q274" i="3"/>
  <c r="G275" i="3"/>
  <c r="K275" i="3"/>
  <c r="O275" i="3"/>
  <c r="S275" i="3"/>
  <c r="I276" i="3"/>
  <c r="M276" i="3"/>
  <c r="Q276" i="3"/>
  <c r="G277" i="3"/>
  <c r="K277" i="3"/>
  <c r="O277" i="3"/>
  <c r="S277" i="3"/>
  <c r="I278" i="3"/>
  <c r="M278" i="3"/>
  <c r="Q278" i="3"/>
  <c r="G279" i="3"/>
  <c r="K279" i="3"/>
  <c r="O279" i="3"/>
  <c r="S279" i="3"/>
  <c r="I280" i="3"/>
  <c r="M280" i="3"/>
  <c r="Q280" i="3"/>
  <c r="G281" i="3"/>
  <c r="K281" i="3"/>
  <c r="O281" i="3"/>
  <c r="S281" i="3"/>
  <c r="I282" i="3"/>
  <c r="M282" i="3"/>
  <c r="Q282" i="3"/>
  <c r="G283" i="3"/>
  <c r="K283" i="3"/>
  <c r="O283" i="3"/>
  <c r="S283" i="3"/>
  <c r="I284" i="3"/>
  <c r="M284" i="3"/>
  <c r="Q284" i="3"/>
  <c r="G285" i="3"/>
  <c r="K285" i="3"/>
  <c r="O285" i="3"/>
  <c r="S285" i="3"/>
  <c r="I286" i="3"/>
  <c r="M286" i="3"/>
  <c r="Q286" i="3"/>
  <c r="G287" i="3"/>
  <c r="K287" i="3"/>
  <c r="O287" i="3"/>
  <c r="S287" i="3"/>
  <c r="I288" i="3"/>
  <c r="M288" i="3"/>
  <c r="Q288" i="3"/>
  <c r="G289" i="3"/>
  <c r="K289" i="3"/>
  <c r="O289" i="3"/>
  <c r="S289" i="3"/>
  <c r="N274" i="3"/>
  <c r="N276" i="3"/>
  <c r="J278" i="3"/>
  <c r="L279" i="3"/>
  <c r="L281" i="3"/>
  <c r="H283" i="3"/>
  <c r="F284" i="3"/>
  <c r="L285" i="3"/>
  <c r="J288" i="3"/>
  <c r="P254" i="3"/>
  <c r="N255" i="3"/>
  <c r="L256" i="3"/>
  <c r="J257" i="3"/>
  <c r="R257" i="3"/>
  <c r="P258" i="3"/>
  <c r="R259" i="3"/>
  <c r="J261" i="3"/>
  <c r="H262" i="3"/>
  <c r="F263" i="3"/>
  <c r="N263" i="3"/>
  <c r="L264" i="3"/>
  <c r="F265" i="3"/>
  <c r="R265" i="3"/>
  <c r="L266" i="3"/>
  <c r="P266" i="3"/>
  <c r="F267" i="3"/>
  <c r="J267" i="3"/>
  <c r="N267" i="3"/>
  <c r="R267" i="3"/>
  <c r="H268" i="3"/>
  <c r="F269" i="3"/>
  <c r="J269" i="3"/>
  <c r="N269" i="3"/>
  <c r="R269" i="3"/>
  <c r="H270" i="3"/>
  <c r="L270" i="3"/>
  <c r="P270" i="3"/>
  <c r="H254" i="3"/>
  <c r="P260" i="3"/>
  <c r="K255" i="3"/>
  <c r="I256" i="3"/>
  <c r="G257" i="3"/>
  <c r="O257" i="3"/>
  <c r="S257" i="3"/>
  <c r="I258" i="3"/>
  <c r="M258" i="3"/>
  <c r="Q258" i="3"/>
  <c r="O259" i="3"/>
  <c r="S259" i="3"/>
  <c r="I260" i="3"/>
  <c r="M260" i="3"/>
  <c r="Q260" i="3"/>
  <c r="G261" i="3"/>
  <c r="K261" i="3"/>
  <c r="O261" i="3"/>
  <c r="S261" i="3"/>
  <c r="I262" i="3"/>
  <c r="M262" i="3"/>
  <c r="Q262" i="3"/>
  <c r="G263" i="3"/>
  <c r="K263" i="3"/>
  <c r="O263" i="3"/>
  <c r="S263" i="3"/>
  <c r="I264" i="3"/>
  <c r="M264" i="3"/>
  <c r="Q264" i="3"/>
  <c r="G265" i="3"/>
  <c r="K265" i="3"/>
  <c r="O265" i="3"/>
  <c r="S265" i="3"/>
  <c r="I266" i="3"/>
  <c r="M266" i="3"/>
  <c r="Q266" i="3"/>
  <c r="G267" i="3"/>
  <c r="K267" i="3"/>
  <c r="O267" i="3"/>
  <c r="S267" i="3"/>
  <c r="I268" i="3"/>
  <c r="M268" i="3"/>
  <c r="Q268" i="3"/>
  <c r="G269" i="3"/>
  <c r="K269" i="3"/>
  <c r="O269" i="3"/>
  <c r="S269" i="3"/>
  <c r="I270" i="3"/>
  <c r="M270" i="3"/>
  <c r="Q270" i="3"/>
  <c r="L254" i="3"/>
  <c r="J255" i="3"/>
  <c r="H256" i="3"/>
  <c r="P256" i="3"/>
  <c r="N257" i="3"/>
  <c r="L258" i="3"/>
  <c r="J259" i="3"/>
  <c r="N259" i="3"/>
  <c r="L260" i="3"/>
  <c r="N261" i="3"/>
  <c r="L262" i="3"/>
  <c r="J263" i="3"/>
  <c r="H264" i="3"/>
  <c r="N265" i="3"/>
  <c r="L268" i="3"/>
  <c r="Q254" i="3"/>
  <c r="K259" i="3"/>
  <c r="F255" i="3"/>
  <c r="R255" i="3"/>
  <c r="F257" i="3"/>
  <c r="H258" i="3"/>
  <c r="F259" i="3"/>
  <c r="H260" i="3"/>
  <c r="F261" i="3"/>
  <c r="R261" i="3"/>
  <c r="P262" i="3"/>
  <c r="R263" i="3"/>
  <c r="P264" i="3"/>
  <c r="J265" i="3"/>
  <c r="H266" i="3"/>
  <c r="P268" i="3"/>
  <c r="I254" i="3"/>
  <c r="M254" i="3"/>
  <c r="G255" i="3"/>
  <c r="O255" i="3"/>
  <c r="S255" i="3"/>
  <c r="M256" i="3"/>
  <c r="Q256" i="3"/>
  <c r="K257" i="3"/>
  <c r="G259" i="3"/>
  <c r="F254" i="3"/>
  <c r="J254" i="3"/>
  <c r="N254" i="3"/>
  <c r="R254" i="3"/>
  <c r="H255" i="3"/>
  <c r="L255" i="3"/>
  <c r="P255" i="3"/>
  <c r="F256" i="3"/>
  <c r="J256" i="3"/>
  <c r="N256" i="3"/>
  <c r="R256" i="3"/>
  <c r="H257" i="3"/>
  <c r="L257" i="3"/>
  <c r="P257" i="3"/>
  <c r="F258" i="3"/>
  <c r="J258" i="3"/>
  <c r="N258" i="3"/>
  <c r="R258" i="3"/>
  <c r="H259" i="3"/>
  <c r="L259" i="3"/>
  <c r="P259" i="3"/>
  <c r="F260" i="3"/>
  <c r="J260" i="3"/>
  <c r="N260" i="3"/>
  <c r="R260" i="3"/>
  <c r="H261" i="3"/>
  <c r="L261" i="3"/>
  <c r="P261" i="3"/>
  <c r="F262" i="3"/>
  <c r="J262" i="3"/>
  <c r="N262" i="3"/>
  <c r="R262" i="3"/>
  <c r="H263" i="3"/>
  <c r="L263" i="3"/>
  <c r="P263" i="3"/>
  <c r="F264" i="3"/>
  <c r="J264" i="3"/>
  <c r="N264" i="3"/>
  <c r="R264" i="3"/>
  <c r="H265" i="3"/>
  <c r="L265" i="3"/>
  <c r="P265" i="3"/>
  <c r="F266" i="3"/>
  <c r="J266" i="3"/>
  <c r="N266" i="3"/>
  <c r="R266" i="3"/>
  <c r="H267" i="3"/>
  <c r="L267" i="3"/>
  <c r="P267" i="3"/>
  <c r="F268" i="3"/>
  <c r="J268" i="3"/>
  <c r="N268" i="3"/>
  <c r="R268" i="3"/>
  <c r="H269" i="3"/>
  <c r="L269" i="3"/>
  <c r="P269" i="3"/>
  <c r="F270" i="3"/>
  <c r="J270" i="3"/>
  <c r="N270" i="3"/>
  <c r="R270" i="3"/>
  <c r="G254" i="3"/>
  <c r="K254" i="3"/>
  <c r="O254" i="3"/>
  <c r="S254" i="3"/>
  <c r="I255" i="3"/>
  <c r="M255" i="3"/>
  <c r="Q255" i="3"/>
  <c r="G256" i="3"/>
  <c r="K256" i="3"/>
  <c r="O256" i="3"/>
  <c r="S256" i="3"/>
  <c r="I257" i="3"/>
  <c r="M257" i="3"/>
  <c r="Q257" i="3"/>
  <c r="G258" i="3"/>
  <c r="K258" i="3"/>
  <c r="O258" i="3"/>
  <c r="S258" i="3"/>
  <c r="I259" i="3"/>
  <c r="M259" i="3"/>
  <c r="Q259" i="3"/>
  <c r="G260" i="3"/>
  <c r="K260" i="3"/>
  <c r="O260" i="3"/>
  <c r="S260" i="3"/>
  <c r="I261" i="3"/>
  <c r="M261" i="3"/>
  <c r="Q261" i="3"/>
  <c r="G262" i="3"/>
  <c r="K262" i="3"/>
  <c r="O262" i="3"/>
  <c r="S262" i="3"/>
  <c r="I263" i="3"/>
  <c r="M263" i="3"/>
  <c r="Q263" i="3"/>
  <c r="G264" i="3"/>
  <c r="K264" i="3"/>
  <c r="O264" i="3"/>
  <c r="S264" i="3"/>
  <c r="I265" i="3"/>
  <c r="M265" i="3"/>
  <c r="Q265" i="3"/>
  <c r="G266" i="3"/>
  <c r="K266" i="3"/>
  <c r="O266" i="3"/>
  <c r="S266" i="3"/>
  <c r="I267" i="3"/>
  <c r="M267" i="3"/>
  <c r="Q267" i="3"/>
  <c r="G268" i="3"/>
  <c r="K268" i="3"/>
  <c r="O268" i="3"/>
  <c r="S268" i="3"/>
  <c r="I269" i="3"/>
  <c r="M269" i="3"/>
  <c r="Q269" i="3"/>
  <c r="G270" i="3"/>
  <c r="K270" i="3"/>
  <c r="O270" i="3"/>
  <c r="S270" i="3"/>
  <c r="H251" i="3"/>
  <c r="J250" i="3"/>
  <c r="L249" i="3"/>
  <c r="J248" i="3"/>
  <c r="H247" i="3"/>
  <c r="F246" i="3"/>
  <c r="R244" i="3"/>
  <c r="P243" i="3"/>
  <c r="N242" i="3"/>
  <c r="L241" i="3"/>
  <c r="J240" i="3"/>
  <c r="H239" i="3"/>
  <c r="F238" i="3"/>
  <c r="R236" i="3"/>
  <c r="P251" i="3"/>
  <c r="R250" i="3"/>
  <c r="H249" i="3"/>
  <c r="F248" i="3"/>
  <c r="R246" i="3"/>
  <c r="P245" i="3"/>
  <c r="N244" i="3"/>
  <c r="L243" i="3"/>
  <c r="J242" i="3"/>
  <c r="H241" i="3"/>
  <c r="F240" i="3"/>
  <c r="R238" i="3"/>
  <c r="P237" i="3"/>
  <c r="N236" i="3"/>
  <c r="F250" i="3"/>
  <c r="L251" i="3"/>
  <c r="R248" i="3"/>
  <c r="P247" i="3"/>
  <c r="N246" i="3"/>
  <c r="L245" i="3"/>
  <c r="J244" i="3"/>
  <c r="H243" i="3"/>
  <c r="F242" i="3"/>
  <c r="R240" i="3"/>
  <c r="P239" i="3"/>
  <c r="N238" i="3"/>
  <c r="L237" i="3"/>
  <c r="J236" i="3"/>
  <c r="N250" i="3"/>
  <c r="P249" i="3"/>
  <c r="N248" i="3"/>
  <c r="L247" i="3"/>
  <c r="J246" i="3"/>
  <c r="H245" i="3"/>
  <c r="F244" i="3"/>
  <c r="R242" i="3"/>
  <c r="P241" i="3"/>
  <c r="N240" i="3"/>
  <c r="L239" i="3"/>
  <c r="J238" i="3"/>
  <c r="H237" i="3"/>
  <c r="F236" i="3"/>
  <c r="S251" i="3"/>
  <c r="O251" i="3"/>
  <c r="K251" i="3"/>
  <c r="G251" i="3"/>
  <c r="Q250" i="3"/>
  <c r="M250" i="3"/>
  <c r="I250" i="3"/>
  <c r="S249" i="3"/>
  <c r="O249" i="3"/>
  <c r="K249" i="3"/>
  <c r="G249" i="3"/>
  <c r="Q248" i="3"/>
  <c r="M248" i="3"/>
  <c r="I248" i="3"/>
  <c r="S247" i="3"/>
  <c r="O247" i="3"/>
  <c r="K247" i="3"/>
  <c r="G247" i="3"/>
  <c r="Q246" i="3"/>
  <c r="M246" i="3"/>
  <c r="I246" i="3"/>
  <c r="S245" i="3"/>
  <c r="O245" i="3"/>
  <c r="K245" i="3"/>
  <c r="G245" i="3"/>
  <c r="Q244" i="3"/>
  <c r="M244" i="3"/>
  <c r="I244" i="3"/>
  <c r="S243" i="3"/>
  <c r="O243" i="3"/>
  <c r="K243" i="3"/>
  <c r="G243" i="3"/>
  <c r="Q242" i="3"/>
  <c r="M242" i="3"/>
  <c r="I242" i="3"/>
  <c r="S241" i="3"/>
  <c r="O241" i="3"/>
  <c r="K241" i="3"/>
  <c r="G241" i="3"/>
  <c r="Q240" i="3"/>
  <c r="M240" i="3"/>
  <c r="I240" i="3"/>
  <c r="S239" i="3"/>
  <c r="O239" i="3"/>
  <c r="K239" i="3"/>
  <c r="G239" i="3"/>
  <c r="Q238" i="3"/>
  <c r="M238" i="3"/>
  <c r="I238" i="3"/>
  <c r="S237" i="3"/>
  <c r="O237" i="3"/>
  <c r="K237" i="3"/>
  <c r="G237" i="3"/>
  <c r="Q236" i="3"/>
  <c r="M236" i="3"/>
  <c r="I236" i="3"/>
  <c r="R251" i="3"/>
  <c r="N251" i="3"/>
  <c r="J251" i="3"/>
  <c r="F251" i="3"/>
  <c r="P250" i="3"/>
  <c r="L250" i="3"/>
  <c r="H250" i="3"/>
  <c r="R249" i="3"/>
  <c r="N249" i="3"/>
  <c r="J249" i="3"/>
  <c r="F249" i="3"/>
  <c r="P248" i="3"/>
  <c r="L248" i="3"/>
  <c r="H248" i="3"/>
  <c r="R247" i="3"/>
  <c r="N247" i="3"/>
  <c r="J247" i="3"/>
  <c r="F247" i="3"/>
  <c r="P246" i="3"/>
  <c r="L246" i="3"/>
  <c r="H246" i="3"/>
  <c r="R245" i="3"/>
  <c r="N245" i="3"/>
  <c r="J245" i="3"/>
  <c r="F245" i="3"/>
  <c r="P244" i="3"/>
  <c r="L244" i="3"/>
  <c r="H244" i="3"/>
  <c r="R243" i="3"/>
  <c r="N243" i="3"/>
  <c r="J243" i="3"/>
  <c r="F243" i="3"/>
  <c r="P242" i="3"/>
  <c r="L242" i="3"/>
  <c r="H242" i="3"/>
  <c r="R241" i="3"/>
  <c r="N241" i="3"/>
  <c r="J241" i="3"/>
  <c r="F241" i="3"/>
  <c r="P240" i="3"/>
  <c r="L240" i="3"/>
  <c r="H240" i="3"/>
  <c r="R239" i="3"/>
  <c r="N239" i="3"/>
  <c r="J239" i="3"/>
  <c r="F239" i="3"/>
  <c r="P238" i="3"/>
  <c r="L238" i="3"/>
  <c r="H238" i="3"/>
  <c r="R237" i="3"/>
  <c r="N237" i="3"/>
  <c r="J237" i="3"/>
  <c r="F237" i="3"/>
  <c r="P236" i="3"/>
  <c r="L236" i="3"/>
  <c r="H236" i="3"/>
  <c r="Q251" i="3"/>
  <c r="M251" i="3"/>
  <c r="I251" i="3"/>
  <c r="S250" i="3"/>
  <c r="O250" i="3"/>
  <c r="K250" i="3"/>
  <c r="G250" i="3"/>
  <c r="Q249" i="3"/>
  <c r="M249" i="3"/>
  <c r="I249" i="3"/>
  <c r="S248" i="3"/>
  <c r="O248" i="3"/>
  <c r="K248" i="3"/>
  <c r="G248" i="3"/>
  <c r="Q247" i="3"/>
  <c r="M247" i="3"/>
  <c r="I247" i="3"/>
  <c r="S246" i="3"/>
  <c r="O246" i="3"/>
  <c r="K246" i="3"/>
  <c r="G246" i="3"/>
  <c r="Q245" i="3"/>
  <c r="M245" i="3"/>
  <c r="I245" i="3"/>
  <c r="S244" i="3"/>
  <c r="O244" i="3"/>
  <c r="K244" i="3"/>
  <c r="G244" i="3"/>
  <c r="Q243" i="3"/>
  <c r="M243" i="3"/>
  <c r="I243" i="3"/>
  <c r="S242" i="3"/>
  <c r="O242" i="3"/>
  <c r="K242" i="3"/>
  <c r="G242" i="3"/>
  <c r="Q241" i="3"/>
  <c r="M241" i="3"/>
  <c r="I241" i="3"/>
  <c r="S240" i="3"/>
  <c r="O240" i="3"/>
  <c r="K240" i="3"/>
  <c r="G240" i="3"/>
  <c r="Q239" i="3"/>
  <c r="M239" i="3"/>
  <c r="I239" i="3"/>
  <c r="S238" i="3"/>
  <c r="O238" i="3"/>
  <c r="K238" i="3"/>
  <c r="G238" i="3"/>
  <c r="Q237" i="3"/>
  <c r="M237" i="3"/>
  <c r="I237" i="3"/>
  <c r="S236" i="3"/>
  <c r="O236" i="3"/>
  <c r="K236" i="3"/>
  <c r="G236" i="3"/>
  <c r="S235" i="3"/>
  <c r="R235" i="3"/>
  <c r="Q235" i="3"/>
  <c r="P235" i="3"/>
  <c r="O235" i="3"/>
  <c r="N235" i="3"/>
  <c r="M235" i="3"/>
  <c r="L235" i="3"/>
  <c r="K235" i="3"/>
  <c r="J235" i="3"/>
  <c r="I235" i="3"/>
  <c r="H235" i="3"/>
  <c r="G235" i="3"/>
  <c r="F235" i="3"/>
  <c r="Q54" i="3"/>
  <c r="J42" i="3"/>
  <c r="R42" i="3"/>
  <c r="L44" i="3"/>
  <c r="I46" i="3"/>
  <c r="N44" i="3"/>
  <c r="G50" i="3"/>
  <c r="Q42" i="3"/>
  <c r="K44" i="3"/>
  <c r="S42" i="3"/>
  <c r="J46" i="3"/>
  <c r="H48" i="3"/>
  <c r="M42" i="3"/>
  <c r="G44" i="3"/>
  <c r="O44" i="3"/>
  <c r="Q46" i="3"/>
  <c r="L48" i="3"/>
  <c r="K50" i="3"/>
  <c r="F52" i="3"/>
  <c r="I42" i="3"/>
  <c r="S44" i="3"/>
  <c r="K42" i="3"/>
  <c r="M44" i="3"/>
  <c r="L42" i="3"/>
  <c r="F44" i="3"/>
  <c r="M46" i="3"/>
  <c r="F42" i="3"/>
  <c r="N42" i="3"/>
  <c r="H44" i="3"/>
  <c r="P44" i="3"/>
  <c r="P48" i="3"/>
  <c r="O50" i="3"/>
  <c r="J52" i="3"/>
  <c r="G42" i="3"/>
  <c r="O42" i="3"/>
  <c r="I44" i="3"/>
  <c r="Q44" i="3"/>
  <c r="S50" i="3"/>
  <c r="N52" i="3"/>
  <c r="I54" i="3"/>
  <c r="F46" i="3"/>
  <c r="H42" i="3"/>
  <c r="P42" i="3"/>
  <c r="J44" i="3"/>
  <c r="R44" i="3"/>
  <c r="R52" i="3"/>
  <c r="M54" i="3"/>
  <c r="G46" i="3"/>
  <c r="K46" i="3"/>
  <c r="O46" i="3"/>
  <c r="S46" i="3"/>
  <c r="F48" i="3"/>
  <c r="J48" i="3"/>
  <c r="N48" i="3"/>
  <c r="R48" i="3"/>
  <c r="I50" i="3"/>
  <c r="M50" i="3"/>
  <c r="Q50" i="3"/>
  <c r="H52" i="3"/>
  <c r="L52" i="3"/>
  <c r="P52" i="3"/>
  <c r="G54" i="3"/>
  <c r="K54" i="3"/>
  <c r="O54" i="3"/>
  <c r="S54" i="3"/>
  <c r="F56" i="3"/>
  <c r="J56" i="3"/>
  <c r="N56" i="3"/>
  <c r="R56" i="3"/>
  <c r="H41" i="3"/>
  <c r="L41" i="3"/>
  <c r="P41" i="3"/>
  <c r="G43" i="3"/>
  <c r="K43" i="3"/>
  <c r="O43" i="3"/>
  <c r="S43" i="3"/>
  <c r="F45" i="3"/>
  <c r="J45" i="3"/>
  <c r="N45" i="3"/>
  <c r="R45" i="3"/>
  <c r="I47" i="3"/>
  <c r="M47" i="3"/>
  <c r="Q47" i="3"/>
  <c r="H49" i="3"/>
  <c r="L49" i="3"/>
  <c r="P49" i="3"/>
  <c r="G51" i="3"/>
  <c r="K51" i="3"/>
  <c r="O51" i="3"/>
  <c r="S51" i="3"/>
  <c r="F53" i="3"/>
  <c r="J53" i="3"/>
  <c r="N53" i="3"/>
  <c r="R53" i="3"/>
  <c r="I55" i="3"/>
  <c r="M55" i="3"/>
  <c r="Q55" i="3"/>
  <c r="H57" i="3"/>
  <c r="L57" i="3"/>
  <c r="P57" i="3"/>
  <c r="H46" i="3"/>
  <c r="L46" i="3"/>
  <c r="P46" i="3"/>
  <c r="G48" i="3"/>
  <c r="K48" i="3"/>
  <c r="O48" i="3"/>
  <c r="S48" i="3"/>
  <c r="F50" i="3"/>
  <c r="J50" i="3"/>
  <c r="N50" i="3"/>
  <c r="R50" i="3"/>
  <c r="I52" i="3"/>
  <c r="M52" i="3"/>
  <c r="Q52" i="3"/>
  <c r="H54" i="3"/>
  <c r="L54" i="3"/>
  <c r="P54" i="3"/>
  <c r="G56" i="3"/>
  <c r="K56" i="3"/>
  <c r="O56" i="3"/>
  <c r="S56" i="3"/>
  <c r="I41" i="3"/>
  <c r="M41" i="3"/>
  <c r="Q41" i="3"/>
  <c r="H43" i="3"/>
  <c r="L43" i="3"/>
  <c r="P43" i="3"/>
  <c r="G45" i="3"/>
  <c r="K45" i="3"/>
  <c r="O45" i="3"/>
  <c r="S45" i="3"/>
  <c r="F47" i="3"/>
  <c r="J47" i="3"/>
  <c r="N47" i="3"/>
  <c r="R47" i="3"/>
  <c r="I49" i="3"/>
  <c r="M49" i="3"/>
  <c r="Q49" i="3"/>
  <c r="H51" i="3"/>
  <c r="L51" i="3"/>
  <c r="P51" i="3"/>
  <c r="G53" i="3"/>
  <c r="K53" i="3"/>
  <c r="O53" i="3"/>
  <c r="S53" i="3"/>
  <c r="F55" i="3"/>
  <c r="J55" i="3"/>
  <c r="N55" i="3"/>
  <c r="R55" i="3"/>
  <c r="I57" i="3"/>
  <c r="M57" i="3"/>
  <c r="Q57" i="3"/>
  <c r="H56" i="3"/>
  <c r="L56" i="3"/>
  <c r="P56" i="3"/>
  <c r="F41" i="3"/>
  <c r="J41" i="3"/>
  <c r="N41" i="3"/>
  <c r="R41" i="3"/>
  <c r="I43" i="3"/>
  <c r="M43" i="3"/>
  <c r="Q43" i="3"/>
  <c r="H45" i="3"/>
  <c r="L45" i="3"/>
  <c r="P45" i="3"/>
  <c r="G47" i="3"/>
  <c r="K47" i="3"/>
  <c r="O47" i="3"/>
  <c r="S47" i="3"/>
  <c r="F49" i="3"/>
  <c r="J49" i="3"/>
  <c r="N49" i="3"/>
  <c r="R49" i="3"/>
  <c r="I51" i="3"/>
  <c r="M51" i="3"/>
  <c r="Q51" i="3"/>
  <c r="H53" i="3"/>
  <c r="L53" i="3"/>
  <c r="P53" i="3"/>
  <c r="G55" i="3"/>
  <c r="K55" i="3"/>
  <c r="O55" i="3"/>
  <c r="S55" i="3"/>
  <c r="F57" i="3"/>
  <c r="J57" i="3"/>
  <c r="N57" i="3"/>
  <c r="R57" i="3"/>
  <c r="N46" i="3"/>
  <c r="R46" i="3"/>
  <c r="I48" i="3"/>
  <c r="M48" i="3"/>
  <c r="Q48" i="3"/>
  <c r="H50" i="3"/>
  <c r="L50" i="3"/>
  <c r="P50" i="3"/>
  <c r="G52" i="3"/>
  <c r="K52" i="3"/>
  <c r="O52" i="3"/>
  <c r="S52" i="3"/>
  <c r="F54" i="3"/>
  <c r="J54" i="3"/>
  <c r="N54" i="3"/>
  <c r="R54" i="3"/>
  <c r="I56" i="3"/>
  <c r="M56" i="3"/>
  <c r="Q56" i="3"/>
  <c r="G41" i="3"/>
  <c r="K41" i="3"/>
  <c r="O41" i="3"/>
  <c r="S41" i="3"/>
  <c r="F43" i="3"/>
  <c r="J43" i="3"/>
  <c r="N43" i="3"/>
  <c r="R43" i="3"/>
  <c r="I45" i="3"/>
  <c r="M45" i="3"/>
  <c r="Q45" i="3"/>
  <c r="H47" i="3"/>
  <c r="L47" i="3"/>
  <c r="P47" i="3"/>
  <c r="G49" i="3"/>
  <c r="K49" i="3"/>
  <c r="O49" i="3"/>
  <c r="S49" i="3"/>
  <c r="F51" i="3"/>
  <c r="J51" i="3"/>
  <c r="N51" i="3"/>
  <c r="R51" i="3"/>
  <c r="I53" i="3"/>
  <c r="M53" i="3"/>
  <c r="Q53" i="3"/>
  <c r="H55" i="3"/>
  <c r="L55" i="3"/>
  <c r="P55" i="3"/>
  <c r="G57" i="3"/>
  <c r="K57" i="3"/>
  <c r="O57" i="3"/>
  <c r="S57" i="3"/>
  <c r="O22" i="3"/>
  <c r="J24" i="3"/>
  <c r="L28" i="3"/>
  <c r="F32" i="3"/>
  <c r="H22" i="3"/>
  <c r="L22" i="3"/>
  <c r="P22" i="3"/>
  <c r="G24" i="3"/>
  <c r="K24" i="3"/>
  <c r="O24" i="3"/>
  <c r="S24" i="3"/>
  <c r="F26" i="3"/>
  <c r="J26" i="3"/>
  <c r="N26" i="3"/>
  <c r="R26" i="3"/>
  <c r="I28" i="3"/>
  <c r="M28" i="3"/>
  <c r="Q28" i="3"/>
  <c r="H30" i="3"/>
  <c r="L30" i="3"/>
  <c r="P30" i="3"/>
  <c r="G32" i="3"/>
  <c r="K32" i="3"/>
  <c r="O32" i="3"/>
  <c r="S32" i="3"/>
  <c r="F34" i="3"/>
  <c r="J34" i="3"/>
  <c r="N34" i="3"/>
  <c r="R34" i="3"/>
  <c r="I36" i="3"/>
  <c r="M36" i="3"/>
  <c r="Q36" i="3"/>
  <c r="H38" i="3"/>
  <c r="L38" i="3"/>
  <c r="P38" i="3"/>
  <c r="S22" i="3"/>
  <c r="S30" i="3"/>
  <c r="R32" i="3"/>
  <c r="H36" i="3"/>
  <c r="F23" i="3"/>
  <c r="J23" i="3"/>
  <c r="N23" i="3"/>
  <c r="R23" i="3"/>
  <c r="I25" i="3"/>
  <c r="M25" i="3"/>
  <c r="Q25" i="3"/>
  <c r="H27" i="3"/>
  <c r="L27" i="3"/>
  <c r="P27" i="3"/>
  <c r="G29" i="3"/>
  <c r="K29" i="3"/>
  <c r="O29" i="3"/>
  <c r="S29" i="3"/>
  <c r="F31" i="3"/>
  <c r="J31" i="3"/>
  <c r="N31" i="3"/>
  <c r="R31" i="3"/>
  <c r="I33" i="3"/>
  <c r="M33" i="3"/>
  <c r="Q33" i="3"/>
  <c r="H35" i="3"/>
  <c r="L35" i="3"/>
  <c r="P35" i="3"/>
  <c r="G37" i="3"/>
  <c r="K37" i="3"/>
  <c r="O37" i="3"/>
  <c r="S37" i="3"/>
  <c r="F24" i="3"/>
  <c r="Q26" i="3"/>
  <c r="G30" i="3"/>
  <c r="N32" i="3"/>
  <c r="Q34" i="3"/>
  <c r="L36" i="3"/>
  <c r="G38" i="3"/>
  <c r="I22" i="3"/>
  <c r="M22" i="3"/>
  <c r="Q22" i="3"/>
  <c r="H24" i="3"/>
  <c r="L24" i="3"/>
  <c r="P24" i="3"/>
  <c r="G26" i="3"/>
  <c r="K26" i="3"/>
  <c r="O26" i="3"/>
  <c r="S26" i="3"/>
  <c r="F28" i="3"/>
  <c r="J28" i="3"/>
  <c r="N28" i="3"/>
  <c r="R28" i="3"/>
  <c r="I30" i="3"/>
  <c r="M30" i="3"/>
  <c r="Q30" i="3"/>
  <c r="H32" i="3"/>
  <c r="L32" i="3"/>
  <c r="P32" i="3"/>
  <c r="G34" i="3"/>
  <c r="K34" i="3"/>
  <c r="O34" i="3"/>
  <c r="S34" i="3"/>
  <c r="F36" i="3"/>
  <c r="J36" i="3"/>
  <c r="N36" i="3"/>
  <c r="R36" i="3"/>
  <c r="I38" i="3"/>
  <c r="M38" i="3"/>
  <c r="Q38" i="3"/>
  <c r="K22" i="3"/>
  <c r="N24" i="3"/>
  <c r="H28" i="3"/>
  <c r="O30" i="3"/>
  <c r="I34" i="3"/>
  <c r="O38" i="3"/>
  <c r="G23" i="3"/>
  <c r="K23" i="3"/>
  <c r="O23" i="3"/>
  <c r="S23" i="3"/>
  <c r="F25" i="3"/>
  <c r="J25" i="3"/>
  <c r="N25" i="3"/>
  <c r="R25" i="3"/>
  <c r="I27" i="3"/>
  <c r="M27" i="3"/>
  <c r="Q27" i="3"/>
  <c r="H29" i="3"/>
  <c r="L29" i="3"/>
  <c r="P29" i="3"/>
  <c r="G31" i="3"/>
  <c r="K31" i="3"/>
  <c r="O31" i="3"/>
  <c r="S31" i="3"/>
  <c r="F33" i="3"/>
  <c r="J33" i="3"/>
  <c r="N33" i="3"/>
  <c r="R33" i="3"/>
  <c r="I35" i="3"/>
  <c r="M35" i="3"/>
  <c r="Q35" i="3"/>
  <c r="H37" i="3"/>
  <c r="L37" i="3"/>
  <c r="P37" i="3"/>
  <c r="R24" i="3"/>
  <c r="K38" i="3"/>
  <c r="F22" i="3"/>
  <c r="J22" i="3"/>
  <c r="N22" i="3"/>
  <c r="R22" i="3"/>
  <c r="I24" i="3"/>
  <c r="M24" i="3"/>
  <c r="Q24" i="3"/>
  <c r="H26" i="3"/>
  <c r="L26" i="3"/>
  <c r="P26" i="3"/>
  <c r="G28" i="3"/>
  <c r="K28" i="3"/>
  <c r="O28" i="3"/>
  <c r="S28" i="3"/>
  <c r="F30" i="3"/>
  <c r="J30" i="3"/>
  <c r="N30" i="3"/>
  <c r="R30" i="3"/>
  <c r="I32" i="3"/>
  <c r="M32" i="3"/>
  <c r="Q32" i="3"/>
  <c r="H34" i="3"/>
  <c r="L34" i="3"/>
  <c r="P34" i="3"/>
  <c r="G36" i="3"/>
  <c r="K36" i="3"/>
  <c r="O36" i="3"/>
  <c r="S36" i="3"/>
  <c r="F38" i="3"/>
  <c r="J38" i="3"/>
  <c r="N38" i="3"/>
  <c r="R38" i="3"/>
  <c r="I26" i="3"/>
  <c r="P28" i="3"/>
  <c r="H23" i="3"/>
  <c r="L23" i="3"/>
  <c r="P23" i="3"/>
  <c r="G25" i="3"/>
  <c r="K25" i="3"/>
  <c r="O25" i="3"/>
  <c r="S25" i="3"/>
  <c r="F27" i="3"/>
  <c r="J27" i="3"/>
  <c r="N27" i="3"/>
  <c r="R27" i="3"/>
  <c r="I29" i="3"/>
  <c r="M29" i="3"/>
  <c r="Q29" i="3"/>
  <c r="H31" i="3"/>
  <c r="L31" i="3"/>
  <c r="P31" i="3"/>
  <c r="G33" i="3"/>
  <c r="K33" i="3"/>
  <c r="O33" i="3"/>
  <c r="S33" i="3"/>
  <c r="F35" i="3"/>
  <c r="J35" i="3"/>
  <c r="N35" i="3"/>
  <c r="R35" i="3"/>
  <c r="I37" i="3"/>
  <c r="M37" i="3"/>
  <c r="Q37" i="3"/>
  <c r="G22" i="3"/>
  <c r="M26" i="3"/>
  <c r="K30" i="3"/>
  <c r="J32" i="3"/>
  <c r="M34" i="3"/>
  <c r="P36" i="3"/>
  <c r="S38" i="3"/>
  <c r="I23" i="3"/>
  <c r="M23" i="3"/>
  <c r="Q23" i="3"/>
  <c r="H25" i="3"/>
  <c r="L25" i="3"/>
  <c r="P25" i="3"/>
  <c r="G27" i="3"/>
  <c r="K27" i="3"/>
  <c r="O27" i="3"/>
  <c r="S27" i="3"/>
  <c r="F29" i="3"/>
  <c r="J29" i="3"/>
  <c r="N29" i="3"/>
  <c r="R29" i="3"/>
  <c r="I31" i="3"/>
  <c r="M31" i="3"/>
  <c r="Q31" i="3"/>
  <c r="H33" i="3"/>
  <c r="L33" i="3"/>
  <c r="P33" i="3"/>
  <c r="G35" i="3"/>
  <c r="K35" i="3"/>
  <c r="O35" i="3"/>
  <c r="S35" i="3"/>
  <c r="F37" i="3"/>
  <c r="J37" i="3"/>
  <c r="N37" i="3"/>
  <c r="R37" i="3"/>
  <c r="S9" i="3"/>
  <c r="S16" i="3"/>
  <c r="S4" i="3"/>
  <c r="S19" i="3"/>
  <c r="S15" i="3"/>
  <c r="S11" i="3"/>
  <c r="S7" i="3"/>
  <c r="S17" i="3"/>
  <c r="S5" i="3"/>
  <c r="S12" i="3"/>
  <c r="S18" i="3"/>
  <c r="S14" i="3"/>
  <c r="S10" i="3"/>
  <c r="S6" i="3"/>
  <c r="S13" i="3"/>
  <c r="S8" i="3"/>
  <c r="R17" i="3"/>
  <c r="R9" i="3"/>
  <c r="R16" i="3"/>
  <c r="R4" i="3"/>
  <c r="R19" i="3"/>
  <c r="R15" i="3"/>
  <c r="R11" i="3"/>
  <c r="R7" i="3"/>
  <c r="R13" i="3"/>
  <c r="R8" i="3"/>
  <c r="R18" i="3"/>
  <c r="R14" i="3"/>
  <c r="R10" i="3"/>
  <c r="R6" i="3"/>
  <c r="R12" i="3"/>
  <c r="R5" i="3"/>
  <c r="Q17" i="3"/>
  <c r="Q9" i="3"/>
  <c r="Q16" i="3"/>
  <c r="Q12" i="3"/>
  <c r="Q8" i="3"/>
  <c r="Q4" i="3"/>
  <c r="Q19" i="3"/>
  <c r="Q15" i="3"/>
  <c r="Q11" i="3"/>
  <c r="Q7" i="3"/>
  <c r="Q18" i="3"/>
  <c r="Q14" i="3"/>
  <c r="Q10" i="3"/>
  <c r="Q6" i="3"/>
  <c r="Q13" i="3"/>
  <c r="Q5" i="3"/>
  <c r="S3" i="3"/>
  <c r="R3" i="3"/>
  <c r="Q3" i="3"/>
  <c r="P12" i="3"/>
  <c r="P4" i="3"/>
  <c r="P19" i="3"/>
  <c r="P15" i="3"/>
  <c r="P11" i="3"/>
  <c r="P7" i="3"/>
  <c r="P16" i="3"/>
  <c r="P8" i="3"/>
  <c r="P18" i="3"/>
  <c r="P14" i="3"/>
  <c r="P10" i="3"/>
  <c r="P6" i="3"/>
  <c r="P17" i="3"/>
  <c r="P13" i="3"/>
  <c r="P9" i="3"/>
  <c r="P5" i="3"/>
  <c r="P3" i="3"/>
  <c r="O16" i="3"/>
  <c r="O12" i="3"/>
  <c r="O8" i="3"/>
  <c r="O4" i="3"/>
  <c r="O19" i="3"/>
  <c r="O15" i="3"/>
  <c r="O11" i="3"/>
  <c r="O7" i="3"/>
  <c r="O18" i="3"/>
  <c r="O14" i="3"/>
  <c r="O10" i="3"/>
  <c r="O6" i="3"/>
  <c r="O17" i="3"/>
  <c r="O13" i="3"/>
  <c r="O9" i="3"/>
  <c r="O5" i="3"/>
  <c r="O3" i="3"/>
  <c r="N3" i="3"/>
  <c r="N11" i="3"/>
  <c r="N18" i="3"/>
  <c r="N14" i="3"/>
  <c r="N10" i="3"/>
  <c r="N6" i="3"/>
  <c r="N19" i="3"/>
  <c r="N7" i="3"/>
  <c r="N17" i="3"/>
  <c r="N13" i="3"/>
  <c r="N9" i="3"/>
  <c r="N5" i="3"/>
  <c r="N15" i="3"/>
  <c r="N16" i="3"/>
  <c r="N12" i="3"/>
  <c r="N8" i="3"/>
  <c r="N4" i="3"/>
  <c r="M13" i="3"/>
  <c r="M5" i="3"/>
  <c r="M16" i="3"/>
  <c r="M8" i="3"/>
  <c r="M4" i="3"/>
  <c r="M19" i="3"/>
  <c r="M15" i="3"/>
  <c r="M11" i="3"/>
  <c r="M7" i="3"/>
  <c r="M18" i="3"/>
  <c r="M14" i="3"/>
  <c r="M10" i="3"/>
  <c r="M6" i="3"/>
  <c r="M17" i="3"/>
  <c r="M9" i="3"/>
  <c r="M12" i="3"/>
  <c r="M3" i="3"/>
  <c r="L13" i="3"/>
  <c r="L5" i="3"/>
  <c r="L16" i="3"/>
  <c r="L12" i="3"/>
  <c r="L19" i="3"/>
  <c r="L15" i="3"/>
  <c r="L11" i="3"/>
  <c r="L7" i="3"/>
  <c r="L17" i="3"/>
  <c r="L9" i="3"/>
  <c r="L8" i="3"/>
  <c r="L18" i="3"/>
  <c r="L14" i="3"/>
  <c r="L10" i="3"/>
  <c r="L6" i="3"/>
  <c r="L4" i="3"/>
  <c r="L3" i="3"/>
  <c r="K4" i="3"/>
  <c r="K16" i="3"/>
  <c r="K12" i="3"/>
  <c r="K8" i="3"/>
  <c r="K19" i="3"/>
  <c r="K15" i="3"/>
  <c r="K11" i="3"/>
  <c r="K7" i="3"/>
  <c r="K6" i="3"/>
  <c r="K18" i="3"/>
  <c r="K10" i="3"/>
  <c r="K17" i="3"/>
  <c r="K13" i="3"/>
  <c r="K9" i="3"/>
  <c r="K5" i="3"/>
  <c r="K14" i="3"/>
  <c r="K3" i="3"/>
  <c r="J17" i="3"/>
  <c r="J16" i="3"/>
  <c r="J12" i="3"/>
  <c r="J8" i="3"/>
  <c r="J4" i="3"/>
  <c r="J19" i="3"/>
  <c r="J15" i="3"/>
  <c r="J11" i="3"/>
  <c r="J7" i="3"/>
  <c r="J18" i="3"/>
  <c r="J14" i="3"/>
  <c r="J6" i="3"/>
  <c r="J10" i="3"/>
  <c r="J13" i="3"/>
  <c r="J9" i="3"/>
  <c r="J5" i="3"/>
  <c r="J3" i="3"/>
  <c r="I7" i="3"/>
  <c r="I11" i="3"/>
  <c r="I18" i="3"/>
  <c r="I14" i="3"/>
  <c r="I10" i="3"/>
  <c r="I6" i="3"/>
  <c r="I19" i="3"/>
  <c r="I9" i="3"/>
  <c r="I5" i="3"/>
  <c r="I17" i="3"/>
  <c r="I15" i="3"/>
  <c r="I13" i="3"/>
  <c r="I16" i="3"/>
  <c r="I12" i="3"/>
  <c r="I8" i="3"/>
  <c r="I4" i="3"/>
  <c r="I3" i="3"/>
  <c r="H19" i="3"/>
  <c r="H15" i="3"/>
  <c r="H7" i="3"/>
  <c r="H18" i="3"/>
  <c r="H14" i="3"/>
  <c r="H10" i="3"/>
  <c r="H6" i="3"/>
  <c r="H11" i="3"/>
  <c r="H9" i="3"/>
  <c r="H5" i="3"/>
  <c r="H13" i="3"/>
  <c r="H17" i="3"/>
  <c r="H16" i="3"/>
  <c r="H12" i="3"/>
  <c r="H8" i="3"/>
  <c r="H4" i="3"/>
  <c r="H3" i="3"/>
  <c r="G19" i="3"/>
  <c r="G15" i="3"/>
  <c r="G11" i="3"/>
  <c r="G7" i="3"/>
  <c r="G18" i="3"/>
  <c r="G14" i="3"/>
  <c r="G10" i="3"/>
  <c r="G6" i="3"/>
  <c r="G17" i="3"/>
  <c r="G13" i="3"/>
  <c r="G9" i="3"/>
  <c r="G5" i="3"/>
  <c r="G16" i="3"/>
  <c r="G12" i="3"/>
  <c r="G8" i="3"/>
  <c r="G4" i="3"/>
  <c r="G3" i="3"/>
  <c r="F13" i="3"/>
  <c r="F5" i="3"/>
  <c r="F16" i="3"/>
  <c r="F12" i="3"/>
  <c r="F8" i="3"/>
  <c r="F4" i="3"/>
  <c r="F19" i="3"/>
  <c r="F15" i="3"/>
  <c r="F11" i="3"/>
  <c r="F7" i="3"/>
  <c r="F17" i="3"/>
  <c r="F9" i="3"/>
  <c r="F18" i="3"/>
  <c r="F14" i="3"/>
  <c r="F10" i="3"/>
  <c r="F6" i="3"/>
  <c r="F3" i="3"/>
  <c r="B2" i="2"/>
  <c r="G237" i="2" a="1"/>
  <c r="G229" i="2" a="1"/>
  <c r="J238" i="2" a="1"/>
  <c r="J230" i="2" a="1"/>
  <c r="I239" i="2" a="1"/>
  <c r="I231" i="2" a="1"/>
  <c r="I223" i="2" a="1"/>
  <c r="M230" i="2" a="1"/>
  <c r="G226" i="2" a="1"/>
  <c r="G233" i="2" a="1"/>
  <c r="G225" i="2" a="1"/>
  <c r="J234" i="2" a="1"/>
  <c r="J226" i="2" a="1"/>
  <c r="I235" i="2" a="1"/>
  <c r="I227" i="2" a="1"/>
  <c r="H236" i="2" a="1"/>
  <c r="H228" i="2" a="1"/>
  <c r="H219" i="2" a="1"/>
  <c r="H211" i="2" a="1"/>
  <c r="M216" i="2" a="1"/>
  <c r="J221" i="2" a="1"/>
  <c r="J213" i="2" a="1"/>
  <c r="I222" i="2" a="1"/>
  <c r="I214" i="2" a="1"/>
  <c r="J219" i="2" a="1"/>
  <c r="J211" i="2" a="1"/>
  <c r="K215" i="2" a="1"/>
  <c r="M220" i="2" a="1"/>
  <c r="M212" i="2" a="1"/>
  <c r="H221" i="2" a="1"/>
  <c r="H208" i="2" a="1"/>
  <c r="J216" i="2" a="1"/>
  <c r="J208" i="2" a="1"/>
  <c r="G212" i="2" a="1"/>
  <c r="G203" i="2" a="1"/>
  <c r="G195" i="2" a="1"/>
  <c r="G200" i="2" a="1"/>
  <c r="G202" i="2" a="1"/>
  <c r="G194" i="2" a="1"/>
  <c r="K192" i="2" a="1"/>
  <c r="J203" i="2" a="1"/>
  <c r="J195" i="2" a="1"/>
  <c r="J202" i="2" a="1"/>
  <c r="H205" i="2" a="1"/>
  <c r="H197" i="2" a="1"/>
  <c r="H189" i="2" a="1"/>
  <c r="G198" i="2" a="1"/>
  <c r="M201" i="2" a="1"/>
  <c r="M193" i="2" a="1"/>
  <c r="L202" i="2" a="1"/>
  <c r="L194" i="2" a="1"/>
  <c r="G186" i="2" a="1"/>
  <c r="G178" i="2" a="1"/>
  <c r="G175" i="2" a="1"/>
  <c r="H172" i="2" a="1"/>
  <c r="G185" i="2" a="1"/>
  <c r="G177" i="2" a="1"/>
  <c r="H181" i="2" a="1"/>
  <c r="M177" i="2" a="1"/>
  <c r="H182" i="2" a="1"/>
  <c r="H174" i="2" a="1"/>
  <c r="N177" i="2" a="1"/>
  <c r="J176" i="2" a="1"/>
  <c r="G188" i="2" a="1"/>
  <c r="G180" i="2" a="1"/>
  <c r="G172" i="2" a="1"/>
  <c r="J181" i="2" a="1"/>
  <c r="J173" i="2" a="1"/>
  <c r="G169" i="2" a="1"/>
  <c r="G161" i="2" a="1"/>
  <c r="M171" i="2" a="1"/>
  <c r="M163" i="2" a="1"/>
  <c r="M155" i="2" a="1"/>
  <c r="I159" i="2" a="1"/>
  <c r="N162" i="2" a="1"/>
  <c r="G166" i="2" a="1"/>
  <c r="G158" i="2" a="1"/>
  <c r="M160" i="2" a="1"/>
  <c r="K155" i="2" a="1"/>
  <c r="H166" i="2" a="1"/>
  <c r="N167" i="2" a="1"/>
  <c r="N159" i="2" a="1"/>
  <c r="K164" i="2" a="1"/>
  <c r="M159" i="2" a="1"/>
  <c r="K168" i="2" a="1"/>
  <c r="L235" i="2" a="1"/>
  <c r="L227" i="2" a="1"/>
  <c r="K236" i="2" a="1"/>
  <c r="K228" i="2" a="1"/>
  <c r="N237" i="2" a="1"/>
  <c r="N229" i="2" a="1"/>
  <c r="M238" i="2" a="1"/>
  <c r="N228" i="2" a="1"/>
  <c r="L239" i="2" a="1"/>
  <c r="L231" i="2" a="1"/>
  <c r="L223" i="2" a="1"/>
  <c r="K232" i="2" a="1"/>
  <c r="K224" i="2" a="1"/>
  <c r="N233" i="2" a="1"/>
  <c r="N225" i="2" a="1"/>
  <c r="M234" i="2" a="1"/>
  <c r="M226" i="2" a="1"/>
  <c r="M217" i="2" a="1"/>
  <c r="M209" i="2" a="1"/>
  <c r="N214" i="2" a="1"/>
  <c r="K219" i="2" a="1"/>
  <c r="K211" i="2" a="1"/>
  <c r="N220" i="2" a="1"/>
  <c r="N212" i="2" a="1"/>
  <c r="K217" i="2" a="1"/>
  <c r="K209" i="2" a="1"/>
  <c r="L213" i="2" a="1"/>
  <c r="I220" i="2" a="1"/>
  <c r="I212" i="2" a="1"/>
  <c r="I219" i="2" a="1"/>
  <c r="K222" i="2" a="1"/>
  <c r="K214" i="2" a="1"/>
  <c r="K206" i="2" a="1"/>
  <c r="H210" i="2" a="1"/>
  <c r="L201" i="2" a="1"/>
  <c r="L193" i="2" a="1"/>
  <c r="M196" i="2" a="1"/>
  <c r="L200" i="2" a="1"/>
  <c r="L192" i="2" a="1"/>
  <c r="H190" i="2" a="1"/>
  <c r="K201" i="2" a="1"/>
  <c r="K193" i="2" a="1"/>
  <c r="K200" i="2" a="1"/>
  <c r="M203" i="2" a="1"/>
  <c r="M195" i="2" a="1"/>
  <c r="L204" i="2" a="1"/>
  <c r="L196" i="2" a="1"/>
  <c r="I201" i="2" a="1"/>
  <c r="I193" i="2" a="1"/>
  <c r="H202" i="2" a="1"/>
  <c r="H194" i="2" a="1"/>
  <c r="L184" i="2" a="1"/>
  <c r="L176" i="2" a="1"/>
  <c r="H173" i="2" a="1"/>
  <c r="I185" i="2" a="1"/>
  <c r="L183" i="2" a="1"/>
  <c r="L175" i="2" a="1"/>
  <c r="J177" i="2" a="1"/>
  <c r="M188" i="2" a="1"/>
  <c r="M180" i="2" a="1"/>
  <c r="M172" i="2" a="1"/>
  <c r="K175" i="2" a="1"/>
  <c r="L172" i="2" a="1"/>
  <c r="L186" i="2" a="1"/>
  <c r="L178" i="2" a="1"/>
  <c r="K187" i="2" a="1"/>
  <c r="K179" i="2" a="1"/>
  <c r="H187" i="2" a="1"/>
  <c r="L167" i="2" a="1"/>
  <c r="L159" i="2" a="1"/>
  <c r="I171" i="2" a="1"/>
  <c r="I163" i="2" a="1"/>
  <c r="I155" i="2" a="1"/>
  <c r="G155" i="2" a="1"/>
  <c r="L158" i="2" a="1"/>
  <c r="L164" i="2" a="1"/>
  <c r="L156" i="2" a="1"/>
  <c r="J158" i="2" a="1"/>
  <c r="K170" i="2" a="1"/>
  <c r="I164" i="2" a="1"/>
  <c r="J167" i="2" a="1"/>
  <c r="J159" i="2" a="1"/>
  <c r="H162" i="2" a="1"/>
  <c r="N157" i="2" a="1"/>
  <c r="L166" i="2" a="1"/>
  <c r="L150" i="2" a="1"/>
  <c r="L142" i="2" a="1"/>
  <c r="I145" i="2" a="1"/>
  <c r="H235" i="2" a="1"/>
  <c r="H227" i="2" a="1"/>
  <c r="G236" i="2" a="1"/>
  <c r="G228" i="2" a="1"/>
  <c r="J237" i="2" a="1"/>
  <c r="J229" i="2" a="1"/>
  <c r="N236" i="2" a="1"/>
  <c r="J228" i="2" a="1"/>
  <c r="H239" i="2" a="1"/>
  <c r="H231" i="2" a="1"/>
  <c r="H223" i="2" a="1"/>
  <c r="G232" i="2" a="1"/>
  <c r="G224" i="2" a="1"/>
  <c r="J233" i="2" a="1"/>
  <c r="J225" i="2" a="1"/>
  <c r="I234" i="2" a="1"/>
  <c r="I226" i="2" a="1"/>
  <c r="I217" i="2" a="1"/>
  <c r="I209" i="2" a="1"/>
  <c r="K212" i="2" a="1"/>
  <c r="G219" i="2" a="1"/>
  <c r="G211" i="2" a="1"/>
  <c r="J220" i="2" a="1"/>
  <c r="J212" i="2" a="1"/>
  <c r="G217" i="2" a="1"/>
  <c r="G209" i="2" a="1"/>
  <c r="I211" i="2" a="1"/>
  <c r="N218" i="2" a="1"/>
  <c r="N210" i="2" a="1"/>
  <c r="N217" i="2" a="1"/>
  <c r="G222" i="2" a="1"/>
  <c r="G214" i="2" a="1"/>
  <c r="G206" i="2" a="1"/>
  <c r="I208" i="2" a="1"/>
  <c r="H201" i="2" a="1"/>
  <c r="H193" i="2" a="1"/>
  <c r="J194" i="2" a="1"/>
  <c r="H200" i="2" a="1"/>
  <c r="H192" i="2" a="1"/>
  <c r="N192" i="2" a="1"/>
  <c r="G201" i="2" a="1"/>
  <c r="G193" i="2" a="1"/>
  <c r="H198" i="2" a="1"/>
  <c r="I203" i="2" a="1"/>
  <c r="I195" i="2" a="1"/>
  <c r="H204" i="2" a="1"/>
  <c r="M194" i="2" a="1"/>
  <c r="N199" i="2" a="1"/>
  <c r="N191" i="2" a="1"/>
  <c r="M200" i="2" a="1"/>
  <c r="M192" i="2" a="1"/>
  <c r="H184" i="2" a="1"/>
  <c r="H176" i="2" a="1"/>
  <c r="L188" i="2" a="1"/>
  <c r="K181" i="2" a="1"/>
  <c r="H183" i="2" a="1"/>
  <c r="H175" i="2" a="1"/>
  <c r="H188" i="2" a="1"/>
  <c r="I188" i="2" a="1"/>
  <c r="I180" i="2" a="1"/>
  <c r="I172" i="2" a="1"/>
  <c r="L173" i="2" a="1"/>
  <c r="M185" i="2" a="1"/>
  <c r="H186" i="2" a="1"/>
  <c r="H178" i="2" a="1"/>
  <c r="G187" i="2" a="1"/>
  <c r="G179" i="2" a="1"/>
  <c r="N183" i="2" a="1"/>
  <c r="H167" i="2" a="1"/>
  <c r="H159" i="2" a="1"/>
  <c r="N169" i="2" a="1"/>
  <c r="N161" i="2" a="1"/>
  <c r="L170" i="2" a="1"/>
  <c r="H168" i="2" a="1"/>
  <c r="I156" i="2" a="1"/>
  <c r="H164" i="2" a="1"/>
  <c r="H156" i="2" a="1"/>
  <c r="K171" i="2" a="1"/>
  <c r="M166" i="2" a="1"/>
  <c r="K160" i="2" a="1"/>
  <c r="K165" i="2" a="1"/>
  <c r="K157" i="2" a="1"/>
  <c r="N158" i="2" a="1"/>
  <c r="G170" i="2" a="1"/>
  <c r="J162" i="2" a="1"/>
  <c r="H150" i="2" a="1"/>
  <c r="H142" i="2" a="1"/>
  <c r="G141" i="2" a="1"/>
  <c r="M151" i="2" a="1"/>
  <c r="L149" i="2" a="1"/>
  <c r="L141" i="2" a="1"/>
  <c r="N143" i="2" a="1"/>
  <c r="H153" i="2" a="1"/>
  <c r="G150" i="2" a="1"/>
  <c r="G142" i="2" a="1"/>
  <c r="J143" i="2" a="1"/>
  <c r="G140" i="2" a="1"/>
  <c r="H152" i="2" a="1"/>
  <c r="H144" i="2" a="1"/>
  <c r="G153" i="2" a="1"/>
  <c r="G145" i="2" a="1"/>
  <c r="G147" i="2" a="1"/>
  <c r="G135" i="2" a="1"/>
  <c r="I137" i="2" a="1"/>
  <c r="I129" i="2" a="1"/>
  <c r="I121" i="2" a="1"/>
  <c r="J126" i="2" a="1"/>
  <c r="M134" i="2" a="1"/>
  <c r="N128" i="2" a="1"/>
  <c r="L128" i="2" a="1"/>
  <c r="K131" i="2" a="1"/>
  <c r="G123" i="2" a="1"/>
  <c r="K134" i="2" a="1"/>
  <c r="H135" i="2" a="1"/>
  <c r="H127" i="2" a="1"/>
  <c r="H134" i="2" a="1"/>
  <c r="I124" i="2" a="1"/>
  <c r="I131" i="2" a="1"/>
  <c r="M130" i="2" a="1"/>
  <c r="H115" i="2" a="1"/>
  <c r="H107" i="2" a="1"/>
  <c r="J108" i="2" a="1"/>
  <c r="J107" i="2" a="1"/>
  <c r="G116" i="2" a="1"/>
  <c r="G108" i="2" a="1"/>
  <c r="M110" i="2" a="1"/>
  <c r="J105" i="2" a="1"/>
  <c r="M233" i="2" a="1"/>
  <c r="M225" i="2" a="1"/>
  <c r="L234" i="2" a="1"/>
  <c r="L226" i="2" a="1"/>
  <c r="K235" i="2" a="1"/>
  <c r="K227" i="2" a="1"/>
  <c r="J236" i="2" a="1"/>
  <c r="K226" i="2" a="1"/>
  <c r="M237" i="2" a="1"/>
  <c r="M229" i="2" a="1"/>
  <c r="L238" i="2" a="1"/>
  <c r="L230" i="2" a="1"/>
  <c r="K239" i="2" a="1"/>
  <c r="K231" i="2" a="1"/>
  <c r="K223" i="2" a="1"/>
  <c r="N232" i="2" a="1"/>
  <c r="N224" i="2" a="1"/>
  <c r="N215" i="2" a="1"/>
  <c r="N207" i="2" a="1"/>
  <c r="L210" i="2" a="1"/>
  <c r="L217" i="2" a="1"/>
  <c r="L209" i="2" a="1"/>
  <c r="K218" i="2" a="1"/>
  <c r="K210" i="2" a="1"/>
  <c r="L215" i="2" a="1"/>
  <c r="L207" i="2" a="1"/>
  <c r="J209" i="2" a="1"/>
  <c r="J218" i="2" a="1"/>
  <c r="J210" i="2" a="1"/>
  <c r="G215" i="2" a="1"/>
  <c r="L220" i="2" a="1"/>
  <c r="L212" i="2" a="1"/>
  <c r="N222" i="2" a="1"/>
  <c r="J206" i="2" a="1"/>
  <c r="M199" i="2" a="1"/>
  <c r="M191" i="2" a="1"/>
  <c r="L190" i="2" a="1"/>
  <c r="M198" i="2" a="1"/>
  <c r="M190" i="2" a="1"/>
  <c r="G190" i="2" a="1"/>
  <c r="L199" i="2" a="1"/>
  <c r="L191" i="2" a="1"/>
  <c r="N194" i="2" a="1"/>
  <c r="N201" i="2" a="1"/>
  <c r="N193" i="2" a="1"/>
  <c r="M202" i="2" a="1"/>
  <c r="K190" i="2" a="1"/>
  <c r="J199" i="2" a="1"/>
  <c r="J191" i="2" a="1"/>
  <c r="I200" i="2" a="1"/>
  <c r="I192" i="2" a="1"/>
  <c r="M182" i="2" a="1"/>
  <c r="M174" i="2" a="1"/>
  <c r="I186" i="2" a="1"/>
  <c r="I177" i="2" a="1"/>
  <c r="M181" i="2" a="1"/>
  <c r="M173" i="2" a="1"/>
  <c r="G182" i="2" a="1"/>
  <c r="N186" i="2" a="1"/>
  <c r="N178" i="2" a="1"/>
  <c r="I187" i="2" a="1"/>
  <c r="M186" i="2" a="1"/>
  <c r="J183" i="2" a="1"/>
  <c r="M184" i="2" a="1"/>
  <c r="M176" i="2" a="1"/>
  <c r="L185" i="2" a="1"/>
  <c r="L177" i="2" a="1"/>
  <c r="L179" i="2" a="1"/>
  <c r="M165" i="2" a="1"/>
  <c r="M157" i="2" a="1"/>
  <c r="J169" i="2" a="1"/>
  <c r="J161" i="2" a="1"/>
  <c r="I160" i="2" a="1"/>
  <c r="G162" i="2" a="1"/>
  <c r="M170" i="2" a="1"/>
  <c r="M162" i="2" a="1"/>
  <c r="H170" i="2" a="1"/>
  <c r="M167" i="2" a="1"/>
  <c r="J164" i="2" a="1"/>
  <c r="M156" i="2" a="1"/>
  <c r="G165" i="2" a="1"/>
  <c r="G157" i="2" a="1"/>
  <c r="G156" i="2" a="1"/>
  <c r="L168" i="2" a="1"/>
  <c r="G160" i="2" a="1"/>
  <c r="M148" i="2" a="1"/>
  <c r="M140" i="2" a="1"/>
  <c r="L154" i="2" a="1"/>
  <c r="N149" i="2" a="1"/>
  <c r="H149" i="2" a="1"/>
  <c r="H141" i="2" a="1"/>
  <c r="H139" i="2" a="1"/>
  <c r="J141" i="2" a="1"/>
  <c r="L148" i="2" a="1"/>
  <c r="L140" i="2" a="1"/>
  <c r="K141" i="2" a="1"/>
  <c r="I151" i="2" a="1"/>
  <c r="M150" i="2" a="1"/>
  <c r="M142" i="2" a="1"/>
  <c r="L151" i="2" a="1"/>
  <c r="L143" i="2" a="1"/>
  <c r="M143" i="2" a="1"/>
  <c r="N129" i="2" a="1"/>
  <c r="N135" i="2" a="1"/>
  <c r="N127" i="2" a="1"/>
  <c r="I136" i="2" a="1"/>
  <c r="K124" i="2" a="1"/>
  <c r="I134" i="2" a="1"/>
  <c r="L124" i="2" a="1"/>
  <c r="N121" i="2" a="1"/>
  <c r="G131" i="2" a="1"/>
  <c r="H121" i="2" a="1"/>
  <c r="L132" i="2" a="1"/>
  <c r="M133" i="2" a="1"/>
  <c r="M125" i="2" a="1"/>
  <c r="M132" i="2" a="1"/>
  <c r="N122" i="2" a="1"/>
  <c r="J129" i="2" a="1"/>
  <c r="J128" i="2" a="1"/>
  <c r="M113" i="2" a="1"/>
  <c r="M105" i="2" a="1"/>
  <c r="G106" i="2" a="1"/>
  <c r="G105" i="2" a="1"/>
  <c r="L114" i="2" a="1"/>
  <c r="I233" i="2" a="1"/>
  <c r="I225" i="2" a="1"/>
  <c r="H234" i="2" a="1"/>
  <c r="H226" i="2" a="1"/>
  <c r="G235" i="2" a="1"/>
  <c r="G227" i="2" a="1"/>
  <c r="K234" i="2" a="1"/>
  <c r="L224" i="2" a="1"/>
  <c r="I237" i="2" a="1"/>
  <c r="I229" i="2" a="1"/>
  <c r="H238" i="2" a="1"/>
  <c r="H230" i="2" a="1"/>
  <c r="G239" i="2" a="1"/>
  <c r="G231" i="2" a="1"/>
  <c r="G223" i="2" a="1"/>
  <c r="J232" i="2" a="1"/>
  <c r="J224" i="2" a="1"/>
  <c r="J215" i="2" a="1"/>
  <c r="J207" i="2" a="1"/>
  <c r="M208" i="2" a="1"/>
  <c r="H217" i="2" a="1"/>
  <c r="H209" i="2" a="1"/>
  <c r="G218" i="2" a="1"/>
  <c r="I206" i="2" a="1"/>
  <c r="H215" i="2" a="1"/>
  <c r="H207" i="2" a="1"/>
  <c r="K207" i="2" a="1"/>
  <c r="K216" i="2" a="1"/>
  <c r="K208" i="2" a="1"/>
  <c r="H213" i="2" a="1"/>
  <c r="H220" i="2" a="1"/>
  <c r="H212" i="2" a="1"/>
  <c r="G220" i="2" a="1"/>
  <c r="L208" i="2" a="1"/>
  <c r="I199" i="2" a="1"/>
  <c r="I191" i="2" a="1"/>
  <c r="I194" i="2" a="1"/>
  <c r="I198" i="2" a="1"/>
  <c r="I190" i="2" a="1"/>
  <c r="J190" i="2" a="1"/>
  <c r="H199" i="2" a="1"/>
  <c r="H191" i="2" a="1"/>
  <c r="G192" i="2" a="1"/>
  <c r="J201" i="2" a="1"/>
  <c r="J193" i="2" a="1"/>
  <c r="I202" i="2" a="1"/>
  <c r="K205" i="2" a="1"/>
  <c r="K197" i="2" a="1"/>
  <c r="K189" i="2" a="1"/>
  <c r="N198" i="2" a="1"/>
  <c r="N190" i="2" a="1"/>
  <c r="I182" i="2" a="1"/>
  <c r="I174" i="2" a="1"/>
  <c r="J184" i="2" a="1"/>
  <c r="K173" i="2" a="1"/>
  <c r="I181" i="2" a="1"/>
  <c r="I173" i="2" a="1"/>
  <c r="N176" i="2" a="1"/>
  <c r="J186" i="2" a="1"/>
  <c r="J178" i="2" a="1"/>
  <c r="J185" i="2" a="1"/>
  <c r="N184" i="2" a="1"/>
  <c r="H179" i="2" a="1"/>
  <c r="I184" i="2" a="1"/>
  <c r="I176" i="2" a="1"/>
  <c r="H185" i="2" a="1"/>
  <c r="H177" i="2" a="1"/>
  <c r="N175" i="2" a="1"/>
  <c r="I165" i="2" a="1"/>
  <c r="I157" i="2" a="1"/>
  <c r="K167" i="2" a="1"/>
  <c r="K159" i="2" a="1"/>
  <c r="K156" i="2" a="1"/>
  <c r="L160" i="2" a="1"/>
  <c r="I170" i="2" a="1"/>
  <c r="I162" i="2" a="1"/>
  <c r="I168" i="2" a="1"/>
  <c r="J165" i="2" a="1"/>
  <c r="H160" i="2" a="1"/>
  <c r="L171" i="2" a="1"/>
  <c r="L163" i="2" a="1"/>
  <c r="L155" i="2" a="1"/>
  <c r="G171" i="2" a="1"/>
  <c r="I166" i="2" a="1"/>
  <c r="H158" i="2" a="1"/>
  <c r="I148" i="2" a="1"/>
  <c r="I140" i="2" a="1"/>
  <c r="J150" i="2" a="1"/>
  <c r="L145" i="2" a="1"/>
  <c r="M147" i="2" a="1"/>
  <c r="M139" i="2" a="1"/>
  <c r="M152" i="2" a="1"/>
  <c r="G139" i="2" a="1"/>
  <c r="H148" i="2" a="1"/>
  <c r="H140" i="2" a="1"/>
  <c r="L139" i="2" a="1"/>
  <c r="K147" i="2" a="1"/>
  <c r="I150" i="2" a="1"/>
  <c r="I142" i="2" a="1"/>
  <c r="H151" i="2" a="1"/>
  <c r="H143" i="2" a="1"/>
  <c r="K139" i="2" a="1"/>
  <c r="K127" i="2" a="1"/>
  <c r="J135" i="2" a="1"/>
  <c r="J127" i="2" a="1"/>
  <c r="J134" i="2" a="1"/>
  <c r="G124" i="2" a="1"/>
  <c r="N132" i="2" a="1"/>
  <c r="I122" i="2" a="1"/>
  <c r="L137" i="2" a="1"/>
  <c r="L129" i="2" a="1"/>
  <c r="J132" i="2" a="1"/>
  <c r="I130" i="2" a="1"/>
  <c r="I133" i="2" a="1"/>
  <c r="I125" i="2" a="1"/>
  <c r="I132" i="2" a="1"/>
  <c r="N137" i="2" a="1"/>
  <c r="G127" i="2" a="1"/>
  <c r="H124" i="2" a="1"/>
  <c r="I113" i="2" a="1"/>
  <c r="I105" i="2" a="1"/>
  <c r="H104" i="2" a="1"/>
  <c r="J113" i="2" a="1"/>
  <c r="H114" i="2" a="1"/>
  <c r="H106" i="2" a="1"/>
  <c r="M117" i="2" a="1"/>
  <c r="N239" i="2" a="1"/>
  <c r="N231" i="2" a="1"/>
  <c r="N223" i="2" a="1"/>
  <c r="M232" i="2" a="1"/>
  <c r="M224" i="2" a="1"/>
  <c r="L233" i="2" a="1"/>
  <c r="L225" i="2" a="1"/>
  <c r="G234" i="2" a="1"/>
  <c r="H224" i="2" a="1"/>
  <c r="N235" i="2" a="1"/>
  <c r="N227" i="2" a="1"/>
  <c r="M236" i="2" a="1"/>
  <c r="M228" i="2" a="1"/>
  <c r="L237" i="2" a="1"/>
  <c r="L229" i="2" a="1"/>
  <c r="K238" i="2" a="1"/>
  <c r="K230" i="2" a="1"/>
  <c r="K221" i="2" a="1"/>
  <c r="K213" i="2" a="1"/>
  <c r="J222" i="2" a="1"/>
  <c r="N206" i="2" a="1"/>
  <c r="M215" i="2" a="1"/>
  <c r="M207" i="2" a="1"/>
  <c r="L216" i="2" a="1"/>
  <c r="M221" i="2" a="1"/>
  <c r="M213" i="2" a="1"/>
  <c r="L221" i="2" a="1"/>
  <c r="M206" i="2" a="1"/>
  <c r="G216" i="2" a="1"/>
  <c r="G208" i="2" a="1"/>
  <c r="M211" i="2" a="1"/>
  <c r="M218" i="2" a="1"/>
  <c r="M210" i="2" a="1"/>
  <c r="H218" i="2" a="1"/>
  <c r="N205" i="2" a="1"/>
  <c r="N197" i="2" a="1"/>
  <c r="N189" i="2" a="1"/>
  <c r="N204" i="2" a="1"/>
  <c r="N196" i="2" a="1"/>
  <c r="M204" i="2" a="1"/>
  <c r="M205" i="2" a="1"/>
  <c r="M197" i="2" a="1"/>
  <c r="M189" i="2" a="1"/>
  <c r="H196" i="2" a="1"/>
  <c r="K199" i="2" a="1"/>
  <c r="K191" i="2" a="1"/>
  <c r="N200" i="2" a="1"/>
  <c r="G205" i="2" a="1"/>
  <c r="G197" i="2" a="1"/>
  <c r="G189" i="2" a="1"/>
  <c r="J198" i="2" a="1"/>
  <c r="N188" i="2" a="1"/>
  <c r="N180" i="2" a="1"/>
  <c r="N172" i="2" a="1"/>
  <c r="H180" i="2" a="1"/>
  <c r="N187" i="2" a="1"/>
  <c r="N179" i="2" a="1"/>
  <c r="M187" i="2" a="1"/>
  <c r="G174" i="2" a="1"/>
  <c r="K184" i="2" a="1"/>
  <c r="K176" i="2" a="1"/>
  <c r="G183" i="2" a="1"/>
  <c r="K182" i="2" a="1"/>
  <c r="J175" i="2" a="1"/>
  <c r="N182" i="2" a="1"/>
  <c r="N174" i="2" a="1"/>
  <c r="M183" i="2" a="1"/>
  <c r="M175" i="2" a="1"/>
  <c r="N171" i="2" a="1"/>
  <c r="N163" i="2" a="1"/>
  <c r="N155" i="2" a="1"/>
  <c r="G167" i="2" a="1"/>
  <c r="G159" i="2" a="1"/>
  <c r="H169" i="2" a="1"/>
  <c r="M158" i="2" a="1"/>
  <c r="N168" i="2" a="1"/>
  <c r="N160" i="2" a="1"/>
  <c r="J166" i="2" a="1"/>
  <c r="G163" i="2" a="1"/>
  <c r="I158" i="2" a="1"/>
  <c r="H171" i="2" a="1"/>
  <c r="H163" i="2" a="1"/>
  <c r="H155" i="2" a="1"/>
  <c r="L169" i="2" a="1"/>
  <c r="N164" i="2" a="1"/>
  <c r="N154" i="2" a="1"/>
  <c r="N146" i="2" a="1"/>
  <c r="N138" i="2" a="1"/>
  <c r="M144" i="2" a="1"/>
  <c r="I143" i="2" a="1"/>
  <c r="I147" i="2" a="1"/>
  <c r="I139" i="2" a="1"/>
  <c r="N150" i="2" a="1"/>
  <c r="M154" i="2" a="1"/>
  <c r="M146" i="2" a="1"/>
  <c r="M138" i="2" a="1"/>
  <c r="H154" i="2" a="1"/>
  <c r="H145" i="2" a="1"/>
  <c r="N148" i="2" a="1"/>
  <c r="N140" i="2" a="1"/>
  <c r="M149" i="2" a="1"/>
  <c r="M141" i="2" a="1"/>
  <c r="K136" i="2" a="1"/>
  <c r="H125" i="2" a="1"/>
  <c r="K133" i="2" a="1"/>
  <c r="K125" i="2" a="1"/>
  <c r="K132" i="2" a="1"/>
  <c r="L122" i="2" a="1"/>
  <c r="G130" i="2" a="1"/>
  <c r="M136" i="2" a="1"/>
  <c r="H137" i="2" a="1"/>
  <c r="H129" i="2" a="1"/>
  <c r="K130" i="2" a="1"/>
  <c r="K126" i="2" a="1"/>
  <c r="N131" i="2" a="1"/>
  <c r="N123" i="2" a="1"/>
  <c r="N130" i="2" a="1"/>
  <c r="J137" i="2" a="1"/>
  <c r="L125" i="2" a="1"/>
  <c r="N119" i="2" a="1"/>
  <c r="N111" i="2" a="1"/>
  <c r="M118" i="2" a="1"/>
  <c r="L119" i="2" a="1"/>
  <c r="M120" i="2" a="1"/>
  <c r="M112" i="2" a="1"/>
  <c r="M104" i="2" a="1"/>
  <c r="K113" i="2" a="1"/>
  <c r="J239" i="2" a="1"/>
  <c r="J231" i="2" a="1"/>
  <c r="J223" i="2" a="1"/>
  <c r="I232" i="2" a="1"/>
  <c r="I224" i="2" a="1"/>
  <c r="H233" i="2" a="1"/>
  <c r="H225" i="2" a="1"/>
  <c r="L232" i="2" a="1"/>
  <c r="I238" i="2" a="1"/>
  <c r="J235" i="2" a="1"/>
  <c r="J227" i="2" a="1"/>
  <c r="I236" i="2" a="1"/>
  <c r="I228" i="2" a="1"/>
  <c r="H237" i="2" a="1"/>
  <c r="H229" i="2" a="1"/>
  <c r="G238" i="2" a="1"/>
  <c r="G230" i="2" a="1"/>
  <c r="G221" i="2" a="1"/>
  <c r="G213" i="2" a="1"/>
  <c r="K220" i="2" a="1"/>
  <c r="G210" i="2" a="1"/>
  <c r="I215" i="2" a="1"/>
  <c r="I207" i="2" a="1"/>
  <c r="H216" i="2" a="1"/>
  <c r="I221" i="2" a="1"/>
  <c r="I213" i="2" a="1"/>
  <c r="M219" i="2" a="1"/>
  <c r="L222" i="2" a="1"/>
  <c r="L214" i="2" a="1"/>
  <c r="L206" i="2" a="1"/>
  <c r="N209" i="2" a="1"/>
  <c r="I218" i="2" a="1"/>
  <c r="I210" i="2" a="1"/>
  <c r="I216" i="2" a="1"/>
  <c r="J205" i="2" a="1"/>
  <c r="J197" i="2" a="1"/>
  <c r="J189" i="2" a="1"/>
  <c r="J204" i="2" a="1"/>
  <c r="J196" i="2" a="1"/>
  <c r="L198" i="2" a="1"/>
  <c r="I205" i="2" a="1"/>
  <c r="I197" i="2" a="1"/>
  <c r="I189" i="2" a="1"/>
  <c r="J192" i="2" a="1"/>
  <c r="G199" i="2" a="1"/>
  <c r="G191" i="2" a="1"/>
  <c r="J200" i="2" a="1"/>
  <c r="L203" i="2" a="1"/>
  <c r="L195" i="2" a="1"/>
  <c r="K204" i="2" a="1"/>
  <c r="K196" i="2" a="1"/>
  <c r="J188" i="2" a="1"/>
  <c r="J180" i="2" a="1"/>
  <c r="J172" i="2" a="1"/>
  <c r="I178" i="2" a="1"/>
  <c r="J187" i="2" a="1"/>
  <c r="J179" i="2" a="1"/>
  <c r="N185" i="2" a="1"/>
  <c r="L187" i="2" a="1"/>
  <c r="G184" i="2" a="1"/>
  <c r="G176" i="2" a="1"/>
  <c r="L181" i="2" a="1"/>
  <c r="L180" i="2" a="1"/>
  <c r="G173" i="2" a="1"/>
  <c r="J182" i="2" a="1"/>
  <c r="J174" i="2" a="1"/>
  <c r="I183" i="2" a="1"/>
  <c r="I175" i="2" a="1"/>
  <c r="J171" i="2" a="1"/>
  <c r="J163" i="2" a="1"/>
  <c r="J155" i="2" a="1"/>
  <c r="L165" i="2" a="1"/>
  <c r="L157" i="2" a="1"/>
  <c r="N165" i="2" a="1"/>
  <c r="G168" i="2" a="1"/>
  <c r="J168" i="2" a="1"/>
  <c r="J160" i="2" a="1"/>
  <c r="G164" i="2" a="1"/>
  <c r="H161" i="2" a="1"/>
  <c r="J156" i="2" a="1"/>
  <c r="M169" i="2" a="1"/>
  <c r="M161" i="2" a="1"/>
  <c r="M168" i="2" a="1"/>
  <c r="I167" i="2" a="1"/>
  <c r="K162" i="2" a="1"/>
  <c r="J154" i="2" a="1"/>
  <c r="J146" i="2" a="1"/>
  <c r="J138" i="2" a="1"/>
  <c r="J142" i="2" a="1"/>
  <c r="N153" i="2" a="1"/>
  <c r="N145" i="2" a="1"/>
  <c r="J151" i="2" a="1"/>
  <c r="K148" i="2" a="1"/>
  <c r="I154" i="2" a="1"/>
  <c r="I146" i="2" a="1"/>
  <c r="I138" i="2" a="1"/>
  <c r="I152" i="2" a="1"/>
  <c r="N141" i="2" a="1"/>
  <c r="J148" i="2" a="1"/>
  <c r="J140" i="2" a="1"/>
  <c r="I149" i="2" a="1"/>
  <c r="I141" i="2" a="1"/>
  <c r="L134" i="2" a="1"/>
  <c r="I123" i="2" a="1"/>
  <c r="G133" i="2" a="1"/>
  <c r="G125" i="2" a="1"/>
  <c r="L130" i="2" a="1"/>
  <c r="H122" i="2" a="1"/>
  <c r="I126" i="2" a="1"/>
  <c r="N134" i="2" a="1"/>
  <c r="M135" i="2" a="1"/>
  <c r="M127" i="2" a="1"/>
  <c r="H128" i="2" a="1"/>
  <c r="M122" i="2" a="1"/>
  <c r="J131" i="2" a="1"/>
  <c r="J123" i="2" a="1"/>
  <c r="K128" i="2" a="1"/>
  <c r="K135" i="2" a="1"/>
  <c r="M123" i="2" a="1"/>
  <c r="J119" i="2" a="1"/>
  <c r="J111" i="2" a="1"/>
  <c r="I118" i="2" a="1"/>
  <c r="I117" i="2" a="1"/>
  <c r="I120" i="2" a="1"/>
  <c r="I112" i="2" a="1"/>
  <c r="I104" i="2" a="1"/>
  <c r="L111" i="2" a="1"/>
  <c r="K237" i="2" a="1"/>
  <c r="K229" i="2" a="1"/>
  <c r="K233" i="2" a="1"/>
  <c r="L219" i="2" a="1"/>
  <c r="N211" i="2" a="1"/>
  <c r="J214" i="2" a="1"/>
  <c r="N195" i="2" a="1"/>
  <c r="G204" i="2" a="1"/>
  <c r="K183" i="2" a="1"/>
  <c r="K172" i="2" a="1"/>
  <c r="L161" i="2" a="1"/>
  <c r="I161" i="2" a="1"/>
  <c r="M153" i="2" a="1"/>
  <c r="J145" i="2" a="1"/>
  <c r="H138" i="2" a="1"/>
  <c r="N151" i="2" a="1"/>
  <c r="K146" i="2" a="1"/>
  <c r="K145" i="2" a="1"/>
  <c r="G126" i="2" a="1"/>
  <c r="H130" i="2" a="1"/>
  <c r="H132" i="2" a="1"/>
  <c r="N125" i="2" a="1"/>
  <c r="K129" i="2" a="1"/>
  <c r="M124" i="2" a="1"/>
  <c r="G117" i="2" a="1"/>
  <c r="J115" i="2" a="1"/>
  <c r="K108" i="2" a="1"/>
  <c r="M107" i="2" a="1"/>
  <c r="I119" i="2" a="1"/>
  <c r="I111" i="2" a="1"/>
  <c r="J116" i="2" a="1"/>
  <c r="K105" i="2" a="1"/>
  <c r="I106" i="2" a="1"/>
  <c r="J114" i="2" a="1"/>
  <c r="J106" i="2" a="1"/>
  <c r="I115" i="2" a="1"/>
  <c r="J112" i="2" a="1"/>
  <c r="J100" i="2" a="1"/>
  <c r="J92" i="2" a="1"/>
  <c r="I101" i="2" a="1"/>
  <c r="I93" i="2" a="1"/>
  <c r="H102" i="2" a="1"/>
  <c r="H94" i="2" a="1"/>
  <c r="G103" i="2" a="1"/>
  <c r="G95" i="2" a="1"/>
  <c r="G87" i="2" a="1"/>
  <c r="J96" i="2" a="1"/>
  <c r="J88" i="2" a="1"/>
  <c r="I97" i="2" a="1"/>
  <c r="I89" i="2" a="1"/>
  <c r="L89" i="2" a="1"/>
  <c r="M103" i="2" a="1"/>
  <c r="I95" i="2" a="1"/>
  <c r="K99" i="2" a="1"/>
  <c r="I72" i="2" a="1"/>
  <c r="K82" i="2" a="1"/>
  <c r="K74" i="2" a="1"/>
  <c r="N75" i="2" a="1"/>
  <c r="I84" i="2" a="1"/>
  <c r="J74" i="2" a="1"/>
  <c r="K79" i="2" a="1"/>
  <c r="J83" i="2" a="1"/>
  <c r="G72" i="2" a="1"/>
  <c r="L84" i="2" a="1"/>
  <c r="L76" i="2" a="1"/>
  <c r="K85" i="2" a="1"/>
  <c r="K77" i="2" a="1"/>
  <c r="J86" i="2" a="1"/>
  <c r="L74" i="2" a="1"/>
  <c r="M79" i="2" a="1"/>
  <c r="I71" i="2" a="1"/>
  <c r="H64" i="2" a="1"/>
  <c r="H56" i="2" a="1"/>
  <c r="M59" i="2" a="1"/>
  <c r="N56" i="2" a="1"/>
  <c r="K68" i="2" a="1"/>
  <c r="N69" i="2" a="1"/>
  <c r="G65" i="2" a="1"/>
  <c r="G57" i="2" a="1"/>
  <c r="K63" i="2" a="1"/>
  <c r="N64" i="2" a="1"/>
  <c r="G61" i="2" a="1"/>
  <c r="K64" i="2" a="1"/>
  <c r="K56" i="2" a="1"/>
  <c r="I65" i="2" a="1"/>
  <c r="L58" i="2" a="1"/>
  <c r="I63" i="2" a="1"/>
  <c r="K59" i="2" a="1"/>
  <c r="K48" i="2" a="1"/>
  <c r="K40" i="2" a="1"/>
  <c r="N49" i="2" a="1"/>
  <c r="N41" i="2" a="1"/>
  <c r="M50" i="2" a="1"/>
  <c r="M42" i="2" a="1"/>
  <c r="K52" i="2" a="1"/>
  <c r="K44" i="2" a="1"/>
  <c r="K36" i="2" a="1"/>
  <c r="N45" i="2" a="1"/>
  <c r="N37" i="2" a="1"/>
  <c r="M46" i="2" a="1"/>
  <c r="M38" i="2" a="1"/>
  <c r="J51" i="2" a="1"/>
  <c r="L43" i="2" a="1"/>
  <c r="H43" i="2" a="1"/>
  <c r="G41" i="2" a="1"/>
  <c r="H31" i="2" a="1"/>
  <c r="H23" i="2" a="1"/>
  <c r="K32" i="2" a="1"/>
  <c r="K24" i="2" a="1"/>
  <c r="M35" i="2" a="1"/>
  <c r="M27" i="2" a="1"/>
  <c r="M19" i="2" a="1"/>
  <c r="L28" i="2" a="1"/>
  <c r="N22" i="2" a="1"/>
  <c r="K29" i="2" a="1"/>
  <c r="K21" i="2" a="1"/>
  <c r="N30" i="2" a="1"/>
  <c r="J22" i="2" a="1"/>
  <c r="J29" i="2" a="1"/>
  <c r="J21" i="2" a="1"/>
  <c r="I30" i="2" a="1"/>
  <c r="I22" i="2" a="1"/>
  <c r="N8" i="2" a="1"/>
  <c r="N6" i="2" a="1"/>
  <c r="M3" i="2" a="1"/>
  <c r="M14" i="2" a="1"/>
  <c r="L13" i="2" a="1"/>
  <c r="N238" i="2" a="1"/>
  <c r="K225" i="2" a="1"/>
  <c r="L211" i="2" a="1"/>
  <c r="J217" i="2" a="1"/>
  <c r="K203" i="2" a="1"/>
  <c r="I204" i="2" a="1"/>
  <c r="G196" i="2" a="1"/>
  <c r="G181" i="2" a="1"/>
  <c r="N181" i="2" a="1"/>
  <c r="M164" i="2" a="1"/>
  <c r="N166" i="2" a="1"/>
  <c r="G149" i="2" a="1"/>
  <c r="K143" i="2" a="1"/>
  <c r="N152" i="2" a="1"/>
  <c r="H147" i="2" a="1"/>
  <c r="G146" i="2" a="1"/>
  <c r="N139" i="2" a="1"/>
  <c r="M137" i="2" a="1"/>
  <c r="I128" i="2" a="1"/>
  <c r="G132" i="2" a="1"/>
  <c r="J125" i="2" a="1"/>
  <c r="G129" i="2" a="1"/>
  <c r="L133" i="2" a="1"/>
  <c r="L115" i="2" a="1"/>
  <c r="G113" i="2" a="1"/>
  <c r="L106" i="2" a="1"/>
  <c r="N120" i="2" a="1"/>
  <c r="N117" i="2" a="1"/>
  <c r="N109" i="2" a="1"/>
  <c r="H112" i="2" a="1"/>
  <c r="G111" i="2" a="1"/>
  <c r="K120" i="2" a="1"/>
  <c r="K112" i="2" a="1"/>
  <c r="K104" i="2" a="1"/>
  <c r="N113" i="2" a="1"/>
  <c r="L108" i="2" a="1"/>
  <c r="K98" i="2" a="1"/>
  <c r="K90" i="2" a="1"/>
  <c r="N99" i="2" a="1"/>
  <c r="N91" i="2" a="1"/>
  <c r="M100" i="2" a="1"/>
  <c r="M92" i="2" a="1"/>
  <c r="L101" i="2" a="1"/>
  <c r="L93" i="2" a="1"/>
  <c r="K102" i="2" a="1"/>
  <c r="K94" i="2" a="1"/>
  <c r="N103" i="2" a="1"/>
  <c r="N95" i="2" a="1"/>
  <c r="N87" i="2" a="1"/>
  <c r="N94" i="2" a="1"/>
  <c r="L98" i="2" a="1"/>
  <c r="N93" i="2" a="1"/>
  <c r="I96" i="2" a="1"/>
  <c r="J70" i="2" a="1"/>
  <c r="G82" i="2" a="1"/>
  <c r="G74" i="2" a="1"/>
  <c r="J75" i="2" a="1"/>
  <c r="N82" i="2" a="1"/>
  <c r="K72" i="2" a="1"/>
  <c r="L77" i="2" a="1"/>
  <c r="K81" i="2" a="1"/>
  <c r="H70" i="2" a="1"/>
  <c r="H84" i="2" a="1"/>
  <c r="H76" i="2" a="1"/>
  <c r="G85" i="2" a="1"/>
  <c r="G77" i="2" a="1"/>
  <c r="K84" i="2" a="1"/>
  <c r="M72" i="2" a="1"/>
  <c r="M71" i="2" a="1"/>
  <c r="H73" i="2" a="1"/>
  <c r="M62" i="2" a="1"/>
  <c r="M54" i="2" a="1"/>
  <c r="N57" i="2" a="1"/>
  <c r="K54" i="2" a="1"/>
  <c r="L66" i="2" a="1"/>
  <c r="K67" i="2" a="1"/>
  <c r="L63" i="2" a="1"/>
  <c r="L55" i="2" a="1"/>
  <c r="H61" i="2" a="1"/>
  <c r="G62" i="2" a="1"/>
  <c r="M57" i="2" a="1"/>
  <c r="G64" i="2" a="1"/>
  <c r="G56" i="2" a="1"/>
  <c r="K61" i="2" a="1"/>
  <c r="M56" i="2" a="1"/>
  <c r="G59" i="2" a="1"/>
  <c r="I55" i="2" a="1"/>
  <c r="G48" i="2" a="1"/>
  <c r="G40" i="2" a="1"/>
  <c r="J49" i="2" a="1"/>
  <c r="J41" i="2" a="1"/>
  <c r="I50" i="2" a="1"/>
  <c r="I42" i="2" a="1"/>
  <c r="G52" i="2" a="1"/>
  <c r="G44" i="2" a="1"/>
  <c r="G36" i="2" a="1"/>
  <c r="J45" i="2" a="1"/>
  <c r="J37" i="2" a="1"/>
  <c r="I46" i="2" a="1"/>
  <c r="I38" i="2" a="1"/>
  <c r="M49" i="2" a="1"/>
  <c r="M41" i="2" a="1"/>
  <c r="K41" i="2" a="1"/>
  <c r="L39" i="2" a="1"/>
  <c r="M29" i="2" a="1"/>
  <c r="M21" i="2" a="1"/>
  <c r="G32" i="2" a="1"/>
  <c r="G24" i="2" a="1"/>
  <c r="I35" i="2" a="1"/>
  <c r="I27" i="2" a="1"/>
  <c r="I19" i="2" a="1"/>
  <c r="H28" i="2" a="1"/>
  <c r="G22" i="2" a="1"/>
  <c r="G29" i="2" a="1"/>
  <c r="G21" i="2" a="1"/>
  <c r="J30" i="2" a="1"/>
  <c r="K35" i="2" a="1"/>
  <c r="K27" i="2" a="1"/>
  <c r="K19" i="2" a="1"/>
  <c r="N28" i="2" a="1"/>
  <c r="N20" i="2" a="1"/>
  <c r="N12" i="2" a="1"/>
  <c r="N14" i="2" a="1"/>
  <c r="M5" i="2" a="1"/>
  <c r="M18" i="2" a="1"/>
  <c r="L17" i="2" a="1"/>
  <c r="L11" i="2" a="1"/>
  <c r="N230" i="2" a="1"/>
  <c r="N234" i="2" a="1"/>
  <c r="L218" i="2" a="1"/>
  <c r="H222" i="2" a="1"/>
  <c r="K195" i="2" a="1"/>
  <c r="L205" i="2" a="1"/>
  <c r="K186" i="2" a="1"/>
  <c r="L182" i="2" a="1"/>
  <c r="N173" i="2" a="1"/>
  <c r="K166" i="2" a="1"/>
  <c r="K163" i="2" a="1"/>
  <c r="K140" i="2" a="1"/>
  <c r="G143" i="2" a="1"/>
  <c r="J152" i="2" a="1"/>
  <c r="G148" i="2" a="1"/>
  <c r="L144" i="2" a="1"/>
  <c r="J139" i="2" a="1"/>
  <c r="L131" i="2" a="1"/>
  <c r="N126" i="2" a="1"/>
  <c r="M128" i="2" a="1"/>
  <c r="M126" i="2" a="1"/>
  <c r="L127" i="2" a="1"/>
  <c r="H133" i="2" a="1"/>
  <c r="K109" i="2" a="1"/>
  <c r="H111" i="2" a="1"/>
  <c r="H120" i="2" a="1"/>
  <c r="G118" i="2" a="1"/>
  <c r="J117" i="2" a="1"/>
  <c r="J109" i="2" a="1"/>
  <c r="N108" i="2" a="1"/>
  <c r="I107" i="2" a="1"/>
  <c r="G120" i="2" a="1"/>
  <c r="G112" i="2" a="1"/>
  <c r="G104" i="2" a="1"/>
  <c r="K111" i="2" a="1"/>
  <c r="N104" i="2" a="1"/>
  <c r="G98" i="2" a="1"/>
  <c r="G90" i="2" a="1"/>
  <c r="J99" i="2" a="1"/>
  <c r="J91" i="2" a="1"/>
  <c r="I100" i="2" a="1"/>
  <c r="I92" i="2" a="1"/>
  <c r="H101" i="2" a="1"/>
  <c r="H93" i="2" a="1"/>
  <c r="G102" i="2" a="1"/>
  <c r="G94" i="2" a="1"/>
  <c r="J103" i="2" a="1"/>
  <c r="J95" i="2" a="1"/>
  <c r="J87" i="2" a="1"/>
  <c r="K100" i="2" a="1"/>
  <c r="H97" i="2" a="1"/>
  <c r="H90" i="2" a="1"/>
  <c r="J93" i="2" a="1"/>
  <c r="J85" i="2" a="1"/>
  <c r="L80" i="2" a="1"/>
  <c r="L72" i="2" a="1"/>
  <c r="K73" i="2" a="1"/>
  <c r="J82" i="2" a="1"/>
  <c r="L70" i="2" a="1"/>
  <c r="M75" i="2" a="1"/>
  <c r="G81" i="2" a="1"/>
  <c r="J81" i="2" a="1"/>
  <c r="M82" i="2" a="1"/>
  <c r="M74" i="2" a="1"/>
  <c r="L83" i="2" a="1"/>
  <c r="L75" i="2" a="1"/>
  <c r="G84" i="2" a="1"/>
  <c r="N70" i="2" a="1"/>
  <c r="L73" i="2" a="1"/>
  <c r="G75" i="2" a="1"/>
  <c r="I62" i="2" a="1"/>
  <c r="I54" i="2" a="1"/>
  <c r="K55" i="2" a="1"/>
  <c r="L67" i="2" a="1"/>
  <c r="M64" i="2" a="1"/>
  <c r="L65" i="2" a="1"/>
  <c r="H63" i="2" a="1"/>
  <c r="H55" i="2" a="1"/>
  <c r="I59" i="2" a="1"/>
  <c r="H60" i="2" a="1"/>
  <c r="J55" i="2" a="1"/>
  <c r="L62" i="2" a="1"/>
  <c r="L54" i="2" a="1"/>
  <c r="L59" i="2" a="1"/>
  <c r="N54" i="2" a="1"/>
  <c r="J61" i="2" a="1"/>
  <c r="L57" i="2" a="1"/>
  <c r="L46" i="2" a="1"/>
  <c r="L38" i="2" a="1"/>
  <c r="K47" i="2" a="1"/>
  <c r="K39" i="2" a="1"/>
  <c r="N48" i="2" a="1"/>
  <c r="N40" i="2" a="1"/>
  <c r="L50" i="2" a="1"/>
  <c r="L42" i="2" a="1"/>
  <c r="K51" i="2" a="1"/>
  <c r="K43" i="2" a="1"/>
  <c r="N52" i="2" a="1"/>
  <c r="N44" i="2" a="1"/>
  <c r="N36" i="2" a="1"/>
  <c r="J43" i="2" a="1"/>
  <c r="M37" i="2" a="1"/>
  <c r="I49" i="2" a="1"/>
  <c r="J47" i="2" a="1"/>
  <c r="I29" i="2" a="1"/>
  <c r="I21" i="2" a="1"/>
  <c r="L30" i="2" a="1"/>
  <c r="L22" i="2" a="1"/>
  <c r="N33" i="2" a="1"/>
  <c r="N25" i="2" a="1"/>
  <c r="M34" i="2" a="1"/>
  <c r="M26" i="2" a="1"/>
  <c r="L35" i="2" a="1"/>
  <c r="L27" i="2" a="1"/>
  <c r="L19" i="2" a="1"/>
  <c r="K28" i="2" a="1"/>
  <c r="G35" i="2" a="1"/>
  <c r="G27" i="2" a="1"/>
  <c r="G19" i="2" a="1"/>
  <c r="J28" i="2" a="1"/>
  <c r="J20" i="2" a="1"/>
  <c r="M239" i="2" a="1"/>
  <c r="N226" i="2" a="1"/>
  <c r="N221" i="2" a="1"/>
  <c r="H214" i="2" a="1"/>
  <c r="N202" i="2" a="1"/>
  <c r="L197" i="2" a="1"/>
  <c r="K178" i="2" a="1"/>
  <c r="L174" i="2" a="1"/>
  <c r="K169" i="2" a="1"/>
  <c r="K158" i="2" a="1"/>
  <c r="N156" i="2" a="1"/>
  <c r="L138" i="2" a="1"/>
  <c r="K149" i="2" a="1"/>
  <c r="K150" i="2" a="1"/>
  <c r="H146" i="2" a="1"/>
  <c r="K138" i="2" a="1"/>
  <c r="J149" i="2" a="1"/>
  <c r="H131" i="2" a="1"/>
  <c r="K123" i="2" a="1"/>
  <c r="H136" i="2" a="1"/>
  <c r="N124" i="2" a="1"/>
  <c r="K121" i="2" a="1"/>
  <c r="M131" i="2" a="1"/>
  <c r="G109" i="2" a="1"/>
  <c r="N118" i="2" a="1"/>
  <c r="G114" i="2" a="1"/>
  <c r="M114" i="2" a="1"/>
  <c r="K115" i="2" a="1"/>
  <c r="K107" i="2" a="1"/>
  <c r="L104" i="2" a="1"/>
  <c r="K118" i="2" a="1"/>
  <c r="L118" i="2" a="1"/>
  <c r="L110" i="2" a="1"/>
  <c r="K119" i="2" a="1"/>
  <c r="H109" i="2" a="1"/>
  <c r="N102" i="2" a="1"/>
  <c r="L96" i="2" a="1"/>
  <c r="L88" i="2" a="1"/>
  <c r="K97" i="2" a="1"/>
  <c r="K89" i="2" a="1"/>
  <c r="N98" i="2" a="1"/>
  <c r="N90" i="2" a="1"/>
  <c r="M99" i="2" a="1"/>
  <c r="M91" i="2" a="1"/>
  <c r="L100" i="2" a="1"/>
  <c r="L92" i="2" a="1"/>
  <c r="K101" i="2" a="1"/>
  <c r="K93" i="2" a="1"/>
  <c r="I103" i="2" a="1"/>
  <c r="K92" i="2" a="1"/>
  <c r="L90" i="2" a="1"/>
  <c r="M88" i="2" a="1"/>
  <c r="N86" i="2" a="1"/>
  <c r="L81" i="2" a="1"/>
  <c r="H80" i="2" a="1"/>
  <c r="H72" i="2" a="1"/>
  <c r="L71" i="2" a="1"/>
  <c r="K80" i="2" a="1"/>
  <c r="L85" i="2" a="1"/>
  <c r="N73" i="2" a="1"/>
  <c r="L79" i="2" a="1"/>
  <c r="G79" i="2" a="1"/>
  <c r="I82" i="2" a="1"/>
  <c r="I74" i="2" a="1"/>
  <c r="H83" i="2" a="1"/>
  <c r="H75" i="2" a="1"/>
  <c r="L82" i="2" a="1"/>
  <c r="N85" i="2" a="1"/>
  <c r="G71" i="2" a="1"/>
  <c r="N68" i="2" a="1"/>
  <c r="N60" i="2" a="1"/>
  <c r="H69" i="2" a="1"/>
  <c r="L53" i="2" a="1"/>
  <c r="H67" i="2" a="1"/>
  <c r="J62" i="2" a="1"/>
  <c r="M69" i="2" a="1"/>
  <c r="M61" i="2" a="1"/>
  <c r="M53" i="2" a="1"/>
  <c r="J57" i="2" a="1"/>
  <c r="I58" i="2" a="1"/>
  <c r="K53" i="2" a="1"/>
  <c r="H62" i="2" a="1"/>
  <c r="H54" i="2" a="1"/>
  <c r="I57" i="2" a="1"/>
  <c r="G67" i="2" a="1"/>
  <c r="H57" i="2" a="1"/>
  <c r="N51" i="2" a="1"/>
  <c r="H46" i="2" a="1"/>
  <c r="H38" i="2" a="1"/>
  <c r="G47" i="2" a="1"/>
  <c r="G39" i="2" a="1"/>
  <c r="J48" i="2" a="1"/>
  <c r="J40" i="2" a="1"/>
  <c r="H50" i="2" a="1"/>
  <c r="H42" i="2" a="1"/>
  <c r="G51" i="2" a="1"/>
  <c r="G43" i="2" a="1"/>
  <c r="J52" i="2" a="1"/>
  <c r="J44" i="2" a="1"/>
  <c r="J36" i="2" a="1"/>
  <c r="M45" i="2" a="1"/>
  <c r="L51" i="2" a="1"/>
  <c r="N47" i="2" a="1"/>
  <c r="N35" i="2" a="1"/>
  <c r="N27" i="2" a="1"/>
  <c r="N19" i="2" a="1"/>
  <c r="H30" i="2" a="1"/>
  <c r="H22" i="2" a="1"/>
  <c r="J33" i="2" a="1"/>
  <c r="J25" i="2" a="1"/>
  <c r="I34" i="2" a="1"/>
  <c r="I26" i="2" a="1"/>
  <c r="H35" i="2" a="1"/>
  <c r="H27" i="2" a="1"/>
  <c r="H19" i="2" a="1"/>
  <c r="G28" i="2" a="1"/>
  <c r="L33" i="2" a="1"/>
  <c r="L25" i="2" a="1"/>
  <c r="K34" i="2" a="1"/>
  <c r="K26" i="2" a="1"/>
  <c r="N3" i="2" a="1"/>
  <c r="N13" i="2" a="1"/>
  <c r="M8" i="2" a="1"/>
  <c r="M13" i="2" a="1"/>
  <c r="L4" i="2" a="1"/>
  <c r="L6" i="2" a="1"/>
  <c r="M231" i="2" a="1"/>
  <c r="M235" i="2" a="1"/>
  <c r="N213" i="2" a="1"/>
  <c r="H206" i="2" a="1"/>
  <c r="K202" i="2" a="1"/>
  <c r="L189" i="2" a="1"/>
  <c r="M179" i="2" a="1"/>
  <c r="I179" i="2" a="1"/>
  <c r="K161" i="2" a="1"/>
  <c r="L162" i="2" a="1"/>
  <c r="K152" i="2" a="1"/>
  <c r="L153" i="2" a="1"/>
  <c r="L147" i="2" a="1"/>
  <c r="N144" i="2" a="1"/>
  <c r="N142" i="2" a="1"/>
  <c r="G138" i="2" a="1"/>
  <c r="J130" i="2" a="1"/>
  <c r="M129" i="2" a="1"/>
  <c r="L121" i="2" a="1"/>
  <c r="I135" i="2" a="1"/>
  <c r="K122" i="2" a="1"/>
  <c r="G121" i="2" a="1"/>
  <c r="J121" i="2" a="1"/>
  <c r="L107" i="2" a="1"/>
  <c r="J118" i="2" a="1"/>
  <c r="L112" i="2" a="1"/>
  <c r="G110" i="2" a="1"/>
  <c r="G115" i="2" a="1"/>
  <c r="G107" i="2" a="1"/>
  <c r="H119" i="2" a="1"/>
  <c r="H116" i="2" a="1"/>
  <c r="H118" i="2" a="1"/>
  <c r="H110" i="2" a="1"/>
  <c r="G119" i="2" a="1"/>
  <c r="N105" i="2" a="1"/>
  <c r="J102" i="2" a="1"/>
  <c r="H96" i="2" a="1"/>
  <c r="H88" i="2" a="1"/>
  <c r="G97" i="2" a="1"/>
  <c r="G89" i="2" a="1"/>
  <c r="J98" i="2" a="1"/>
  <c r="J90" i="2" a="1"/>
  <c r="I99" i="2" a="1"/>
  <c r="I91" i="2" a="1"/>
  <c r="H100" i="2" a="1"/>
  <c r="H92" i="2" a="1"/>
  <c r="G101" i="2" a="1"/>
  <c r="G93" i="2" a="1"/>
  <c r="G99" i="2" a="1"/>
  <c r="M95" i="2" a="1"/>
  <c r="M87" i="2" a="1"/>
  <c r="I87" i="2" a="1"/>
  <c r="H82" i="2" a="1"/>
  <c r="M86" i="2" a="1"/>
  <c r="M78" i="2" a="1"/>
  <c r="M70" i="2" a="1"/>
  <c r="H71" i="2" a="1"/>
  <c r="G80" i="2" a="1"/>
  <c r="H85" i="2" a="1"/>
  <c r="J73" i="2" a="1"/>
  <c r="I77" i="2" a="1"/>
  <c r="H77" i="2" a="1"/>
  <c r="N80" i="2" a="1"/>
  <c r="N72" i="2" a="1"/>
  <c r="M81" i="2" a="1"/>
  <c r="M73" i="2" a="1"/>
  <c r="M80" i="2" a="1"/>
  <c r="K83" i="2" a="1"/>
  <c r="K75" i="2" a="1"/>
  <c r="J68" i="2" a="1"/>
  <c r="J60" i="2" a="1"/>
  <c r="M67" i="2" a="1"/>
  <c r="L68" i="2" a="1"/>
  <c r="N63" i="2" a="1"/>
  <c r="K60" i="2" a="1"/>
  <c r="I69" i="2" a="1"/>
  <c r="I61" i="2" a="1"/>
  <c r="I53" i="2" a="1"/>
  <c r="G55" i="2" a="1"/>
  <c r="G54" i="2" a="1"/>
  <c r="M68" i="2" a="1"/>
  <c r="M60" i="2" a="1"/>
  <c r="J64" i="2" a="1"/>
  <c r="G68" i="2" a="1"/>
  <c r="M63" i="2" a="1"/>
  <c r="N61" i="2" a="1"/>
  <c r="M52" i="2" a="1"/>
  <c r="M44" i="2" a="1"/>
  <c r="M36" i="2" a="1"/>
  <c r="L45" i="2" a="1"/>
  <c r="L37" i="2" a="1"/>
  <c r="K46" i="2" a="1"/>
  <c r="K38" i="2" a="1"/>
  <c r="M48" i="2" a="1"/>
  <c r="M40" i="2" a="1"/>
  <c r="L49" i="2" a="1"/>
  <c r="L41" i="2" a="1"/>
  <c r="K50" i="2" a="1"/>
  <c r="K42" i="2" a="1"/>
  <c r="H47" i="2" a="1"/>
  <c r="H232" i="2" a="1"/>
  <c r="L236" i="2" a="1"/>
  <c r="M214" i="2" a="1"/>
  <c r="N216" i="2" a="1"/>
  <c r="I196" i="2" a="1"/>
  <c r="H203" i="2" a="1"/>
  <c r="K185" i="2" a="1"/>
  <c r="K188" i="2" a="1"/>
  <c r="H165" i="2" a="1"/>
  <c r="N170" i="2" a="1"/>
  <c r="K144" i="2" a="1"/>
  <c r="K151" i="2" a="1"/>
  <c r="L146" i="2" a="1"/>
  <c r="K142" i="2" a="1"/>
  <c r="G154" i="2" a="1"/>
  <c r="N147" i="2" a="1"/>
  <c r="J122" i="2" a="1"/>
  <c r="H123" i="2" a="1"/>
  <c r="J124" i="2" a="1"/>
  <c r="J133" i="2" a="1"/>
  <c r="G137" i="2" a="1"/>
  <c r="L126" i="2" a="1"/>
  <c r="G134" i="2" a="1"/>
  <c r="K114" i="2" a="1"/>
  <c r="N110" i="2" a="1"/>
  <c r="I109" i="2" a="1"/>
  <c r="J104" i="2" a="1"/>
  <c r="H113" i="2" a="1"/>
  <c r="H105" i="2" a="1"/>
  <c r="M109" i="2" a="1"/>
  <c r="K110" i="2" a="1"/>
  <c r="I116" i="2" a="1"/>
  <c r="I108" i="2" a="1"/>
  <c r="H117" i="2" a="1"/>
  <c r="L116" i="2" a="1"/>
  <c r="I102" i="2" a="1"/>
  <c r="I94" i="2" a="1"/>
  <c r="H103" i="2" a="1"/>
  <c r="H95" i="2" a="1"/>
  <c r="H87" i="2" a="1"/>
  <c r="G96" i="2" a="1"/>
  <c r="G88" i="2" a="1"/>
  <c r="J97" i="2" a="1"/>
  <c r="J89" i="2" a="1"/>
  <c r="I98" i="2" a="1"/>
  <c r="I90" i="2" a="1"/>
  <c r="H99" i="2" a="1"/>
  <c r="H91" i="2" a="1"/>
  <c r="J94" i="2" a="1"/>
  <c r="G100" i="2" a="1"/>
  <c r="H98" i="2" a="1"/>
  <c r="N101" i="2" a="1"/>
  <c r="K76" i="2" a="1"/>
  <c r="N84" i="2" a="1"/>
  <c r="N76" i="2" a="1"/>
  <c r="H79" i="2" a="1"/>
  <c r="H86" i="2" a="1"/>
  <c r="M76" i="2" a="1"/>
  <c r="I83" i="2" a="1"/>
  <c r="I85" i="2" a="1"/>
  <c r="L78" i="2" a="1"/>
  <c r="K86" i="2" a="1"/>
  <c r="K78" i="2" a="1"/>
  <c r="K70" i="2" a="1"/>
  <c r="N79" i="2" a="1"/>
  <c r="N71" i="2" a="1"/>
  <c r="N78" i="2" a="1"/>
  <c r="H81" i="2" a="1"/>
  <c r="I79" i="2" a="1"/>
  <c r="G66" i="2" a="1"/>
  <c r="G58" i="2" a="1"/>
  <c r="G63" i="2" a="1"/>
  <c r="K62" i="2" a="1"/>
  <c r="N55" i="2" a="1"/>
  <c r="I56" i="2" a="1"/>
  <c r="J67" i="2" a="1"/>
  <c r="J59" i="2" a="1"/>
  <c r="I67" i="2" a="1"/>
  <c r="H68" i="2" a="1"/>
  <c r="M65" i="2" a="1"/>
  <c r="N66" i="2" a="1"/>
  <c r="N58" i="2" a="1"/>
  <c r="J56" i="2" a="1"/>
  <c r="I64" i="2" a="1"/>
  <c r="J69" i="2" a="1"/>
  <c r="J53" i="2" a="1"/>
  <c r="N50" i="2" a="1"/>
  <c r="N42" i="2" a="1"/>
  <c r="M51" i="2" a="1"/>
  <c r="M43" i="2" a="1"/>
  <c r="L52" i="2" a="1"/>
  <c r="L44" i="2" a="1"/>
  <c r="L36" i="2" a="1"/>
  <c r="N46" i="2" a="1"/>
  <c r="N38" i="2" a="1"/>
  <c r="M47" i="2" a="1"/>
  <c r="M39" i="2" a="1"/>
  <c r="L48" i="2" a="1"/>
  <c r="L40" i="2" a="1"/>
  <c r="H39" i="2" a="1"/>
  <c r="N43" i="2" a="1"/>
  <c r="H51" i="2" a="1"/>
  <c r="G49" i="2" a="1"/>
  <c r="G33" i="2" a="1"/>
  <c r="G25" i="2" a="1"/>
  <c r="N34" i="2" a="1"/>
  <c r="N26" i="2" a="1"/>
  <c r="H20" i="2" a="1"/>
  <c r="L29" i="2" a="1"/>
  <c r="L21" i="2" a="1"/>
  <c r="K30" i="2" a="1"/>
  <c r="K22" i="2" a="1"/>
  <c r="N31" i="2" a="1"/>
  <c r="N23" i="2" a="1"/>
  <c r="M32" i="2" a="1"/>
  <c r="M24" i="2" a="1"/>
  <c r="I31" i="2" a="1"/>
  <c r="I23" i="2" a="1"/>
  <c r="H32" i="2" a="1"/>
  <c r="H24" i="2" a="1"/>
  <c r="N15" i="2" a="1"/>
  <c r="N9" i="2" a="1"/>
  <c r="M4" i="2" a="1"/>
  <c r="M6" i="2" a="1"/>
  <c r="L16" i="2" a="1"/>
  <c r="L18" i="2" a="1"/>
  <c r="K16" i="2" a="1"/>
  <c r="I230" i="2" a="1"/>
  <c r="L228" i="2" a="1"/>
  <c r="N219" i="2" a="1"/>
  <c r="N208" i="2" a="1"/>
  <c r="N203" i="2" a="1"/>
  <c r="H195" i="2" a="1"/>
  <c r="K177" i="2" a="1"/>
  <c r="K180" i="2" a="1"/>
  <c r="H157" i="2" a="1"/>
  <c r="I169" i="2" a="1"/>
  <c r="G144" i="2" a="1"/>
  <c r="G151" i="2" a="1"/>
  <c r="I144" i="2" a="1"/>
  <c r="I153" i="2" a="1"/>
  <c r="L152" i="2" a="1"/>
  <c r="J147" i="2" a="1"/>
  <c r="J136" i="2" a="1"/>
  <c r="M121" i="2" a="1"/>
  <c r="G122" i="2" a="1"/>
  <c r="I127" i="2" a="1"/>
  <c r="L135" i="2" a="1"/>
  <c r="H126" i="2" a="1"/>
  <c r="K117" i="2" a="1"/>
  <c r="I110" i="2" a="1"/>
  <c r="J110" i="2" a="1"/>
  <c r="L109" i="2" a="1"/>
  <c r="M119" i="2" a="1"/>
  <c r="M111" i="2" a="1"/>
  <c r="L120" i="2" a="1"/>
  <c r="N107" i="2" a="1"/>
  <c r="H108" i="2" a="1"/>
  <c r="N114" i="2" a="1"/>
  <c r="N106" i="2" a="1"/>
  <c r="M115" i="2" a="1"/>
  <c r="I114" i="2" a="1"/>
  <c r="N100" i="2" a="1"/>
  <c r="N92" i="2" a="1"/>
  <c r="M101" i="2" a="1"/>
  <c r="M93" i="2" a="1"/>
  <c r="L102" i="2" a="1"/>
  <c r="L94" i="2" a="1"/>
  <c r="K103" i="2" a="1"/>
  <c r="K95" i="2" a="1"/>
  <c r="K87" i="2" a="1"/>
  <c r="N96" i="2" a="1"/>
  <c r="N88" i="2" a="1"/>
  <c r="M97" i="2" a="1"/>
  <c r="M89" i="2" a="1"/>
  <c r="G91" i="2" a="1"/>
  <c r="G92" i="2" a="1"/>
  <c r="M96" i="2" a="1"/>
  <c r="J101" i="2" a="1"/>
  <c r="H74" i="2" a="1"/>
  <c r="J84" i="2" a="1"/>
  <c r="J76" i="2" a="1"/>
  <c r="M77" i="2" a="1"/>
  <c r="M84" i="2" a="1"/>
  <c r="N74" i="2" a="1"/>
  <c r="N81" i="2" a="1"/>
  <c r="N83" i="2" a="1"/>
  <c r="I76" i="2" a="1"/>
  <c r="G86" i="2" a="1"/>
  <c r="G78" i="2" a="1"/>
  <c r="G70" i="2" a="1"/>
  <c r="J79" i="2" a="1"/>
  <c r="J71" i="2" a="1"/>
  <c r="G76" i="2" a="1"/>
  <c r="J77" i="2" a="1"/>
  <c r="K71" i="2" a="1"/>
  <c r="L64" i="2" a="1"/>
  <c r="L56" i="2" a="1"/>
  <c r="L61" i="2" a="1"/>
  <c r="M223" i="2" a="1"/>
  <c r="J170" i="2" a="1"/>
  <c r="G128" i="2" a="1"/>
  <c r="K116" i="2" a="1"/>
  <c r="M108" i="2" a="1"/>
  <c r="K96" i="2" a="1"/>
  <c r="L97" i="2" a="1"/>
  <c r="L86" i="2" a="1"/>
  <c r="I81" i="2" a="1"/>
  <c r="I66" i="2" a="1"/>
  <c r="N59" i="2" a="1"/>
  <c r="I68" i="2" a="1"/>
  <c r="G60" i="2" a="1"/>
  <c r="I36" i="2" a="1"/>
  <c r="G38" i="2" a="1"/>
  <c r="H41" i="2" a="1"/>
  <c r="J39" i="2" a="1"/>
  <c r="L47" i="2" a="1"/>
  <c r="G20" i="2" a="1"/>
  <c r="K31" i="2" a="1"/>
  <c r="G30" i="2" a="1"/>
  <c r="I25" i="2" a="1"/>
  <c r="H33" i="2" a="1"/>
  <c r="M30" i="2" a="1"/>
  <c r="N17" i="2" a="1"/>
  <c r="M17" i="2" a="1"/>
  <c r="L10" i="2" a="1"/>
  <c r="K5" i="2" a="1"/>
  <c r="K11" i="2" a="1"/>
  <c r="J14" i="2" a="1"/>
  <c r="J13" i="2" a="1"/>
  <c r="I6" i="2" a="1"/>
  <c r="I4" i="2" a="1"/>
  <c r="H18" i="2" a="1"/>
  <c r="H16" i="2" a="1"/>
  <c r="G4" i="2" a="1"/>
  <c r="G6" i="2" a="1"/>
  <c r="H5" i="2" a="1"/>
  <c r="G10" i="2" a="1"/>
  <c r="M222" i="2" a="1"/>
  <c r="M106" i="2" a="1"/>
  <c r="N97" i="2" a="1"/>
  <c r="M83" i="2" a="1"/>
  <c r="H59" i="2" a="1"/>
  <c r="I60" i="2" a="1"/>
  <c r="H45" i="2" a="1"/>
  <c r="G50" i="2" a="1"/>
  <c r="K33" i="2" a="1"/>
  <c r="H29" i="2" a="1"/>
  <c r="L34" i="2" a="1"/>
  <c r="L24" i="2" a="1"/>
  <c r="M10" i="2" a="1"/>
  <c r="K17" i="2" a="1"/>
  <c r="J8" i="2" a="1"/>
  <c r="I14" i="2" a="1"/>
  <c r="H14" i="2" a="1"/>
  <c r="G12" i="2" a="1"/>
  <c r="J63" i="2" a="1"/>
  <c r="K20" i="2" a="1"/>
  <c r="M9" i="2" a="1"/>
  <c r="J15" i="2" a="1"/>
  <c r="G17" i="2" a="1"/>
  <c r="M227" i="2" a="1"/>
  <c r="J157" i="2" a="1"/>
  <c r="L123" i="2" a="1"/>
  <c r="K106" i="2" a="1"/>
  <c r="L117" i="2" a="1"/>
  <c r="K88" i="2" a="1"/>
  <c r="H89" i="2" a="1"/>
  <c r="H78" i="2" a="1"/>
  <c r="I73" i="2" a="1"/>
  <c r="L60" i="2" a="1"/>
  <c r="K57" i="2" a="1"/>
  <c r="J66" i="2" a="1"/>
  <c r="H65" i="2" a="1"/>
  <c r="I51" i="2" a="1"/>
  <c r="H36" i="2" a="1"/>
  <c r="I39" i="2" a="1"/>
  <c r="I45" i="2" a="1"/>
  <c r="J35" i="2" a="1"/>
  <c r="J34" i="2" a="1"/>
  <c r="G31" i="2" a="1"/>
  <c r="N24" i="2" a="1"/>
  <c r="J23" i="2" a="1"/>
  <c r="M31" i="2" a="1"/>
  <c r="G26" i="2" a="1"/>
  <c r="N16" i="2" a="1"/>
  <c r="M15" i="2" a="1"/>
  <c r="L14" i="2" a="1"/>
  <c r="K13" i="2" a="1"/>
  <c r="K9" i="2" a="1"/>
  <c r="J4" i="2" a="1"/>
  <c r="J17" i="2" a="1"/>
  <c r="I10" i="2" a="1"/>
  <c r="I8" i="2" a="1"/>
  <c r="H4" i="2" a="1"/>
  <c r="G8" i="2" a="1"/>
  <c r="G152" i="2" a="1"/>
  <c r="L136" i="2" a="1"/>
  <c r="J120" i="2" a="1"/>
  <c r="I88" i="2" a="1"/>
  <c r="I80" i="2" a="1"/>
  <c r="L69" i="2" a="1"/>
  <c r="N53" i="2" a="1"/>
  <c r="I48" i="2" a="1"/>
  <c r="I37" i="2" a="1"/>
  <c r="M28" i="2" a="1"/>
  <c r="J24" i="2" a="1"/>
  <c r="N29" i="2" a="1"/>
  <c r="N10" i="2" a="1"/>
  <c r="L3" i="2" a="1"/>
  <c r="K7" i="2" a="1"/>
  <c r="J6" i="2" a="1"/>
  <c r="I12" i="2" a="1"/>
  <c r="H13" i="2" a="1"/>
  <c r="G14" i="2" a="1"/>
  <c r="I47" i="2" a="1"/>
  <c r="L32" i="2" a="1"/>
  <c r="K3" i="2" a="1"/>
  <c r="H6" i="2" a="1"/>
  <c r="G207" i="2" a="1"/>
  <c r="J153" i="2" a="1"/>
  <c r="N133" i="2" a="1"/>
  <c r="L113" i="2" a="1"/>
  <c r="M102" i="2" a="1"/>
  <c r="N89" i="2" a="1"/>
  <c r="K91" i="2" a="1"/>
  <c r="M85" i="2" a="1"/>
  <c r="G83" i="2" a="1"/>
  <c r="G53" i="2" a="1"/>
  <c r="J65" i="2" a="1"/>
  <c r="J58" i="2" a="1"/>
  <c r="M55" i="2" a="1"/>
  <c r="I43" i="2" a="1"/>
  <c r="J46" i="2" a="1"/>
  <c r="H48" i="2" a="1"/>
  <c r="G45" i="2" a="1"/>
  <c r="L31" i="2" a="1"/>
  <c r="I28" i="2" a="1"/>
  <c r="K23" i="2" a="1"/>
  <c r="L20" i="2" a="1"/>
  <c r="H34" i="2" a="1"/>
  <c r="H25" i="2" a="1"/>
  <c r="M22" i="2" a="1"/>
  <c r="N18" i="2" a="1"/>
  <c r="M7" i="2" a="1"/>
  <c r="L7" i="2" a="1"/>
  <c r="K6" i="2" a="1"/>
  <c r="K15" i="2" a="1"/>
  <c r="J12" i="2" a="1"/>
  <c r="J16" i="2" a="1"/>
  <c r="I18" i="2" a="1"/>
  <c r="I16" i="2" a="1"/>
  <c r="H3" i="2" a="1"/>
  <c r="H10" i="2" a="1"/>
  <c r="G16" i="2" a="1"/>
  <c r="G18" i="2" a="1"/>
  <c r="N136" i="2" a="1"/>
  <c r="L95" i="2" a="1"/>
  <c r="J80" i="2" a="1"/>
  <c r="K69" i="2" a="1"/>
  <c r="H49" i="2" a="1"/>
  <c r="L23" i="2" a="1"/>
  <c r="J31" i="2" a="1"/>
  <c r="M12" i="2" a="1"/>
  <c r="K18" i="2" a="1"/>
  <c r="I13" i="2" a="1"/>
  <c r="H17" i="2" a="1"/>
  <c r="G13" i="2" a="1"/>
  <c r="N116" i="2" a="1"/>
  <c r="L91" i="2" a="1"/>
  <c r="J72" i="2" a="1"/>
  <c r="N62" i="2" a="1"/>
  <c r="K37" i="2" a="1"/>
  <c r="J32" i="2" a="1"/>
  <c r="N5" i="2" a="1"/>
  <c r="I17" i="2" a="1"/>
  <c r="G15" i="2" a="1"/>
  <c r="K194" i="2" a="1"/>
  <c r="M145" i="2" a="1"/>
  <c r="K137" i="2" a="1"/>
  <c r="L105" i="2" a="1"/>
  <c r="M94" i="2" a="1"/>
  <c r="M98" i="2" a="1"/>
  <c r="J78" i="2" a="1"/>
  <c r="G73" i="2" a="1"/>
  <c r="N77" i="2" a="1"/>
  <c r="H58" i="2" a="1"/>
  <c r="H53" i="2" a="1"/>
  <c r="M58" i="2" a="1"/>
  <c r="I52" i="2" a="1"/>
  <c r="H37" i="2" a="1"/>
  <c r="I40" i="2" a="1"/>
  <c r="G42" i="2" a="1"/>
  <c r="G37" i="2" a="1"/>
  <c r="J27" i="2" a="1"/>
  <c r="J26" i="2" a="1"/>
  <c r="G23" i="2" a="1"/>
  <c r="M33" i="2" a="1"/>
  <c r="I32" i="2" a="1"/>
  <c r="M23" i="2" a="1"/>
  <c r="N7" i="2" a="1"/>
  <c r="M16" i="2" a="1"/>
  <c r="L8" i="2" a="1"/>
  <c r="L15" i="2" a="1"/>
  <c r="K10" i="2" a="1"/>
  <c r="J3" i="2" a="1"/>
  <c r="J10" i="2" a="1"/>
  <c r="I5" i="2" a="1"/>
  <c r="I3" i="2" a="1"/>
  <c r="H8" i="2" a="1"/>
  <c r="H7" i="2" a="1"/>
  <c r="G3" i="2" a="1"/>
  <c r="G5" i="2" a="1"/>
  <c r="H9" i="2" a="1"/>
  <c r="G7" i="2" a="1"/>
  <c r="G9" i="2" a="1"/>
  <c r="K154" i="2" a="1"/>
  <c r="K58" i="2" a="1"/>
  <c r="H66" i="2" a="1"/>
  <c r="G46" i="2" a="1"/>
  <c r="I41" i="2" a="1"/>
  <c r="I20" i="2" a="1"/>
  <c r="H26" i="2" a="1"/>
  <c r="N4" i="2" a="1"/>
  <c r="K8" i="2" a="1"/>
  <c r="J11" i="2" a="1"/>
  <c r="I11" i="2" a="1"/>
  <c r="G11" i="2" a="1"/>
  <c r="K153" i="2" a="1"/>
  <c r="M116" i="2" a="1"/>
  <c r="I70" i="2" a="1"/>
  <c r="K65" i="2" a="1"/>
  <c r="H44" i="2" a="1"/>
  <c r="J19" i="2" a="1"/>
  <c r="M25" i="2" a="1"/>
  <c r="L5" i="2" a="1"/>
  <c r="J9" i="2" a="1"/>
  <c r="H12" i="2" a="1"/>
  <c r="K198" i="2" a="1"/>
  <c r="J144" i="2" a="1"/>
  <c r="G136" i="2" a="1"/>
  <c r="N115" i="2" a="1"/>
  <c r="L103" i="2" a="1"/>
  <c r="M90" i="2" a="1"/>
  <c r="I86" i="2" a="1"/>
  <c r="I75" i="2" a="1"/>
  <c r="K66" i="2" a="1"/>
  <c r="J54" i="2" a="1"/>
  <c r="M66" i="2" a="1"/>
  <c r="G69" i="2" a="1"/>
  <c r="J50" i="2" a="1"/>
  <c r="H52" i="2" a="1"/>
  <c r="J38" i="2" a="1"/>
  <c r="H40" i="2" a="1"/>
  <c r="K49" i="2" a="1"/>
  <c r="K25" i="2" a="1"/>
  <c r="M20" i="2" a="1"/>
  <c r="H21" i="2" a="1"/>
  <c r="I33" i="2" a="1"/>
  <c r="L26" i="2" a="1"/>
  <c r="N21" i="2" a="1"/>
  <c r="N11" i="2" a="1"/>
  <c r="M11" i="2" a="1"/>
  <c r="L12" i="2" a="1"/>
  <c r="K4" i="2" a="1"/>
  <c r="K14" i="2" a="1"/>
  <c r="J7" i="2" a="1"/>
  <c r="J18" i="2" a="1"/>
  <c r="I9" i="2" a="1"/>
  <c r="I7" i="2" a="1"/>
  <c r="H11" i="2" a="1"/>
  <c r="K174" i="2" a="1"/>
  <c r="N112" i="2" a="1"/>
  <c r="L99" i="2" a="1"/>
  <c r="I78" i="2" a="1"/>
  <c r="N67" i="2" a="1"/>
  <c r="I44" i="2" a="1"/>
  <c r="K45" i="2" a="1"/>
  <c r="N32" i="2" a="1"/>
  <c r="G34" i="2" a="1"/>
  <c r="L9" i="2" a="1"/>
  <c r="J5" i="2" a="1"/>
  <c r="H15" i="2" a="1"/>
  <c r="M178" i="2" a="1"/>
  <c r="L87" i="2" a="1"/>
  <c r="N65" i="2" a="1"/>
  <c r="J42" i="2" a="1"/>
  <c r="N39" i="2" a="1"/>
  <c r="I24" i="2" a="1"/>
  <c r="K12" i="2" a="1"/>
  <c r="I15" i="2" a="1"/>
  <c r="L2" i="2" a="1"/>
  <c r="M2" i="2" a="1"/>
  <c r="G2" i="2" a="1"/>
  <c r="H2" i="2" a="1"/>
  <c r="I2" i="2" a="1"/>
  <c r="K2" i="2" a="1"/>
  <c r="N2" i="2" a="1"/>
  <c r="J2" i="2" a="1"/>
  <c r="I15" i="2" l="1"/>
  <c r="K12" i="2"/>
  <c r="I24" i="2"/>
  <c r="N39" i="2"/>
  <c r="J42" i="2"/>
  <c r="N65" i="2"/>
  <c r="L87" i="2"/>
  <c r="M178" i="2"/>
  <c r="H15" i="2"/>
  <c r="J5" i="2"/>
  <c r="L9" i="2"/>
  <c r="G34" i="2"/>
  <c r="N32" i="2"/>
  <c r="K45" i="2"/>
  <c r="I44" i="2"/>
  <c r="N67" i="2"/>
  <c r="I78" i="2"/>
  <c r="L99" i="2"/>
  <c r="N112" i="2"/>
  <c r="K174" i="2"/>
  <c r="H11" i="2"/>
  <c r="I7" i="2"/>
  <c r="I9" i="2"/>
  <c r="J18" i="2"/>
  <c r="J7" i="2"/>
  <c r="K14" i="2"/>
  <c r="K4" i="2"/>
  <c r="L12" i="2"/>
  <c r="M11" i="2"/>
  <c r="N11" i="2"/>
  <c r="N21" i="2"/>
  <c r="L26" i="2"/>
  <c r="I33" i="2"/>
  <c r="H21" i="2"/>
  <c r="M20" i="2"/>
  <c r="K25" i="2"/>
  <c r="K49" i="2"/>
  <c r="H40" i="2"/>
  <c r="J38" i="2"/>
  <c r="H52" i="2"/>
  <c r="J50" i="2"/>
  <c r="G69" i="2"/>
  <c r="M66" i="2"/>
  <c r="J54" i="2"/>
  <c r="K66" i="2"/>
  <c r="I75" i="2"/>
  <c r="I86" i="2"/>
  <c r="M90" i="2"/>
  <c r="L103" i="2"/>
  <c r="N115" i="2"/>
  <c r="G136" i="2"/>
  <c r="J144" i="2"/>
  <c r="K198" i="2"/>
  <c r="H12" i="2"/>
  <c r="J9" i="2"/>
  <c r="L5" i="2"/>
  <c r="M25" i="2"/>
  <c r="J19" i="2"/>
  <c r="H44" i="2"/>
  <c r="K65" i="2"/>
  <c r="I70" i="2"/>
  <c r="M116" i="2"/>
  <c r="K153" i="2"/>
  <c r="G11" i="2"/>
  <c r="I11" i="2"/>
  <c r="J11" i="2"/>
  <c r="K8" i="2"/>
  <c r="N4" i="2"/>
  <c r="H26" i="2"/>
  <c r="I20" i="2"/>
  <c r="I41" i="2"/>
  <c r="G46" i="2"/>
  <c r="H66" i="2"/>
  <c r="K58" i="2"/>
  <c r="K154" i="2"/>
  <c r="G9" i="2"/>
  <c r="G7" i="2"/>
  <c r="H9" i="2"/>
  <c r="G5" i="2"/>
  <c r="G3" i="2"/>
  <c r="H7" i="2"/>
  <c r="H8" i="2"/>
  <c r="I3" i="2"/>
  <c r="I5" i="2"/>
  <c r="J10" i="2"/>
  <c r="J3" i="2"/>
  <c r="K10" i="2"/>
  <c r="L15" i="2"/>
  <c r="L8" i="2"/>
  <c r="M16" i="2"/>
  <c r="N7" i="2"/>
  <c r="M23" i="2"/>
  <c r="I32" i="2"/>
  <c r="M33" i="2"/>
  <c r="G23" i="2"/>
  <c r="J26" i="2"/>
  <c r="J27" i="2"/>
  <c r="G37" i="2"/>
  <c r="G42" i="2"/>
  <c r="I40" i="2"/>
  <c r="H37" i="2"/>
  <c r="I52" i="2"/>
  <c r="M58" i="2"/>
  <c r="H53" i="2"/>
  <c r="H58" i="2"/>
  <c r="N77" i="2"/>
  <c r="G73" i="2"/>
  <c r="J78" i="2"/>
  <c r="M98" i="2"/>
  <c r="M94" i="2"/>
  <c r="L105" i="2"/>
  <c r="K137" i="2"/>
  <c r="M145" i="2"/>
  <c r="K194" i="2"/>
  <c r="G15" i="2"/>
  <c r="I17" i="2"/>
  <c r="N5" i="2"/>
  <c r="J32" i="2"/>
  <c r="K37" i="2"/>
  <c r="N62" i="2"/>
  <c r="J72" i="2"/>
  <c r="L91" i="2"/>
  <c r="N116" i="2"/>
  <c r="G13" i="2"/>
  <c r="H17" i="2"/>
  <c r="I13" i="2"/>
  <c r="K18" i="2"/>
  <c r="M12" i="2"/>
  <c r="J31" i="2"/>
  <c r="L23" i="2"/>
  <c r="H49" i="2"/>
  <c r="K69" i="2"/>
  <c r="J80" i="2"/>
  <c r="L95" i="2"/>
  <c r="N136" i="2"/>
  <c r="G18" i="2"/>
  <c r="G16" i="2"/>
  <c r="H10" i="2"/>
  <c r="H3" i="2"/>
  <c r="I16" i="2"/>
  <c r="I18" i="2"/>
  <c r="J16" i="2"/>
  <c r="J12" i="2"/>
  <c r="K15" i="2"/>
  <c r="K6" i="2"/>
  <c r="L7" i="2"/>
  <c r="M7" i="2"/>
  <c r="N18" i="2"/>
  <c r="M22" i="2"/>
  <c r="H25" i="2"/>
  <c r="H34" i="2"/>
  <c r="L20" i="2"/>
  <c r="K23" i="2"/>
  <c r="I28" i="2"/>
  <c r="L31" i="2"/>
  <c r="G45" i="2"/>
  <c r="H48" i="2"/>
  <c r="J46" i="2"/>
  <c r="I43" i="2"/>
  <c r="M55" i="2"/>
  <c r="J58" i="2"/>
  <c r="J65" i="2"/>
  <c r="G53" i="2"/>
  <c r="G83" i="2"/>
  <c r="M85" i="2"/>
  <c r="K91" i="2"/>
  <c r="N89" i="2"/>
  <c r="M102" i="2"/>
  <c r="L113" i="2"/>
  <c r="N133" i="2"/>
  <c r="J153" i="2"/>
  <c r="G207" i="2"/>
  <c r="H6" i="2"/>
  <c r="K3" i="2"/>
  <c r="L32" i="2"/>
  <c r="I47" i="2"/>
  <c r="G14" i="2"/>
  <c r="H13" i="2"/>
  <c r="I12" i="2"/>
  <c r="J6" i="2"/>
  <c r="K7" i="2"/>
  <c r="L3" i="2"/>
  <c r="N10" i="2"/>
  <c r="N29" i="2"/>
  <c r="J24" i="2"/>
  <c r="M28" i="2"/>
  <c r="I37" i="2"/>
  <c r="I48" i="2"/>
  <c r="N53" i="2"/>
  <c r="L69" i="2"/>
  <c r="I80" i="2"/>
  <c r="I88" i="2"/>
  <c r="J120" i="2"/>
  <c r="L136" i="2"/>
  <c r="G152" i="2"/>
  <c r="G8" i="2"/>
  <c r="H4" i="2"/>
  <c r="I8" i="2"/>
  <c r="I10" i="2"/>
  <c r="J17" i="2"/>
  <c r="J4" i="2"/>
  <c r="K9" i="2"/>
  <c r="K13" i="2"/>
  <c r="L14" i="2"/>
  <c r="M15" i="2"/>
  <c r="N16" i="2"/>
  <c r="G26" i="2"/>
  <c r="M31" i="2"/>
  <c r="J23" i="2"/>
  <c r="N24" i="2"/>
  <c r="G31" i="2"/>
  <c r="J34" i="2"/>
  <c r="J35" i="2"/>
  <c r="I45" i="2"/>
  <c r="I39" i="2"/>
  <c r="H36" i="2"/>
  <c r="I51" i="2"/>
  <c r="H65" i="2"/>
  <c r="J66" i="2"/>
  <c r="K57" i="2"/>
  <c r="L60" i="2"/>
  <c r="I73" i="2"/>
  <c r="H78" i="2"/>
  <c r="H89" i="2"/>
  <c r="K88" i="2"/>
  <c r="L117" i="2"/>
  <c r="K106" i="2"/>
  <c r="L123" i="2"/>
  <c r="J157" i="2"/>
  <c r="M227" i="2"/>
  <c r="G17" i="2"/>
  <c r="J15" i="2"/>
  <c r="M9" i="2"/>
  <c r="K20" i="2"/>
  <c r="J63" i="2"/>
  <c r="G12" i="2"/>
  <c r="H14" i="2"/>
  <c r="I14" i="2"/>
  <c r="J8" i="2"/>
  <c r="K17" i="2"/>
  <c r="M10" i="2"/>
  <c r="L24" i="2"/>
  <c r="L34" i="2"/>
  <c r="H29" i="2"/>
  <c r="K33" i="2"/>
  <c r="G50" i="2"/>
  <c r="H45" i="2"/>
  <c r="I60" i="2"/>
  <c r="H59" i="2"/>
  <c r="M83" i="2"/>
  <c r="N97" i="2"/>
  <c r="M106" i="2"/>
  <c r="M222" i="2"/>
  <c r="G10" i="2"/>
  <c r="H5" i="2"/>
  <c r="G6" i="2"/>
  <c r="G4" i="2"/>
  <c r="H16" i="2"/>
  <c r="H18" i="2"/>
  <c r="I4" i="2"/>
  <c r="I6" i="2"/>
  <c r="J13" i="2"/>
  <c r="J14" i="2"/>
  <c r="K11" i="2"/>
  <c r="K5" i="2"/>
  <c r="L10" i="2"/>
  <c r="M17" i="2"/>
  <c r="N17" i="2"/>
  <c r="M30" i="2"/>
  <c r="H33" i="2"/>
  <c r="I25" i="2"/>
  <c r="G30" i="2"/>
  <c r="K31" i="2"/>
  <c r="G20" i="2"/>
  <c r="L47" i="2"/>
  <c r="J39" i="2"/>
  <c r="H41" i="2"/>
  <c r="G38" i="2"/>
  <c r="I36" i="2"/>
  <c r="G60" i="2"/>
  <c r="I68" i="2"/>
  <c r="N59" i="2"/>
  <c r="I66" i="2"/>
  <c r="I81" i="2"/>
  <c r="L86" i="2"/>
  <c r="L97" i="2"/>
  <c r="K96" i="2"/>
  <c r="M108" i="2"/>
  <c r="K116" i="2"/>
  <c r="G128" i="2"/>
  <c r="J170" i="2"/>
  <c r="M223" i="2"/>
  <c r="L61" i="2"/>
  <c r="L56" i="2"/>
  <c r="L64" i="2"/>
  <c r="K71" i="2"/>
  <c r="J77" i="2"/>
  <c r="G76" i="2"/>
  <c r="J71" i="2"/>
  <c r="J79" i="2"/>
  <c r="G70" i="2"/>
  <c r="G78" i="2"/>
  <c r="G86" i="2"/>
  <c r="I76" i="2"/>
  <c r="N83" i="2"/>
  <c r="N81" i="2"/>
  <c r="N74" i="2"/>
  <c r="M84" i="2"/>
  <c r="M77" i="2"/>
  <c r="J76" i="2"/>
  <c r="J84" i="2"/>
  <c r="H74" i="2"/>
  <c r="J101" i="2"/>
  <c r="M96" i="2"/>
  <c r="G92" i="2"/>
  <c r="G91" i="2"/>
  <c r="M89" i="2"/>
  <c r="M97" i="2"/>
  <c r="N88" i="2"/>
  <c r="N96" i="2"/>
  <c r="K87" i="2"/>
  <c r="K95" i="2"/>
  <c r="K103" i="2"/>
  <c r="L94" i="2"/>
  <c r="L102" i="2"/>
  <c r="M93" i="2"/>
  <c r="M101" i="2"/>
  <c r="N92" i="2"/>
  <c r="N100" i="2"/>
  <c r="I114" i="2"/>
  <c r="M115" i="2"/>
  <c r="N106" i="2"/>
  <c r="N114" i="2"/>
  <c r="H108" i="2"/>
  <c r="N107" i="2"/>
  <c r="L120" i="2"/>
  <c r="M111" i="2"/>
  <c r="M119" i="2"/>
  <c r="L109" i="2"/>
  <c r="J110" i="2"/>
  <c r="I110" i="2"/>
  <c r="K117" i="2"/>
  <c r="H126" i="2"/>
  <c r="L135" i="2"/>
  <c r="I127" i="2"/>
  <c r="G122" i="2"/>
  <c r="M121" i="2"/>
  <c r="J136" i="2"/>
  <c r="J147" i="2"/>
  <c r="L152" i="2"/>
  <c r="I153" i="2"/>
  <c r="I144" i="2"/>
  <c r="G151" i="2"/>
  <c r="G144" i="2"/>
  <c r="I169" i="2"/>
  <c r="H157" i="2"/>
  <c r="K180" i="2"/>
  <c r="K177" i="2"/>
  <c r="H195" i="2"/>
  <c r="N203" i="2"/>
  <c r="N208" i="2"/>
  <c r="N219" i="2"/>
  <c r="L228" i="2"/>
  <c r="I230" i="2"/>
  <c r="K16" i="2"/>
  <c r="L18" i="2"/>
  <c r="L16" i="2"/>
  <c r="M6" i="2"/>
  <c r="M4" i="2"/>
  <c r="N9" i="2"/>
  <c r="N15" i="2"/>
  <c r="H24" i="2"/>
  <c r="H32" i="2"/>
  <c r="I23" i="2"/>
  <c r="I31" i="2"/>
  <c r="M24" i="2"/>
  <c r="M32" i="2"/>
  <c r="N23" i="2"/>
  <c r="N31" i="2"/>
  <c r="K22" i="2"/>
  <c r="K30" i="2"/>
  <c r="L21" i="2"/>
  <c r="L29" i="2"/>
  <c r="H20" i="2"/>
  <c r="N26" i="2"/>
  <c r="N34" i="2"/>
  <c r="G25" i="2"/>
  <c r="G33" i="2"/>
  <c r="G49" i="2"/>
  <c r="H51" i="2"/>
  <c r="N43" i="2"/>
  <c r="H39" i="2"/>
  <c r="L40" i="2"/>
  <c r="L48" i="2"/>
  <c r="M39" i="2"/>
  <c r="M47" i="2"/>
  <c r="N38" i="2"/>
  <c r="N46" i="2"/>
  <c r="L36" i="2"/>
  <c r="L44" i="2"/>
  <c r="L52" i="2"/>
  <c r="M43" i="2"/>
  <c r="M51" i="2"/>
  <c r="N42" i="2"/>
  <c r="N50" i="2"/>
  <c r="J53" i="2"/>
  <c r="J69" i="2"/>
  <c r="I64" i="2"/>
  <c r="J56" i="2"/>
  <c r="N58" i="2"/>
  <c r="N66" i="2"/>
  <c r="M65" i="2"/>
  <c r="H68" i="2"/>
  <c r="I67" i="2"/>
  <c r="J59" i="2"/>
  <c r="J67" i="2"/>
  <c r="I56" i="2"/>
  <c r="N55" i="2"/>
  <c r="K62" i="2"/>
  <c r="G63" i="2"/>
  <c r="G58" i="2"/>
  <c r="G66" i="2"/>
  <c r="I79" i="2"/>
  <c r="H81" i="2"/>
  <c r="N78" i="2"/>
  <c r="N71" i="2"/>
  <c r="N79" i="2"/>
  <c r="K70" i="2"/>
  <c r="K78" i="2"/>
  <c r="K86" i="2"/>
  <c r="L78" i="2"/>
  <c r="I85" i="2"/>
  <c r="I83" i="2"/>
  <c r="M76" i="2"/>
  <c r="H86" i="2"/>
  <c r="H79" i="2"/>
  <c r="N76" i="2"/>
  <c r="N84" i="2"/>
  <c r="K76" i="2"/>
  <c r="N101" i="2"/>
  <c r="H98" i="2"/>
  <c r="G100" i="2"/>
  <c r="J94" i="2"/>
  <c r="H91" i="2"/>
  <c r="H99" i="2"/>
  <c r="I90" i="2"/>
  <c r="I98" i="2"/>
  <c r="J89" i="2"/>
  <c r="J97" i="2"/>
  <c r="G88" i="2"/>
  <c r="G96" i="2"/>
  <c r="H87" i="2"/>
  <c r="H95" i="2"/>
  <c r="H103" i="2"/>
  <c r="I94" i="2"/>
  <c r="I102" i="2"/>
  <c r="L116" i="2"/>
  <c r="H117" i="2"/>
  <c r="I108" i="2"/>
  <c r="I116" i="2"/>
  <c r="K110" i="2"/>
  <c r="M109" i="2"/>
  <c r="H105" i="2"/>
  <c r="H113" i="2"/>
  <c r="J104" i="2"/>
  <c r="I109" i="2"/>
  <c r="N110" i="2"/>
  <c r="K114" i="2"/>
  <c r="G134" i="2"/>
  <c r="L126" i="2"/>
  <c r="G137" i="2"/>
  <c r="J133" i="2"/>
  <c r="J124" i="2"/>
  <c r="H123" i="2"/>
  <c r="J122" i="2"/>
  <c r="N147" i="2"/>
  <c r="G154" i="2"/>
  <c r="K142" i="2"/>
  <c r="L146" i="2"/>
  <c r="K151" i="2"/>
  <c r="K144" i="2"/>
  <c r="N170" i="2"/>
  <c r="H165" i="2"/>
  <c r="K188" i="2"/>
  <c r="K185" i="2"/>
  <c r="H203" i="2"/>
  <c r="I196" i="2"/>
  <c r="N216" i="2"/>
  <c r="M214" i="2"/>
  <c r="L236" i="2"/>
  <c r="H232" i="2"/>
  <c r="H47" i="2"/>
  <c r="K42" i="2"/>
  <c r="K50" i="2"/>
  <c r="L41" i="2"/>
  <c r="L49" i="2"/>
  <c r="M40" i="2"/>
  <c r="M48" i="2"/>
  <c r="K38" i="2"/>
  <c r="K46" i="2"/>
  <c r="L37" i="2"/>
  <c r="L45" i="2"/>
  <c r="M36" i="2"/>
  <c r="M44" i="2"/>
  <c r="M52" i="2"/>
  <c r="N61" i="2"/>
  <c r="M63" i="2"/>
  <c r="G68" i="2"/>
  <c r="J64" i="2"/>
  <c r="M60" i="2"/>
  <c r="M68" i="2"/>
  <c r="G54" i="2"/>
  <c r="G55" i="2"/>
  <c r="I53" i="2"/>
  <c r="I61" i="2"/>
  <c r="I69" i="2"/>
  <c r="K60" i="2"/>
  <c r="N63" i="2"/>
  <c r="L68" i="2"/>
  <c r="M67" i="2"/>
  <c r="J60" i="2"/>
  <c r="J68" i="2"/>
  <c r="K75" i="2"/>
  <c r="K83" i="2"/>
  <c r="M80" i="2"/>
  <c r="M73" i="2"/>
  <c r="M81" i="2"/>
  <c r="N72" i="2"/>
  <c r="N80" i="2"/>
  <c r="H77" i="2"/>
  <c r="I77" i="2"/>
  <c r="J73" i="2"/>
  <c r="H85" i="2"/>
  <c r="G80" i="2"/>
  <c r="H71" i="2"/>
  <c r="M70" i="2"/>
  <c r="M78" i="2"/>
  <c r="M86" i="2"/>
  <c r="H82" i="2"/>
  <c r="I87" i="2"/>
  <c r="M87" i="2"/>
  <c r="M95" i="2"/>
  <c r="G99" i="2"/>
  <c r="G93" i="2"/>
  <c r="G101" i="2"/>
  <c r="H92" i="2"/>
  <c r="H100" i="2"/>
  <c r="I91" i="2"/>
  <c r="I99" i="2"/>
  <c r="J90" i="2"/>
  <c r="J98" i="2"/>
  <c r="G89" i="2"/>
  <c r="G97" i="2"/>
  <c r="H88" i="2"/>
  <c r="H96" i="2"/>
  <c r="J102" i="2"/>
  <c r="N105" i="2"/>
  <c r="G119" i="2"/>
  <c r="H110" i="2"/>
  <c r="H118" i="2"/>
  <c r="H116" i="2"/>
  <c r="H119" i="2"/>
  <c r="G107" i="2"/>
  <c r="G115" i="2"/>
  <c r="G110" i="2"/>
  <c r="L112" i="2"/>
  <c r="J118" i="2"/>
  <c r="L107" i="2"/>
  <c r="J121" i="2"/>
  <c r="G121" i="2"/>
  <c r="K122" i="2"/>
  <c r="I135" i="2"/>
  <c r="L121" i="2"/>
  <c r="M129" i="2"/>
  <c r="J130" i="2"/>
  <c r="G138" i="2"/>
  <c r="N142" i="2"/>
  <c r="N144" i="2"/>
  <c r="L147" i="2"/>
  <c r="L153" i="2"/>
  <c r="K152" i="2"/>
  <c r="L162" i="2"/>
  <c r="K161" i="2"/>
  <c r="I179" i="2"/>
  <c r="M179" i="2"/>
  <c r="L189" i="2"/>
  <c r="K202" i="2"/>
  <c r="H206" i="2"/>
  <c r="N213" i="2"/>
  <c r="M235" i="2"/>
  <c r="M231" i="2"/>
  <c r="L6" i="2"/>
  <c r="L4" i="2"/>
  <c r="M13" i="2"/>
  <c r="M8" i="2"/>
  <c r="N13" i="2"/>
  <c r="N3" i="2"/>
  <c r="K26" i="2"/>
  <c r="K34" i="2"/>
  <c r="L25" i="2"/>
  <c r="L33" i="2"/>
  <c r="G28" i="2"/>
  <c r="H19" i="2"/>
  <c r="H27" i="2"/>
  <c r="H35" i="2"/>
  <c r="I26" i="2"/>
  <c r="I34" i="2"/>
  <c r="J25" i="2"/>
  <c r="J33" i="2"/>
  <c r="H22" i="2"/>
  <c r="H30" i="2"/>
  <c r="N19" i="2"/>
  <c r="N27" i="2"/>
  <c r="N35" i="2"/>
  <c r="N47" i="2"/>
  <c r="L51" i="2"/>
  <c r="M45" i="2"/>
  <c r="J36" i="2"/>
  <c r="J44" i="2"/>
  <c r="J52" i="2"/>
  <c r="G43" i="2"/>
  <c r="G51" i="2"/>
  <c r="H42" i="2"/>
  <c r="H50" i="2"/>
  <c r="J40" i="2"/>
  <c r="J48" i="2"/>
  <c r="G39" i="2"/>
  <c r="G47" i="2"/>
  <c r="H38" i="2"/>
  <c r="H46" i="2"/>
  <c r="N51" i="2"/>
  <c r="H57" i="2"/>
  <c r="G67" i="2"/>
  <c r="I57" i="2"/>
  <c r="H54" i="2"/>
  <c r="H62" i="2"/>
  <c r="K53" i="2"/>
  <c r="I58" i="2"/>
  <c r="J57" i="2"/>
  <c r="M53" i="2"/>
  <c r="M61" i="2"/>
  <c r="M69" i="2"/>
  <c r="J62" i="2"/>
  <c r="H67" i="2"/>
  <c r="L53" i="2"/>
  <c r="H69" i="2"/>
  <c r="N60" i="2"/>
  <c r="N68" i="2"/>
  <c r="G71" i="2"/>
  <c r="N85" i="2"/>
  <c r="L82" i="2"/>
  <c r="H75" i="2"/>
  <c r="H83" i="2"/>
  <c r="I74" i="2"/>
  <c r="I82" i="2"/>
  <c r="G79" i="2"/>
  <c r="L79" i="2"/>
  <c r="N73" i="2"/>
  <c r="L85" i="2"/>
  <c r="K80" i="2"/>
  <c r="L71" i="2"/>
  <c r="H72" i="2"/>
  <c r="H80" i="2"/>
  <c r="L81" i="2"/>
  <c r="N86" i="2"/>
  <c r="M88" i="2"/>
  <c r="L90" i="2"/>
  <c r="K92" i="2"/>
  <c r="I103" i="2"/>
  <c r="K93" i="2"/>
  <c r="K101" i="2"/>
  <c r="L92" i="2"/>
  <c r="L100" i="2"/>
  <c r="M91" i="2"/>
  <c r="M99" i="2"/>
  <c r="N90" i="2"/>
  <c r="N98" i="2"/>
  <c r="K89" i="2"/>
  <c r="K97" i="2"/>
  <c r="L88" i="2"/>
  <c r="L96" i="2"/>
  <c r="N102" i="2"/>
  <c r="H109" i="2"/>
  <c r="K119" i="2"/>
  <c r="L110" i="2"/>
  <c r="L118" i="2"/>
  <c r="K118" i="2"/>
  <c r="L104" i="2"/>
  <c r="K107" i="2"/>
  <c r="K115" i="2"/>
  <c r="M114" i="2"/>
  <c r="G114" i="2"/>
  <c r="N118" i="2"/>
  <c r="G109" i="2"/>
  <c r="M131" i="2"/>
  <c r="K121" i="2"/>
  <c r="N124" i="2"/>
  <c r="H136" i="2"/>
  <c r="K123" i="2"/>
  <c r="H131" i="2"/>
  <c r="J149" i="2"/>
  <c r="K138" i="2"/>
  <c r="H146" i="2"/>
  <c r="K150" i="2"/>
  <c r="K149" i="2"/>
  <c r="L138" i="2"/>
  <c r="N156" i="2"/>
  <c r="K158" i="2"/>
  <c r="K169" i="2"/>
  <c r="L174" i="2"/>
  <c r="K178" i="2"/>
  <c r="L197" i="2"/>
  <c r="N202" i="2"/>
  <c r="H214" i="2"/>
  <c r="N221" i="2"/>
  <c r="N226" i="2"/>
  <c r="M239" i="2"/>
  <c r="J20" i="2"/>
  <c r="J28" i="2"/>
  <c r="G19" i="2"/>
  <c r="G27" i="2"/>
  <c r="G35" i="2"/>
  <c r="K28" i="2"/>
  <c r="L19" i="2"/>
  <c r="L27" i="2"/>
  <c r="L35" i="2"/>
  <c r="M26" i="2"/>
  <c r="M34" i="2"/>
  <c r="N25" i="2"/>
  <c r="N33" i="2"/>
  <c r="L22" i="2"/>
  <c r="L30" i="2"/>
  <c r="I21" i="2"/>
  <c r="I29" i="2"/>
  <c r="J47" i="2"/>
  <c r="I49" i="2"/>
  <c r="M37" i="2"/>
  <c r="J43" i="2"/>
  <c r="N36" i="2"/>
  <c r="N44" i="2"/>
  <c r="N52" i="2"/>
  <c r="K43" i="2"/>
  <c r="K51" i="2"/>
  <c r="L42" i="2"/>
  <c r="L50" i="2"/>
  <c r="N40" i="2"/>
  <c r="N48" i="2"/>
  <c r="K39" i="2"/>
  <c r="K47" i="2"/>
  <c r="L38" i="2"/>
  <c r="L46" i="2"/>
  <c r="L57" i="2"/>
  <c r="J61" i="2"/>
  <c r="N54" i="2"/>
  <c r="L59" i="2"/>
  <c r="L54" i="2"/>
  <c r="L62" i="2"/>
  <c r="J55" i="2"/>
  <c r="H60" i="2"/>
  <c r="I59" i="2"/>
  <c r="H55" i="2"/>
  <c r="H63" i="2"/>
  <c r="L65" i="2"/>
  <c r="M64" i="2"/>
  <c r="L67" i="2"/>
  <c r="K55" i="2"/>
  <c r="I54" i="2"/>
  <c r="I62" i="2"/>
  <c r="G75" i="2"/>
  <c r="L73" i="2"/>
  <c r="N70" i="2"/>
  <c r="G84" i="2"/>
  <c r="L75" i="2"/>
  <c r="L83" i="2"/>
  <c r="M74" i="2"/>
  <c r="M82" i="2"/>
  <c r="J81" i="2"/>
  <c r="G81" i="2"/>
  <c r="M75" i="2"/>
  <c r="L70" i="2"/>
  <c r="J82" i="2"/>
  <c r="K73" i="2"/>
  <c r="L72" i="2"/>
  <c r="L80" i="2"/>
  <c r="J85" i="2"/>
  <c r="J93" i="2"/>
  <c r="H90" i="2"/>
  <c r="H97" i="2"/>
  <c r="K100" i="2"/>
  <c r="J87" i="2"/>
  <c r="J95" i="2"/>
  <c r="J103" i="2"/>
  <c r="G94" i="2"/>
  <c r="G102" i="2"/>
  <c r="H93" i="2"/>
  <c r="H101" i="2"/>
  <c r="I92" i="2"/>
  <c r="I100" i="2"/>
  <c r="J91" i="2"/>
  <c r="J99" i="2"/>
  <c r="G90" i="2"/>
  <c r="G98" i="2"/>
  <c r="N104" i="2"/>
  <c r="K111" i="2"/>
  <c r="G104" i="2"/>
  <c r="G112" i="2"/>
  <c r="G120" i="2"/>
  <c r="I107" i="2"/>
  <c r="N108" i="2"/>
  <c r="J109" i="2"/>
  <c r="J117" i="2"/>
  <c r="G118" i="2"/>
  <c r="H120" i="2"/>
  <c r="H111" i="2"/>
  <c r="K109" i="2"/>
  <c r="H133" i="2"/>
  <c r="L127" i="2"/>
  <c r="M126" i="2"/>
  <c r="M128" i="2"/>
  <c r="N126" i="2"/>
  <c r="L131" i="2"/>
  <c r="J139" i="2"/>
  <c r="L144" i="2"/>
  <c r="G148" i="2"/>
  <c r="J152" i="2"/>
  <c r="G143" i="2"/>
  <c r="K140" i="2"/>
  <c r="K163" i="2"/>
  <c r="K166" i="2"/>
  <c r="N173" i="2"/>
  <c r="L182" i="2"/>
  <c r="K186" i="2"/>
  <c r="L205" i="2"/>
  <c r="K195" i="2"/>
  <c r="H222" i="2"/>
  <c r="L218" i="2"/>
  <c r="N234" i="2"/>
  <c r="N230" i="2"/>
  <c r="L11" i="2"/>
  <c r="L17" i="2"/>
  <c r="M18" i="2"/>
  <c r="M5" i="2"/>
  <c r="N14" i="2"/>
  <c r="N12" i="2"/>
  <c r="N20" i="2"/>
  <c r="N28" i="2"/>
  <c r="K19" i="2"/>
  <c r="K27" i="2"/>
  <c r="K35" i="2"/>
  <c r="J30" i="2"/>
  <c r="G21" i="2"/>
  <c r="G29" i="2"/>
  <c r="G22" i="2"/>
  <c r="H28" i="2"/>
  <c r="I19" i="2"/>
  <c r="I27" i="2"/>
  <c r="I35" i="2"/>
  <c r="G24" i="2"/>
  <c r="G32" i="2"/>
  <c r="M21" i="2"/>
  <c r="M29" i="2"/>
  <c r="L39" i="2"/>
  <c r="K41" i="2"/>
  <c r="M41" i="2"/>
  <c r="M49" i="2"/>
  <c r="I38" i="2"/>
  <c r="I46" i="2"/>
  <c r="J37" i="2"/>
  <c r="J45" i="2"/>
  <c r="G36" i="2"/>
  <c r="G44" i="2"/>
  <c r="G52" i="2"/>
  <c r="I42" i="2"/>
  <c r="I50" i="2"/>
  <c r="J41" i="2"/>
  <c r="J49" i="2"/>
  <c r="G40" i="2"/>
  <c r="G48" i="2"/>
  <c r="I55" i="2"/>
  <c r="G59" i="2"/>
  <c r="M56" i="2"/>
  <c r="K61" i="2"/>
  <c r="G56" i="2"/>
  <c r="G64" i="2"/>
  <c r="M57" i="2"/>
  <c r="G62" i="2"/>
  <c r="H61" i="2"/>
  <c r="L55" i="2"/>
  <c r="L63" i="2"/>
  <c r="K67" i="2"/>
  <c r="L66" i="2"/>
  <c r="K54" i="2"/>
  <c r="N57" i="2"/>
  <c r="M54" i="2"/>
  <c r="M62" i="2"/>
  <c r="H73" i="2"/>
  <c r="M71" i="2"/>
  <c r="M72" i="2"/>
  <c r="K84" i="2"/>
  <c r="G77" i="2"/>
  <c r="G85" i="2"/>
  <c r="H76" i="2"/>
  <c r="H84" i="2"/>
  <c r="H70" i="2"/>
  <c r="K81" i="2"/>
  <c r="L77" i="2"/>
  <c r="K72" i="2"/>
  <c r="N82" i="2"/>
  <c r="J75" i="2"/>
  <c r="G74" i="2"/>
  <c r="G82" i="2"/>
  <c r="J70" i="2"/>
  <c r="I96" i="2"/>
  <c r="N93" i="2"/>
  <c r="L98" i="2"/>
  <c r="N94" i="2"/>
  <c r="N87" i="2"/>
  <c r="N95" i="2"/>
  <c r="N103" i="2"/>
  <c r="K94" i="2"/>
  <c r="K102" i="2"/>
  <c r="L93" i="2"/>
  <c r="L101" i="2"/>
  <c r="M92" i="2"/>
  <c r="M100" i="2"/>
  <c r="N91" i="2"/>
  <c r="N99" i="2"/>
  <c r="K90" i="2"/>
  <c r="K98" i="2"/>
  <c r="L108" i="2"/>
  <c r="N113" i="2"/>
  <c r="K104" i="2"/>
  <c r="K112" i="2"/>
  <c r="K120" i="2"/>
  <c r="G111" i="2"/>
  <c r="H112" i="2"/>
  <c r="N109" i="2"/>
  <c r="N117" i="2"/>
  <c r="N120" i="2"/>
  <c r="L106" i="2"/>
  <c r="G113" i="2"/>
  <c r="L115" i="2"/>
  <c r="L133" i="2"/>
  <c r="G129" i="2"/>
  <c r="J125" i="2"/>
  <c r="G132" i="2"/>
  <c r="I128" i="2"/>
  <c r="M137" i="2"/>
  <c r="N139" i="2"/>
  <c r="G146" i="2"/>
  <c r="H147" i="2"/>
  <c r="N152" i="2"/>
  <c r="K143" i="2"/>
  <c r="G149" i="2"/>
  <c r="N166" i="2"/>
  <c r="M164" i="2"/>
  <c r="N181" i="2"/>
  <c r="G181" i="2"/>
  <c r="G196" i="2"/>
  <c r="I204" i="2"/>
  <c r="K203" i="2"/>
  <c r="J217" i="2"/>
  <c r="L211" i="2"/>
  <c r="K225" i="2"/>
  <c r="N238" i="2"/>
  <c r="L13" i="2"/>
  <c r="M14" i="2"/>
  <c r="M3" i="2"/>
  <c r="N6" i="2"/>
  <c r="N8" i="2"/>
  <c r="I22" i="2"/>
  <c r="I30" i="2"/>
  <c r="J21" i="2"/>
  <c r="J29" i="2"/>
  <c r="J22" i="2"/>
  <c r="N30" i="2"/>
  <c r="K21" i="2"/>
  <c r="K29" i="2"/>
  <c r="N22" i="2"/>
  <c r="L28" i="2"/>
  <c r="M19" i="2"/>
  <c r="M27" i="2"/>
  <c r="M35" i="2"/>
  <c r="K24" i="2"/>
  <c r="K32" i="2"/>
  <c r="H23" i="2"/>
  <c r="H31" i="2"/>
  <c r="G41" i="2"/>
  <c r="H43" i="2"/>
  <c r="L43" i="2"/>
  <c r="J51" i="2"/>
  <c r="M38" i="2"/>
  <c r="M46" i="2"/>
  <c r="N37" i="2"/>
  <c r="N45" i="2"/>
  <c r="K36" i="2"/>
  <c r="K44" i="2"/>
  <c r="K52" i="2"/>
  <c r="M42" i="2"/>
  <c r="M50" i="2"/>
  <c r="N41" i="2"/>
  <c r="N49" i="2"/>
  <c r="K40" i="2"/>
  <c r="K48" i="2"/>
  <c r="K59" i="2"/>
  <c r="I63" i="2"/>
  <c r="L58" i="2"/>
  <c r="I65" i="2"/>
  <c r="K56" i="2"/>
  <c r="K64" i="2"/>
  <c r="G61" i="2"/>
  <c r="N64" i="2"/>
  <c r="K63" i="2"/>
  <c r="G57" i="2"/>
  <c r="G65" i="2"/>
  <c r="N69" i="2"/>
  <c r="K68" i="2"/>
  <c r="N56" i="2"/>
  <c r="M59" i="2"/>
  <c r="H56" i="2"/>
  <c r="H64" i="2"/>
  <c r="I71" i="2"/>
  <c r="M79" i="2"/>
  <c r="L74" i="2"/>
  <c r="J86" i="2"/>
  <c r="K77" i="2"/>
  <c r="K85" i="2"/>
  <c r="L76" i="2"/>
  <c r="L84" i="2"/>
  <c r="G72" i="2"/>
  <c r="J83" i="2"/>
  <c r="K79" i="2"/>
  <c r="J74" i="2"/>
  <c r="I84" i="2"/>
  <c r="N75" i="2"/>
  <c r="K74" i="2"/>
  <c r="K82" i="2"/>
  <c r="I72" i="2"/>
  <c r="K99" i="2"/>
  <c r="I95" i="2"/>
  <c r="M103" i="2"/>
  <c r="L89" i="2"/>
  <c r="I89" i="2"/>
  <c r="I97" i="2"/>
  <c r="J88" i="2"/>
  <c r="J96" i="2"/>
  <c r="G87" i="2"/>
  <c r="G95" i="2"/>
  <c r="G103" i="2"/>
  <c r="H94" i="2"/>
  <c r="H102" i="2"/>
  <c r="I93" i="2"/>
  <c r="I101" i="2"/>
  <c r="J92" i="2"/>
  <c r="J100" i="2"/>
  <c r="J112" i="2"/>
  <c r="I115" i="2"/>
  <c r="J106" i="2"/>
  <c r="J114" i="2"/>
  <c r="I106" i="2"/>
  <c r="K105" i="2"/>
  <c r="J116" i="2"/>
  <c r="I111" i="2"/>
  <c r="I119" i="2"/>
  <c r="M107" i="2"/>
  <c r="K108" i="2"/>
  <c r="J115" i="2"/>
  <c r="G117" i="2"/>
  <c r="M124" i="2"/>
  <c r="K129" i="2"/>
  <c r="N125" i="2"/>
  <c r="H132" i="2"/>
  <c r="H130" i="2"/>
  <c r="G126" i="2"/>
  <c r="K145" i="2"/>
  <c r="K146" i="2"/>
  <c r="N151" i="2"/>
  <c r="H138" i="2"/>
  <c r="J145" i="2"/>
  <c r="M153" i="2"/>
  <c r="I161" i="2"/>
  <c r="L161" i="2"/>
  <c r="K172" i="2"/>
  <c r="K183" i="2"/>
  <c r="G204" i="2"/>
  <c r="N195" i="2"/>
  <c r="J214" i="2"/>
  <c r="N211" i="2"/>
  <c r="L219" i="2"/>
  <c r="K233" i="2"/>
  <c r="K229" i="2"/>
  <c r="K237" i="2"/>
  <c r="L111" i="2"/>
  <c r="I104" i="2"/>
  <c r="I112" i="2"/>
  <c r="I120" i="2"/>
  <c r="I117" i="2"/>
  <c r="I118" i="2"/>
  <c r="J111" i="2"/>
  <c r="J119" i="2"/>
  <c r="M123" i="2"/>
  <c r="K135" i="2"/>
  <c r="K128" i="2"/>
  <c r="J123" i="2"/>
  <c r="J131" i="2"/>
  <c r="M122" i="2"/>
  <c r="H128" i="2"/>
  <c r="M127" i="2"/>
  <c r="M135" i="2"/>
  <c r="N134" i="2"/>
  <c r="I126" i="2"/>
  <c r="H122" i="2"/>
  <c r="L130" i="2"/>
  <c r="G125" i="2"/>
  <c r="G133" i="2"/>
  <c r="I123" i="2"/>
  <c r="L134" i="2"/>
  <c r="I141" i="2"/>
  <c r="I149" i="2"/>
  <c r="J140" i="2"/>
  <c r="J148" i="2"/>
  <c r="N141" i="2"/>
  <c r="I152" i="2"/>
  <c r="I138" i="2"/>
  <c r="I146" i="2"/>
  <c r="I154" i="2"/>
  <c r="K148" i="2"/>
  <c r="J151" i="2"/>
  <c r="N145" i="2"/>
  <c r="N153" i="2"/>
  <c r="J142" i="2"/>
  <c r="J138" i="2"/>
  <c r="J146" i="2"/>
  <c r="J154" i="2"/>
  <c r="K162" i="2"/>
  <c r="I167" i="2"/>
  <c r="M168" i="2"/>
  <c r="M161" i="2"/>
  <c r="M169" i="2"/>
  <c r="J156" i="2"/>
  <c r="H161" i="2"/>
  <c r="G164" i="2"/>
  <c r="J160" i="2"/>
  <c r="J168" i="2"/>
  <c r="G168" i="2"/>
  <c r="N165" i="2"/>
  <c r="L157" i="2"/>
  <c r="L165" i="2"/>
  <c r="J155" i="2"/>
  <c r="J163" i="2"/>
  <c r="J171" i="2"/>
  <c r="I175" i="2"/>
  <c r="I183" i="2"/>
  <c r="J174" i="2"/>
  <c r="J182" i="2"/>
  <c r="G173" i="2"/>
  <c r="L180" i="2"/>
  <c r="L181" i="2"/>
  <c r="G176" i="2"/>
  <c r="G184" i="2"/>
  <c r="L187" i="2"/>
  <c r="N185" i="2"/>
  <c r="J179" i="2"/>
  <c r="J187" i="2"/>
  <c r="I178" i="2"/>
  <c r="J172" i="2"/>
  <c r="J180" i="2"/>
  <c r="J188" i="2"/>
  <c r="K196" i="2"/>
  <c r="K204" i="2"/>
  <c r="L195" i="2"/>
  <c r="L203" i="2"/>
  <c r="J200" i="2"/>
  <c r="G191" i="2"/>
  <c r="G199" i="2"/>
  <c r="J192" i="2"/>
  <c r="I189" i="2"/>
  <c r="I197" i="2"/>
  <c r="I205" i="2"/>
  <c r="L198" i="2"/>
  <c r="J196" i="2"/>
  <c r="J204" i="2"/>
  <c r="J189" i="2"/>
  <c r="J197" i="2"/>
  <c r="J205" i="2"/>
  <c r="I216" i="2"/>
  <c r="I210" i="2"/>
  <c r="I218" i="2"/>
  <c r="N209" i="2"/>
  <c r="L206" i="2"/>
  <c r="L214" i="2"/>
  <c r="L222" i="2"/>
  <c r="M219" i="2"/>
  <c r="I213" i="2"/>
  <c r="I221" i="2"/>
  <c r="H216" i="2"/>
  <c r="I207" i="2"/>
  <c r="I215" i="2"/>
  <c r="G210" i="2"/>
  <c r="K220" i="2"/>
  <c r="G213" i="2"/>
  <c r="G221" i="2"/>
  <c r="G230" i="2"/>
  <c r="G238" i="2"/>
  <c r="H229" i="2"/>
  <c r="H237" i="2"/>
  <c r="I228" i="2"/>
  <c r="I236" i="2"/>
  <c r="J227" i="2"/>
  <c r="J235" i="2"/>
  <c r="I238" i="2"/>
  <c r="L232" i="2"/>
  <c r="H225" i="2"/>
  <c r="H233" i="2"/>
  <c r="I224" i="2"/>
  <c r="I232" i="2"/>
  <c r="J223" i="2"/>
  <c r="J231" i="2"/>
  <c r="J239" i="2"/>
  <c r="K113" i="2"/>
  <c r="M104" i="2"/>
  <c r="M112" i="2"/>
  <c r="M120" i="2"/>
  <c r="L119" i="2"/>
  <c r="M118" i="2"/>
  <c r="N111" i="2"/>
  <c r="N119" i="2"/>
  <c r="L125" i="2"/>
  <c r="J137" i="2"/>
  <c r="N130" i="2"/>
  <c r="N123" i="2"/>
  <c r="N131" i="2"/>
  <c r="K126" i="2"/>
  <c r="K130" i="2"/>
  <c r="H129" i="2"/>
  <c r="H137" i="2"/>
  <c r="M136" i="2"/>
  <c r="G130" i="2"/>
  <c r="L122" i="2"/>
  <c r="K132" i="2"/>
  <c r="K125" i="2"/>
  <c r="K133" i="2"/>
  <c r="H125" i="2"/>
  <c r="K136" i="2"/>
  <c r="M141" i="2"/>
  <c r="M149" i="2"/>
  <c r="N140" i="2"/>
  <c r="N148" i="2"/>
  <c r="H145" i="2"/>
  <c r="H154" i="2"/>
  <c r="M138" i="2"/>
  <c r="M146" i="2"/>
  <c r="M154" i="2"/>
  <c r="N150" i="2"/>
  <c r="I139" i="2"/>
  <c r="I147" i="2"/>
  <c r="I143" i="2"/>
  <c r="M144" i="2"/>
  <c r="N138" i="2"/>
  <c r="N146" i="2"/>
  <c r="N154" i="2"/>
  <c r="N164" i="2"/>
  <c r="L169" i="2"/>
  <c r="H155" i="2"/>
  <c r="H163" i="2"/>
  <c r="H171" i="2"/>
  <c r="I158" i="2"/>
  <c r="G163" i="2"/>
  <c r="J166" i="2"/>
  <c r="N160" i="2"/>
  <c r="N168" i="2"/>
  <c r="M158" i="2"/>
  <c r="H169" i="2"/>
  <c r="G159" i="2"/>
  <c r="G167" i="2"/>
  <c r="N155" i="2"/>
  <c r="N163" i="2"/>
  <c r="N171" i="2"/>
  <c r="M175" i="2"/>
  <c r="M183" i="2"/>
  <c r="N174" i="2"/>
  <c r="N182" i="2"/>
  <c r="J175" i="2"/>
  <c r="K182" i="2"/>
  <c r="G183" i="2"/>
  <c r="K176" i="2"/>
  <c r="K184" i="2"/>
  <c r="G174" i="2"/>
  <c r="M187" i="2"/>
  <c r="N179" i="2"/>
  <c r="N187" i="2"/>
  <c r="H180" i="2"/>
  <c r="N172" i="2"/>
  <c r="N180" i="2"/>
  <c r="N188" i="2"/>
  <c r="J198" i="2"/>
  <c r="G189" i="2"/>
  <c r="G197" i="2"/>
  <c r="G205" i="2"/>
  <c r="N200" i="2"/>
  <c r="K191" i="2"/>
  <c r="K199" i="2"/>
  <c r="H196" i="2"/>
  <c r="M189" i="2"/>
  <c r="M197" i="2"/>
  <c r="M205" i="2"/>
  <c r="M204" i="2"/>
  <c r="N196" i="2"/>
  <c r="N204" i="2"/>
  <c r="N189" i="2"/>
  <c r="N197" i="2"/>
  <c r="N205" i="2"/>
  <c r="H218" i="2"/>
  <c r="M210" i="2"/>
  <c r="M218" i="2"/>
  <c r="M211" i="2"/>
  <c r="G208" i="2"/>
  <c r="G216" i="2"/>
  <c r="M206" i="2"/>
  <c r="L221" i="2"/>
  <c r="M213" i="2"/>
  <c r="M221" i="2"/>
  <c r="L216" i="2"/>
  <c r="M207" i="2"/>
  <c r="M215" i="2"/>
  <c r="N206" i="2"/>
  <c r="J222" i="2"/>
  <c r="K213" i="2"/>
  <c r="K221" i="2"/>
  <c r="K230" i="2"/>
  <c r="K238" i="2"/>
  <c r="L229" i="2"/>
  <c r="L237" i="2"/>
  <c r="M228" i="2"/>
  <c r="M236" i="2"/>
  <c r="N227" i="2"/>
  <c r="N235" i="2"/>
  <c r="H224" i="2"/>
  <c r="G234" i="2"/>
  <c r="L225" i="2"/>
  <c r="L233" i="2"/>
  <c r="M224" i="2"/>
  <c r="M232" i="2"/>
  <c r="N223" i="2"/>
  <c r="N231" i="2"/>
  <c r="N239" i="2"/>
  <c r="M117" i="2"/>
  <c r="H106" i="2"/>
  <c r="H114" i="2"/>
  <c r="J113" i="2"/>
  <c r="H104" i="2"/>
  <c r="I105" i="2"/>
  <c r="I113" i="2"/>
  <c r="H124" i="2"/>
  <c r="G127" i="2"/>
  <c r="N137" i="2"/>
  <c r="I132" i="2"/>
  <c r="I125" i="2"/>
  <c r="I133" i="2"/>
  <c r="I130" i="2"/>
  <c r="J132" i="2"/>
  <c r="L129" i="2"/>
  <c r="L137" i="2"/>
  <c r="I122" i="2"/>
  <c r="N132" i="2"/>
  <c r="G124" i="2"/>
  <c r="J134" i="2"/>
  <c r="J127" i="2"/>
  <c r="J135" i="2"/>
  <c r="K127" i="2"/>
  <c r="K139" i="2"/>
  <c r="H143" i="2"/>
  <c r="H151" i="2"/>
  <c r="I142" i="2"/>
  <c r="I150" i="2"/>
  <c r="K147" i="2"/>
  <c r="L139" i="2"/>
  <c r="H140" i="2"/>
  <c r="H148" i="2"/>
  <c r="G139" i="2"/>
  <c r="M152" i="2"/>
  <c r="M139" i="2"/>
  <c r="M147" i="2"/>
  <c r="L145" i="2"/>
  <c r="J150" i="2"/>
  <c r="I140" i="2"/>
  <c r="I148" i="2"/>
  <c r="H158" i="2"/>
  <c r="I166" i="2"/>
  <c r="G171" i="2"/>
  <c r="L155" i="2"/>
  <c r="L163" i="2"/>
  <c r="L171" i="2"/>
  <c r="H160" i="2"/>
  <c r="J165" i="2"/>
  <c r="I168" i="2"/>
  <c r="I162" i="2"/>
  <c r="I170" i="2"/>
  <c r="L160" i="2"/>
  <c r="K156" i="2"/>
  <c r="K159" i="2"/>
  <c r="K167" i="2"/>
  <c r="I157" i="2"/>
  <c r="I165" i="2"/>
  <c r="N175" i="2"/>
  <c r="H177" i="2"/>
  <c r="H185" i="2"/>
  <c r="I176" i="2"/>
  <c r="I184" i="2"/>
  <c r="H179" i="2"/>
  <c r="N184" i="2"/>
  <c r="J185" i="2"/>
  <c r="J178" i="2"/>
  <c r="J186" i="2"/>
  <c r="N176" i="2"/>
  <c r="I173" i="2"/>
  <c r="I181" i="2"/>
  <c r="K173" i="2"/>
  <c r="J184" i="2"/>
  <c r="I174" i="2"/>
  <c r="I182" i="2"/>
  <c r="N190" i="2"/>
  <c r="N198" i="2"/>
  <c r="K189" i="2"/>
  <c r="K197" i="2"/>
  <c r="K205" i="2"/>
  <c r="I202" i="2"/>
  <c r="J193" i="2"/>
  <c r="J201" i="2"/>
  <c r="G192" i="2"/>
  <c r="H191" i="2"/>
  <c r="H199" i="2"/>
  <c r="J190" i="2"/>
  <c r="I190" i="2"/>
  <c r="I198" i="2"/>
  <c r="I194" i="2"/>
  <c r="I191" i="2"/>
  <c r="I199" i="2"/>
  <c r="L208" i="2"/>
  <c r="G220" i="2"/>
  <c r="H212" i="2"/>
  <c r="H220" i="2"/>
  <c r="H213" i="2"/>
  <c r="K208" i="2"/>
  <c r="K216" i="2"/>
  <c r="K207" i="2"/>
  <c r="H207" i="2"/>
  <c r="H215" i="2"/>
  <c r="I206" i="2"/>
  <c r="G218" i="2"/>
  <c r="H209" i="2"/>
  <c r="H217" i="2"/>
  <c r="M208" i="2"/>
  <c r="J207" i="2"/>
  <c r="J215" i="2"/>
  <c r="J224" i="2"/>
  <c r="J232" i="2"/>
  <c r="G223" i="2"/>
  <c r="G231" i="2"/>
  <c r="G239" i="2"/>
  <c r="H230" i="2"/>
  <c r="H238" i="2"/>
  <c r="I229" i="2"/>
  <c r="I237" i="2"/>
  <c r="L224" i="2"/>
  <c r="K234" i="2"/>
  <c r="G227" i="2"/>
  <c r="G235" i="2"/>
  <c r="H226" i="2"/>
  <c r="H234" i="2"/>
  <c r="I225" i="2"/>
  <c r="I233" i="2"/>
  <c r="L114" i="2"/>
  <c r="G105" i="2"/>
  <c r="G106" i="2"/>
  <c r="M105" i="2"/>
  <c r="M113" i="2"/>
  <c r="J128" i="2"/>
  <c r="J129" i="2"/>
  <c r="N122" i="2"/>
  <c r="M132" i="2"/>
  <c r="M125" i="2"/>
  <c r="M133" i="2"/>
  <c r="L132" i="2"/>
  <c r="H121" i="2"/>
  <c r="G131" i="2"/>
  <c r="N121" i="2"/>
  <c r="L124" i="2"/>
  <c r="I134" i="2"/>
  <c r="K124" i="2"/>
  <c r="I136" i="2"/>
  <c r="N127" i="2"/>
  <c r="N135" i="2"/>
  <c r="N129" i="2"/>
  <c r="M143" i="2"/>
  <c r="L143" i="2"/>
  <c r="L151" i="2"/>
  <c r="M142" i="2"/>
  <c r="M150" i="2"/>
  <c r="I151" i="2"/>
  <c r="K141" i="2"/>
  <c r="L140" i="2"/>
  <c r="L148" i="2"/>
  <c r="J141" i="2"/>
  <c r="H139" i="2"/>
  <c r="H141" i="2"/>
  <c r="H149" i="2"/>
  <c r="N149" i="2"/>
  <c r="L154" i="2"/>
  <c r="M140" i="2"/>
  <c r="M148" i="2"/>
  <c r="G160" i="2"/>
  <c r="L168" i="2"/>
  <c r="G156" i="2"/>
  <c r="G157" i="2"/>
  <c r="G165" i="2"/>
  <c r="M156" i="2"/>
  <c r="J164" i="2"/>
  <c r="M167" i="2"/>
  <c r="H170" i="2"/>
  <c r="M162" i="2"/>
  <c r="M170" i="2"/>
  <c r="G162" i="2"/>
  <c r="I160" i="2"/>
  <c r="J161" i="2"/>
  <c r="J169" i="2"/>
  <c r="M157" i="2"/>
  <c r="M165" i="2"/>
  <c r="L179" i="2"/>
  <c r="L177" i="2"/>
  <c r="L185" i="2"/>
  <c r="M176" i="2"/>
  <c r="M184" i="2"/>
  <c r="J183" i="2"/>
  <c r="M186" i="2"/>
  <c r="I187" i="2"/>
  <c r="N178" i="2"/>
  <c r="N186" i="2"/>
  <c r="G182" i="2"/>
  <c r="M173" i="2"/>
  <c r="M181" i="2"/>
  <c r="I177" i="2"/>
  <c r="I186" i="2"/>
  <c r="M174" i="2"/>
  <c r="M182" i="2"/>
  <c r="I192" i="2"/>
  <c r="I200" i="2"/>
  <c r="J191" i="2"/>
  <c r="J199" i="2"/>
  <c r="K190" i="2"/>
  <c r="M202" i="2"/>
  <c r="N193" i="2"/>
  <c r="N201" i="2"/>
  <c r="N194" i="2"/>
  <c r="L191" i="2"/>
  <c r="L199" i="2"/>
  <c r="G190" i="2"/>
  <c r="M190" i="2"/>
  <c r="M198" i="2"/>
  <c r="L190" i="2"/>
  <c r="M191" i="2"/>
  <c r="M199" i="2"/>
  <c r="J206" i="2"/>
  <c r="N222" i="2"/>
  <c r="L212" i="2"/>
  <c r="L220" i="2"/>
  <c r="G215" i="2"/>
  <c r="J210" i="2"/>
  <c r="J218" i="2"/>
  <c r="J209" i="2"/>
  <c r="L207" i="2"/>
  <c r="L215" i="2"/>
  <c r="K210" i="2"/>
  <c r="K218" i="2"/>
  <c r="L209" i="2"/>
  <c r="L217" i="2"/>
  <c r="L210" i="2"/>
  <c r="N207" i="2"/>
  <c r="N215" i="2"/>
  <c r="N224" i="2"/>
  <c r="N232" i="2"/>
  <c r="K223" i="2"/>
  <c r="K231" i="2"/>
  <c r="K239" i="2"/>
  <c r="L230" i="2"/>
  <c r="L238" i="2"/>
  <c r="M229" i="2"/>
  <c r="M237" i="2"/>
  <c r="K226" i="2"/>
  <c r="J236" i="2"/>
  <c r="K227" i="2"/>
  <c r="K235" i="2"/>
  <c r="L226" i="2"/>
  <c r="L234" i="2"/>
  <c r="M225" i="2"/>
  <c r="M233" i="2"/>
  <c r="J105" i="2"/>
  <c r="M110" i="2"/>
  <c r="G108" i="2"/>
  <c r="G116" i="2"/>
  <c r="J107" i="2"/>
  <c r="J108" i="2"/>
  <c r="H107" i="2"/>
  <c r="H115" i="2"/>
  <c r="M130" i="2"/>
  <c r="I131" i="2"/>
  <c r="I124" i="2"/>
  <c r="H134" i="2"/>
  <c r="H127" i="2"/>
  <c r="H135" i="2"/>
  <c r="K134" i="2"/>
  <c r="G123" i="2"/>
  <c r="K131" i="2"/>
  <c r="L128" i="2"/>
  <c r="N128" i="2"/>
  <c r="M134" i="2"/>
  <c r="J126" i="2"/>
  <c r="I121" i="2"/>
  <c r="I129" i="2"/>
  <c r="I137" i="2"/>
  <c r="G135" i="2"/>
  <c r="G147" i="2"/>
  <c r="G145" i="2"/>
  <c r="G153" i="2"/>
  <c r="H144" i="2"/>
  <c r="H152" i="2"/>
  <c r="G140" i="2"/>
  <c r="J143" i="2"/>
  <c r="G142" i="2"/>
  <c r="G150" i="2"/>
  <c r="H153" i="2"/>
  <c r="N143" i="2"/>
  <c r="L141" i="2"/>
  <c r="L149" i="2"/>
  <c r="M151" i="2"/>
  <c r="G141" i="2"/>
  <c r="H142" i="2"/>
  <c r="H150" i="2"/>
  <c r="J162" i="2"/>
  <c r="G170" i="2"/>
  <c r="N158" i="2"/>
  <c r="K157" i="2"/>
  <c r="K165" i="2"/>
  <c r="K160" i="2"/>
  <c r="M166" i="2"/>
  <c r="K171" i="2"/>
  <c r="H156" i="2"/>
  <c r="H164" i="2"/>
  <c r="I156" i="2"/>
  <c r="H168" i="2"/>
  <c r="L170" i="2"/>
  <c r="N161" i="2"/>
  <c r="N169" i="2"/>
  <c r="H159" i="2"/>
  <c r="H167" i="2"/>
  <c r="N183" i="2"/>
  <c r="G179" i="2"/>
  <c r="G187" i="2"/>
  <c r="H178" i="2"/>
  <c r="H186" i="2"/>
  <c r="M185" i="2"/>
  <c r="L173" i="2"/>
  <c r="I172" i="2"/>
  <c r="I180" i="2"/>
  <c r="I188" i="2"/>
  <c r="H188" i="2"/>
  <c r="H175" i="2"/>
  <c r="H183" i="2"/>
  <c r="K181" i="2"/>
  <c r="L188" i="2"/>
  <c r="H176" i="2"/>
  <c r="H184" i="2"/>
  <c r="M192" i="2"/>
  <c r="M200" i="2"/>
  <c r="N191" i="2"/>
  <c r="N199" i="2"/>
  <c r="M194" i="2"/>
  <c r="H204" i="2"/>
  <c r="I195" i="2"/>
  <c r="I203" i="2"/>
  <c r="H198" i="2"/>
  <c r="G193" i="2"/>
  <c r="G201" i="2"/>
  <c r="N192" i="2"/>
  <c r="H192" i="2"/>
  <c r="H200" i="2"/>
  <c r="J194" i="2"/>
  <c r="H193" i="2"/>
  <c r="H201" i="2"/>
  <c r="I208" i="2"/>
  <c r="G206" i="2"/>
  <c r="G214" i="2"/>
  <c r="G222" i="2"/>
  <c r="N217" i="2"/>
  <c r="N210" i="2"/>
  <c r="N218" i="2"/>
  <c r="I211" i="2"/>
  <c r="G209" i="2"/>
  <c r="G217" i="2"/>
  <c r="J212" i="2"/>
  <c r="J220" i="2"/>
  <c r="G211" i="2"/>
  <c r="G219" i="2"/>
  <c r="K212" i="2"/>
  <c r="I209" i="2"/>
  <c r="I217" i="2"/>
  <c r="I226" i="2"/>
  <c r="I234" i="2"/>
  <c r="J225" i="2"/>
  <c r="J233" i="2"/>
  <c r="G224" i="2"/>
  <c r="G232" i="2"/>
  <c r="H223" i="2"/>
  <c r="H231" i="2"/>
  <c r="H239" i="2"/>
  <c r="J228" i="2"/>
  <c r="N236" i="2"/>
  <c r="J229" i="2"/>
  <c r="J237" i="2"/>
  <c r="G228" i="2"/>
  <c r="G236" i="2"/>
  <c r="H227" i="2"/>
  <c r="H235" i="2"/>
  <c r="I145" i="2"/>
  <c r="L142" i="2"/>
  <c r="L150" i="2"/>
  <c r="L166" i="2"/>
  <c r="N157" i="2"/>
  <c r="H162" i="2"/>
  <c r="J159" i="2"/>
  <c r="J167" i="2"/>
  <c r="I164" i="2"/>
  <c r="K170" i="2"/>
  <c r="J158" i="2"/>
  <c r="L156" i="2"/>
  <c r="L164" i="2"/>
  <c r="L158" i="2"/>
  <c r="G155" i="2"/>
  <c r="I155" i="2"/>
  <c r="I163" i="2"/>
  <c r="I171" i="2"/>
  <c r="L159" i="2"/>
  <c r="L167" i="2"/>
  <c r="H187" i="2"/>
  <c r="K179" i="2"/>
  <c r="K187" i="2"/>
  <c r="L178" i="2"/>
  <c r="L186" i="2"/>
  <c r="L172" i="2"/>
  <c r="K175" i="2"/>
  <c r="M172" i="2"/>
  <c r="M180" i="2"/>
  <c r="M188" i="2"/>
  <c r="J177" i="2"/>
  <c r="L175" i="2"/>
  <c r="L183" i="2"/>
  <c r="I185" i="2"/>
  <c r="H173" i="2"/>
  <c r="L176" i="2"/>
  <c r="L184" i="2"/>
  <c r="H194" i="2"/>
  <c r="H202" i="2"/>
  <c r="I193" i="2"/>
  <c r="I201" i="2"/>
  <c r="L196" i="2"/>
  <c r="L204" i="2"/>
  <c r="M195" i="2"/>
  <c r="M203" i="2"/>
  <c r="K200" i="2"/>
  <c r="K193" i="2"/>
  <c r="K201" i="2"/>
  <c r="H190" i="2"/>
  <c r="L192" i="2"/>
  <c r="L200" i="2"/>
  <c r="M196" i="2"/>
  <c r="L193" i="2"/>
  <c r="L201" i="2"/>
  <c r="H210" i="2"/>
  <c r="K206" i="2"/>
  <c r="K214" i="2"/>
  <c r="K222" i="2"/>
  <c r="I219" i="2"/>
  <c r="I212" i="2"/>
  <c r="I220" i="2"/>
  <c r="L213" i="2"/>
  <c r="K209" i="2"/>
  <c r="K217" i="2"/>
  <c r="N212" i="2"/>
  <c r="N220" i="2"/>
  <c r="K211" i="2"/>
  <c r="K219" i="2"/>
  <c r="N214" i="2"/>
  <c r="M209" i="2"/>
  <c r="M217" i="2"/>
  <c r="M226" i="2"/>
  <c r="M234" i="2"/>
  <c r="N225" i="2"/>
  <c r="N233" i="2"/>
  <c r="K224" i="2"/>
  <c r="K232" i="2"/>
  <c r="L223" i="2"/>
  <c r="L231" i="2"/>
  <c r="L239" i="2"/>
  <c r="N228" i="2"/>
  <c r="M238" i="2"/>
  <c r="N229" i="2"/>
  <c r="N237" i="2"/>
  <c r="K228" i="2"/>
  <c r="K236" i="2"/>
  <c r="L227" i="2"/>
  <c r="L235" i="2"/>
  <c r="K168" i="2"/>
  <c r="M159" i="2"/>
  <c r="K164" i="2"/>
  <c r="N159" i="2"/>
  <c r="N167" i="2"/>
  <c r="H166" i="2"/>
  <c r="K155" i="2"/>
  <c r="M160" i="2"/>
  <c r="G158" i="2"/>
  <c r="G166" i="2"/>
  <c r="N162" i="2"/>
  <c r="I159" i="2"/>
  <c r="M155" i="2"/>
  <c r="M163" i="2"/>
  <c r="M171" i="2"/>
  <c r="G161" i="2"/>
  <c r="G169" i="2"/>
  <c r="J173" i="2"/>
  <c r="J181" i="2"/>
  <c r="G172" i="2"/>
  <c r="G180" i="2"/>
  <c r="G188" i="2"/>
  <c r="J176" i="2"/>
  <c r="N177" i="2"/>
  <c r="H174" i="2"/>
  <c r="H182" i="2"/>
  <c r="M177" i="2"/>
  <c r="H181" i="2"/>
  <c r="G177" i="2"/>
  <c r="G185" i="2"/>
  <c r="H172" i="2"/>
  <c r="G175" i="2"/>
  <c r="G178" i="2"/>
  <c r="G186" i="2"/>
  <c r="L194" i="2"/>
  <c r="L202" i="2"/>
  <c r="M193" i="2"/>
  <c r="M201" i="2"/>
  <c r="G198" i="2"/>
  <c r="H189" i="2"/>
  <c r="H197" i="2"/>
  <c r="H205" i="2"/>
  <c r="J202" i="2"/>
  <c r="J195" i="2"/>
  <c r="J203" i="2"/>
  <c r="K192" i="2"/>
  <c r="G194" i="2"/>
  <c r="G202" i="2"/>
  <c r="G200" i="2"/>
  <c r="G195" i="2"/>
  <c r="G203" i="2"/>
  <c r="G212" i="2"/>
  <c r="J208" i="2"/>
  <c r="J216" i="2"/>
  <c r="H208" i="2"/>
  <c r="H221" i="2"/>
  <c r="M212" i="2"/>
  <c r="M220" i="2"/>
  <c r="K215" i="2"/>
  <c r="J211" i="2"/>
  <c r="J219" i="2"/>
  <c r="I214" i="2"/>
  <c r="I222" i="2"/>
  <c r="J213" i="2"/>
  <c r="J221" i="2"/>
  <c r="M216" i="2"/>
  <c r="H211" i="2"/>
  <c r="H219" i="2"/>
  <c r="H228" i="2"/>
  <c r="H236" i="2"/>
  <c r="I227" i="2"/>
  <c r="I235" i="2"/>
  <c r="J226" i="2"/>
  <c r="J234" i="2"/>
  <c r="G225" i="2"/>
  <c r="G233" i="2"/>
  <c r="G226" i="2"/>
  <c r="M230" i="2"/>
  <c r="I223" i="2"/>
  <c r="I231" i="2"/>
  <c r="I239" i="2"/>
  <c r="J230" i="2"/>
  <c r="J238" i="2"/>
  <c r="G229" i="2"/>
  <c r="G237" i="2"/>
  <c r="N2" i="2"/>
  <c r="M2" i="2"/>
  <c r="L2" i="2"/>
  <c r="K2" i="2"/>
  <c r="J2" i="2"/>
  <c r="I2" i="2"/>
  <c r="H2" i="2"/>
  <c r="G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<sst xmlns="http://schemas.openxmlformats.org/spreadsheetml/2006/main" count="192" uniqueCount="32">
  <si>
    <t>REPORT n4</t>
  </si>
  <si>
    <t>0)</t>
  </si>
  <si>
    <t>Set K=100; r=1%; vol=20%</t>
  </si>
  <si>
    <t>1)</t>
  </si>
  <si>
    <t>Provide a VBA script that computes the Greeks for a B&amp;S model for S=60,65,70,..,130, 135, 140 and time to maturity tau=0.1,0.2,…,1, 2, 3, 4, 5 years</t>
  </si>
  <si>
    <t>2)</t>
  </si>
  <si>
    <t>Same as in 1 with a shock of the volatility of +-50%</t>
  </si>
  <si>
    <t>3)</t>
  </si>
  <si>
    <t>Display in a 3D graph the corresponding surfaces for all greeks</t>
  </si>
  <si>
    <t>DEADLINE  April 28</t>
  </si>
  <si>
    <t>4)</t>
  </si>
  <si>
    <t>Provide a sensitivity analysis on the Greeks with respect to the dividend rate q</t>
  </si>
  <si>
    <t>(provide PDF and Excel with macros)</t>
  </si>
  <si>
    <t>K</t>
  </si>
  <si>
    <t>R</t>
  </si>
  <si>
    <t>vol</t>
  </si>
  <si>
    <t>S</t>
  </si>
  <si>
    <t>T</t>
  </si>
  <si>
    <t>delta_call</t>
  </si>
  <si>
    <t>delta_put</t>
  </si>
  <si>
    <t>theta_call</t>
  </si>
  <si>
    <t>theta_put</t>
  </si>
  <si>
    <t>gamma</t>
  </si>
  <si>
    <t>vega</t>
  </si>
  <si>
    <t>rho_call</t>
  </si>
  <si>
    <t>rho_put</t>
  </si>
  <si>
    <t>q</t>
  </si>
  <si>
    <t>DELTA</t>
  </si>
  <si>
    <t>THETA</t>
  </si>
  <si>
    <t>GAMMA</t>
  </si>
  <si>
    <t>VEGA</t>
  </si>
  <si>
    <t>RHO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</si>
</sst>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7" borderId="0" xfId="0" applyFont="1" applyFill="1"/>
    <xf numFmtId="0" fontId="0" fillId="8" borderId="0" xfId="0" applyFill="1"/>
    <xf numFmtId="0" fontId="2" fillId="4" borderId="0" xfId="0" applyFont="1" applyFill="1"/>
    <xf numFmtId="0" fontId="2" fillId="0" borderId="0" xfId="0" applyFont="1"/>
    <xf numFmtId="0" fontId="0" fillId="7" borderId="0" xfId="0" applyFill="1"/>
    <xf numFmtId="0" fontId="1" fillId="5" borderId="0" xfId="0" applyFont="1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</a:t>
            </a:r>
            <a:r>
              <a:rPr lang="it-IT" baseline="0"/>
              <a:t> = 20%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'q=0'!$F$2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0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'q=0'!$F$3:$F$19</c:f>
              <c:numCache>
                <c:formatCode>General</c:formatCode>
                <c:ptCount val="17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A9-47D4-A991-F5D5AFA5F6D5}"/>
            </c:ext>
          </c:extLst>
        </c:ser>
        <c:ser>
          <c:idx val="1"/>
          <c:order val="1"/>
          <c:tx>
            <c:strRef>
              <c:f>'q=0'!$G$2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9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'q=0'!$G$3:$G$19</c:f>
              <c:numCache>
                <c:formatCode>General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A9-47D4-A991-F5D5AFA5F6D5}"/>
            </c:ext>
          </c:extLst>
        </c:ser>
        <c:ser>
          <c:idx val="2"/>
          <c:order val="2"/>
          <c:tx>
            <c:strRef>
              <c:f>'q=0'!$H$2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58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'q=0'!$H$3:$H$19</c:f>
              <c:numCache>
                <c:formatCode>General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A9-47D4-A991-F5D5AFA5F6D5}"/>
            </c:ext>
          </c:extLst>
        </c:ser>
        <c:ser>
          <c:idx val="3"/>
          <c:order val="3"/>
          <c:tx>
            <c:strRef>
              <c:f>'q=0'!$I$2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8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'q=0'!$I$3:$I$19</c:f>
              <c:numCache>
                <c:formatCode>General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0.68459548536557624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A9-47D4-A991-F5D5AFA5F6D5}"/>
            </c:ext>
          </c:extLst>
        </c:ser>
        <c:ser>
          <c:idx val="4"/>
          <c:order val="4"/>
          <c:tx>
            <c:strRef>
              <c:f>'q=0'!$J$2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'q=0'!$J$3:$J$19</c:f>
              <c:numCache>
                <c:formatCode>General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A9-47D4-A991-F5D5AFA5F6D5}"/>
            </c:ext>
          </c:extLst>
        </c:ser>
        <c:ser>
          <c:idx val="5"/>
          <c:order val="5"/>
          <c:tx>
            <c:strRef>
              <c:f>'q=0'!$K$2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86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'q=0'!$K$3:$K$19</c:f>
              <c:numCache>
                <c:formatCode>General</c:formatCode>
                <c:ptCount val="17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A9-47D4-A991-F5D5AFA5F6D5}"/>
            </c:ext>
          </c:extLst>
        </c:ser>
        <c:ser>
          <c:idx val="6"/>
          <c:order val="6"/>
          <c:tx>
            <c:strRef>
              <c:f>'q=0'!$L$2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6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'q=0'!$L$3:$L$19</c:f>
              <c:numCache>
                <c:formatCode>General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A9-47D4-A991-F5D5AFA5F6D5}"/>
            </c:ext>
          </c:extLst>
        </c:ser>
        <c:ser>
          <c:idx val="7"/>
          <c:order val="7"/>
          <c:tx>
            <c:strRef>
              <c:f>'q=0'!$M$2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'q=0'!$M$3:$M$19</c:f>
              <c:numCache>
                <c:formatCode>General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0.13280133237005642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A9-47D4-A991-F5D5AFA5F6D5}"/>
            </c:ext>
          </c:extLst>
        </c:ser>
        <c:ser>
          <c:idx val="8"/>
          <c:order val="8"/>
          <c:tx>
            <c:strRef>
              <c:f>'q=0'!$N$2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6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'q=0'!$N$3:$N$19</c:f>
              <c:numCache>
                <c:formatCode>General</c:formatCode>
                <c:ptCount val="17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0.3398047061837523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0.65521889020886737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A9-47D4-A991-F5D5AFA5F6D5}"/>
            </c:ext>
          </c:extLst>
        </c:ser>
        <c:ser>
          <c:idx val="9"/>
          <c:order val="9"/>
          <c:tx>
            <c:strRef>
              <c:f>'q=0'!$O$2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'q=0'!$O$3:$O$19</c:f>
              <c:numCache>
                <c:formatCode>General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A9-47D4-A991-F5D5AFA5F6D5}"/>
            </c:ext>
          </c:extLst>
        </c:ser>
        <c:ser>
          <c:idx val="10"/>
          <c:order val="10"/>
          <c:tx>
            <c:strRef>
              <c:f>'q=0'!$P$2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7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'q=0'!$P$3:$P$19</c:f>
              <c:numCache>
                <c:formatCode>General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A9-47D4-A991-F5D5AFA5F6D5}"/>
            </c:ext>
          </c:extLst>
        </c:ser>
        <c:ser>
          <c:idx val="11"/>
          <c:order val="11"/>
          <c:tx>
            <c:strRef>
              <c:f>'q=0'!$Q$2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8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'q=0'!$Q$3:$Q$19</c:f>
              <c:numCache>
                <c:formatCode>General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A9-47D4-A991-F5D5AFA5F6D5}"/>
            </c:ext>
          </c:extLst>
        </c:ser>
        <c:ser>
          <c:idx val="12"/>
          <c:order val="12"/>
          <c:tx>
            <c:strRef>
              <c:f>'q=0'!$R$2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8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'q=0'!$R$3:$R$19</c:f>
              <c:numCache>
                <c:formatCode>General</c:formatCode>
                <c:ptCount val="17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A9-47D4-A991-F5D5AFA5F6D5}"/>
            </c:ext>
          </c:extLst>
        </c:ser>
        <c:ser>
          <c:idx val="13"/>
          <c:order val="13"/>
          <c:tx>
            <c:strRef>
              <c:f>'q=0'!$S$2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9000"/>
                  <a:shade val="95000"/>
                </a:schemeClr>
              </a:contourClr>
            </a:sp3d>
          </c:spPr>
          <c:cat>
            <c:numRef>
              <c:f>'q=0'!$E$3:$E$19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'q=0'!$S$3:$S$19</c:f>
              <c:numCache>
                <c:formatCode>General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A9-47D4-A991-F5D5AFA5F6D5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</c:bandFmts>
        <c:axId val="11842704"/>
        <c:axId val="11843184"/>
        <c:axId val="23812896"/>
      </c:surface3DChart>
      <c:catAx>
        <c:axId val="1184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122140201224847"/>
              <c:y val="0.7990477580800662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  <c:auto val="1"/>
        <c:lblAlgn val="ctr"/>
        <c:lblOffset val="100"/>
        <c:noMultiLvlLbl val="0"/>
      </c:catAx>
      <c:valAx>
        <c:axId val="118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2704"/>
        <c:crosses val="autoZero"/>
        <c:crossBetween val="midCat"/>
      </c:valAx>
      <c:serAx>
        <c:axId val="238128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'q=0'!$F$21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9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'q=0'!$F$22:$F$38</c:f>
              <c:numCache>
                <c:formatCode>General</c:formatCode>
                <c:ptCount val="17"/>
                <c:pt idx="0">
                  <c:v>2.7372611994809412E-228</c:v>
                </c:pt>
                <c:pt idx="1">
                  <c:v>6.5993643403355037E-163</c:v>
                </c:pt>
                <c:pt idx="2">
                  <c:v>2.7847648196726985E-112</c:v>
                </c:pt>
                <c:pt idx="3">
                  <c:v>1.0404286248480753E-73</c:v>
                </c:pt>
                <c:pt idx="4">
                  <c:v>4.3313396156151041E-45</c:v>
                </c:pt>
                <c:pt idx="5">
                  <c:v>9.1815180581362575E-25</c:v>
                </c:pt>
                <c:pt idx="6">
                  <c:v>2.1633845029987181E-11</c:v>
                </c:pt>
                <c:pt idx="7">
                  <c:v>7.5456653050280566E-4</c:v>
                </c:pt>
                <c:pt idx="8">
                  <c:v>0.52836130900185174</c:v>
                </c:pt>
                <c:pt idx="9">
                  <c:v>0.99920275317662521</c:v>
                </c:pt>
                <c:pt idx="10">
                  <c:v>0.99999999946665097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51-49D2-B120-BE2DFD921FC2}"/>
            </c:ext>
          </c:extLst>
        </c:ser>
        <c:ser>
          <c:idx val="1"/>
          <c:order val="1"/>
          <c:tx>
            <c:strRef>
              <c:f>'q=0'!$G$21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8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'q=0'!$G$22:$G$38</c:f>
              <c:numCache>
                <c:formatCode>General</c:formatCode>
                <c:ptCount val="17"/>
                <c:pt idx="0">
                  <c:v>8.1902820174346134E-115</c:v>
                </c:pt>
                <c:pt idx="1">
                  <c:v>3.6576138888253611E-82</c:v>
                </c:pt>
                <c:pt idx="2">
                  <c:v>6.9882965666833139E-57</c:v>
                </c:pt>
                <c:pt idx="3">
                  <c:v>1.2872346138313245E-37</c:v>
                </c:pt>
                <c:pt idx="4">
                  <c:v>2.5758605861917426E-23</c:v>
                </c:pt>
                <c:pt idx="5">
                  <c:v>3.8205336062112562E-13</c:v>
                </c:pt>
                <c:pt idx="6">
                  <c:v>2.0013468567857179E-6</c:v>
                </c:pt>
                <c:pt idx="7">
                  <c:v>1.4143504981578929E-2</c:v>
                </c:pt>
                <c:pt idx="8">
                  <c:v>0.54007515440860199</c:v>
                </c:pt>
                <c:pt idx="9">
                  <c:v>0.98877260304276526</c:v>
                </c:pt>
                <c:pt idx="10">
                  <c:v>0.99999358615320744</c:v>
                </c:pt>
                <c:pt idx="11">
                  <c:v>0.99999999989301724</c:v>
                </c:pt>
                <c:pt idx="12">
                  <c:v>0.99999999999999989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51-49D2-B120-BE2DFD921FC2}"/>
            </c:ext>
          </c:extLst>
        </c:ser>
        <c:ser>
          <c:idx val="2"/>
          <c:order val="2"/>
          <c:tx>
            <c:strRef>
              <c:f>'q=0'!$H$21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8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'q=0'!$H$22:$H$38</c:f>
              <c:numCache>
                <c:formatCode>General</c:formatCode>
                <c:ptCount val="17"/>
                <c:pt idx="0">
                  <c:v>5.972120960422795E-77</c:v>
                </c:pt>
                <c:pt idx="1">
                  <c:v>3.2754563731460695E-55</c:v>
                </c:pt>
                <c:pt idx="2">
                  <c:v>2.2304269635784912E-38</c:v>
                </c:pt>
                <c:pt idx="3">
                  <c:v>1.5062003876925081E-25</c:v>
                </c:pt>
                <c:pt idx="4">
                  <c:v>5.0840412868023293E-16</c:v>
                </c:pt>
                <c:pt idx="5">
                  <c:v>3.1029117353354229E-9</c:v>
                </c:pt>
                <c:pt idx="6">
                  <c:v>9.8051486444414724E-5</c:v>
                </c:pt>
                <c:pt idx="7">
                  <c:v>4.0082568000292799E-2</c:v>
                </c:pt>
                <c:pt idx="8">
                  <c:v>0.54904051427844991</c:v>
                </c:pt>
                <c:pt idx="9">
                  <c:v>0.97159712400187559</c:v>
                </c:pt>
                <c:pt idx="10">
                  <c:v>0.99984300347511301</c:v>
                </c:pt>
                <c:pt idx="11">
                  <c:v>0.99999991368260444</c:v>
                </c:pt>
                <c:pt idx="12">
                  <c:v>0.99999999999401945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51-49D2-B120-BE2DFD921FC2}"/>
            </c:ext>
          </c:extLst>
        </c:ser>
        <c:ser>
          <c:idx val="3"/>
          <c:order val="3"/>
          <c:tx>
            <c:strRef>
              <c:f>'q=0'!$I$21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7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'q=0'!$I$22:$I$38</c:f>
              <c:numCache>
                <c:formatCode>General</c:formatCode>
                <c:ptCount val="17"/>
                <c:pt idx="0">
                  <c:v>5.3175491897566477E-58</c:v>
                </c:pt>
                <c:pt idx="1">
                  <c:v>1.0220731523919236E-41</c:v>
                </c:pt>
                <c:pt idx="2">
                  <c:v>4.1548521194767605E-29</c:v>
                </c:pt>
                <c:pt idx="3">
                  <c:v>1.6986255720667482E-19</c:v>
                </c:pt>
                <c:pt idx="4">
                  <c:v>2.3539461757859681E-12</c:v>
                </c:pt>
                <c:pt idx="5">
                  <c:v>2.9114940797298593E-7</c:v>
                </c:pt>
                <c:pt idx="6">
                  <c:v>7.1262144826417587E-4</c:v>
                </c:pt>
                <c:pt idx="7">
                  <c:v>6.9472138144277648E-2</c:v>
                </c:pt>
                <c:pt idx="8">
                  <c:v>0.55657946195545971</c:v>
                </c:pt>
                <c:pt idx="9">
                  <c:v>0.95402336086086736</c:v>
                </c:pt>
                <c:pt idx="10">
                  <c:v>0.99920100944181667</c:v>
                </c:pt>
                <c:pt idx="11">
                  <c:v>0.99999746612316398</c:v>
                </c:pt>
                <c:pt idx="12">
                  <c:v>0.99999999826663921</c:v>
                </c:pt>
                <c:pt idx="13">
                  <c:v>0.99999999999969613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51-49D2-B120-BE2DFD921FC2}"/>
            </c:ext>
          </c:extLst>
        </c:ser>
        <c:ser>
          <c:idx val="4"/>
          <c:order val="4"/>
          <c:tx>
            <c:strRef>
              <c:f>'q=0'!$J$21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'q=0'!$J$22:$J$38</c:f>
              <c:numCache>
                <c:formatCode>General</c:formatCode>
                <c:ptCount val="17"/>
                <c:pt idx="0">
                  <c:v>1.277062362017509E-46</c:v>
                </c:pt>
                <c:pt idx="1">
                  <c:v>1.3084683120232562E-33</c:v>
                </c:pt>
                <c:pt idx="2">
                  <c:v>1.5538198510187872E-23</c:v>
                </c:pt>
                <c:pt idx="3">
                  <c:v>7.4495078851635179E-16</c:v>
                </c:pt>
                <c:pt idx="4">
                  <c:v>3.8170690486470643E-10</c:v>
                </c:pt>
                <c:pt idx="5">
                  <c:v>4.5477298152321564E-6</c:v>
                </c:pt>
                <c:pt idx="6">
                  <c:v>2.3941102915395981E-3</c:v>
                </c:pt>
                <c:pt idx="7">
                  <c:v>9.8231494302977521E-2</c:v>
                </c:pt>
                <c:pt idx="8">
                  <c:v>0.56320457211528641</c:v>
                </c:pt>
                <c:pt idx="9">
                  <c:v>0.93810923527972578</c:v>
                </c:pt>
                <c:pt idx="10">
                  <c:v>0.99784733183292618</c:v>
                </c:pt>
                <c:pt idx="11">
                  <c:v>0.99998040159115298</c:v>
                </c:pt>
                <c:pt idx="12">
                  <c:v>0.99999994694343552</c:v>
                </c:pt>
                <c:pt idx="13">
                  <c:v>0.99999999995117717</c:v>
                </c:pt>
                <c:pt idx="14">
                  <c:v>0.99999999999998268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51-49D2-B120-BE2DFD921FC2}"/>
            </c:ext>
          </c:extLst>
        </c:ser>
        <c:ser>
          <c:idx val="5"/>
          <c:order val="5"/>
          <c:tx>
            <c:strRef>
              <c:f>'q=0'!$K$21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6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'q=0'!$K$22:$K$38</c:f>
              <c:numCache>
                <c:formatCode>General</c:formatCode>
                <c:ptCount val="17"/>
                <c:pt idx="0">
                  <c:v>5.0155034842789398E-39</c:v>
                </c:pt>
                <c:pt idx="1">
                  <c:v>3.3784938655283381E-28</c:v>
                </c:pt>
                <c:pt idx="2">
                  <c:v>8.1983821402823137E-20</c:v>
                </c:pt>
                <c:pt idx="3">
                  <c:v>2.0286641184193698E-13</c:v>
                </c:pt>
                <c:pt idx="4">
                  <c:v>1.1534179525057225E-8</c:v>
                </c:pt>
                <c:pt idx="5">
                  <c:v>2.8860814657643429E-5</c:v>
                </c:pt>
                <c:pt idx="6">
                  <c:v>5.446502782428436E-3</c:v>
                </c:pt>
                <c:pt idx="7">
                  <c:v>0.12505074282541714</c:v>
                </c:pt>
                <c:pt idx="8">
                  <c:v>0.56917896198055484</c:v>
                </c:pt>
                <c:pt idx="9">
                  <c:v>0.92421970029170719</c:v>
                </c:pt>
                <c:pt idx="10">
                  <c:v>0.99579539732471112</c:v>
                </c:pt>
                <c:pt idx="11">
                  <c:v>0.99992250102787705</c:v>
                </c:pt>
                <c:pt idx="12">
                  <c:v>0.99999947440838299</c:v>
                </c:pt>
                <c:pt idx="13">
                  <c:v>0.99999999853815102</c:v>
                </c:pt>
                <c:pt idx="14">
                  <c:v>0.99999999999815403</c:v>
                </c:pt>
                <c:pt idx="15">
                  <c:v>0.99999999999999889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51-49D2-B120-BE2DFD921FC2}"/>
            </c:ext>
          </c:extLst>
        </c:ser>
        <c:ser>
          <c:idx val="6"/>
          <c:order val="6"/>
          <c:tx>
            <c:strRef>
              <c:f>'q=0'!$L$21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'q=0'!$L$22:$L$38</c:f>
              <c:numCache>
                <c:formatCode>General</c:formatCode>
                <c:ptCount val="17"/>
                <c:pt idx="0">
                  <c:v>1.3480598973761545E-33</c:v>
                </c:pt>
                <c:pt idx="1">
                  <c:v>2.5086952002318079E-24</c:v>
                </c:pt>
                <c:pt idx="2">
                  <c:v>3.7806445496917786E-17</c:v>
                </c:pt>
                <c:pt idx="3">
                  <c:v>1.1260522409817751E-11</c:v>
                </c:pt>
                <c:pt idx="4">
                  <c:v>1.3311875426994588E-7</c:v>
                </c:pt>
                <c:pt idx="5">
                  <c:v>1.0921139892888408E-4</c:v>
                </c:pt>
                <c:pt idx="6">
                  <c:v>9.8938420423891529E-3</c:v>
                </c:pt>
                <c:pt idx="7">
                  <c:v>0.14965929563304667</c:v>
                </c:pt>
                <c:pt idx="8">
                  <c:v>0.57465907506793834</c:v>
                </c:pt>
                <c:pt idx="9">
                  <c:v>0.91222055081627429</c:v>
                </c:pt>
                <c:pt idx="10">
                  <c:v>0.99317982212385825</c:v>
                </c:pt>
                <c:pt idx="11">
                  <c:v>0.99979158938598267</c:v>
                </c:pt>
                <c:pt idx="12">
                  <c:v>0.9999972736033107</c:v>
                </c:pt>
                <c:pt idx="13">
                  <c:v>0.99999998327995909</c:v>
                </c:pt>
                <c:pt idx="14">
                  <c:v>0.99999999994763256</c:v>
                </c:pt>
                <c:pt idx="15">
                  <c:v>0.99999999999990952</c:v>
                </c:pt>
                <c:pt idx="16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51-49D2-B120-BE2DFD921FC2}"/>
            </c:ext>
          </c:extLst>
        </c:ser>
        <c:ser>
          <c:idx val="7"/>
          <c:order val="7"/>
          <c:tx>
            <c:strRef>
              <c:f>'q=0'!$M$21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6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'q=0'!$M$22:$M$38</c:f>
              <c:numCache>
                <c:formatCode>General</c:formatCode>
                <c:ptCount val="17"/>
                <c:pt idx="0">
                  <c:v>1.6051199119236356E-29</c:v>
                </c:pt>
                <c:pt idx="1">
                  <c:v>2.0241691357535165E-21</c:v>
                </c:pt>
                <c:pt idx="2">
                  <c:v>3.7948432977961011E-15</c:v>
                </c:pt>
                <c:pt idx="3">
                  <c:v>2.3096464603363575E-10</c:v>
                </c:pt>
                <c:pt idx="4">
                  <c:v>8.4060086366252122E-7</c:v>
                </c:pt>
                <c:pt idx="5">
                  <c:v>2.9870492824258458E-4</c:v>
                </c:pt>
                <c:pt idx="6">
                  <c:v>1.5593182233513319E-2</c:v>
                </c:pt>
                <c:pt idx="7">
                  <c:v>0.17214907343060049</c:v>
                </c:pt>
                <c:pt idx="8">
                  <c:v>0.57974693392650745</c:v>
                </c:pt>
                <c:pt idx="9">
                  <c:v>0.9018607895069084</c:v>
                </c:pt>
                <c:pt idx="10">
                  <c:v>0.99016139358503918</c:v>
                </c:pt>
                <c:pt idx="11">
                  <c:v>0.99956015075205285</c:v>
                </c:pt>
                <c:pt idx="12">
                  <c:v>0.99999057438900363</c:v>
                </c:pt>
                <c:pt idx="13">
                  <c:v>0.99999989535303313</c:v>
                </c:pt>
                <c:pt idx="14">
                  <c:v>0.99999999935198958</c:v>
                </c:pt>
                <c:pt idx="15">
                  <c:v>0.99999999999760714</c:v>
                </c:pt>
                <c:pt idx="16">
                  <c:v>0.99999999999999445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51-49D2-B120-BE2DFD921FC2}"/>
            </c:ext>
          </c:extLst>
        </c:ser>
        <c:ser>
          <c:idx val="8"/>
          <c:order val="8"/>
          <c:tx>
            <c:strRef>
              <c:f>'q=0'!$N$21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86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'q=0'!$N$22:$N$38</c:f>
              <c:numCache>
                <c:formatCode>General</c:formatCode>
                <c:ptCount val="17"/>
                <c:pt idx="0">
                  <c:v>2.3904164804359087E-26</c:v>
                </c:pt>
                <c:pt idx="1">
                  <c:v>3.7153002940879218E-19</c:v>
                </c:pt>
                <c:pt idx="2">
                  <c:v>1.3769382490805929E-13</c:v>
                </c:pt>
                <c:pt idx="3">
                  <c:v>2.4370144841640087E-9</c:v>
                </c:pt>
                <c:pt idx="4">
                  <c:v>3.5473851276060648E-6</c:v>
                </c:pt>
                <c:pt idx="5">
                  <c:v>6.5736223302577867E-4</c:v>
                </c:pt>
                <c:pt idx="6">
                  <c:v>2.2335412936725696E-2</c:v>
                </c:pt>
                <c:pt idx="7">
                  <c:v>0.19272348530140995</c:v>
                </c:pt>
                <c:pt idx="8">
                  <c:v>0.58451346694099504</c:v>
                </c:pt>
                <c:pt idx="9">
                  <c:v>0.89288923014673127</c:v>
                </c:pt>
                <c:pt idx="10">
                  <c:v>0.98688430161007179</c:v>
                </c:pt>
                <c:pt idx="11">
                  <c:v>0.99921086779639845</c:v>
                </c:pt>
                <c:pt idx="12">
                  <c:v>0.99997516024645405</c:v>
                </c:pt>
                <c:pt idx="13">
                  <c:v>0.99999956223859732</c:v>
                </c:pt>
                <c:pt idx="14">
                  <c:v>0.99999999539247697</c:v>
                </c:pt>
                <c:pt idx="15">
                  <c:v>0.99999999996928457</c:v>
                </c:pt>
                <c:pt idx="16">
                  <c:v>0.99999999999986333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1-49D2-B120-BE2DFD921FC2}"/>
            </c:ext>
          </c:extLst>
        </c:ser>
        <c:ser>
          <c:idx val="9"/>
          <c:order val="9"/>
          <c:tx>
            <c:strRef>
              <c:f>'q=0'!$O$21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'q=0'!$O$22:$O$38</c:f>
              <c:numCache>
                <c:formatCode>General</c:formatCode>
                <c:ptCount val="17"/>
                <c:pt idx="0">
                  <c:v>8.3014418638275393E-24</c:v>
                </c:pt>
                <c:pt idx="1">
                  <c:v>2.4171371314848683E-17</c:v>
                </c:pt>
                <c:pt idx="2">
                  <c:v>2.4490443034698E-12</c:v>
                </c:pt>
                <c:pt idx="3">
                  <c:v>1.6136008103825152E-8</c:v>
                </c:pt>
                <c:pt idx="4">
                  <c:v>1.1282466239244101E-5</c:v>
                </c:pt>
                <c:pt idx="5">
                  <c:v>1.2416103963112843E-3</c:v>
                </c:pt>
                <c:pt idx="6">
                  <c:v>2.990373296922123E-2</c:v>
                </c:pt>
                <c:pt idx="7">
                  <c:v>0.21160464510740087</c:v>
                </c:pt>
                <c:pt idx="8">
                  <c:v>0.58901036286872965</c:v>
                </c:pt>
                <c:pt idx="9">
                  <c:v>0.88508624103716704</c:v>
                </c:pt>
                <c:pt idx="10">
                  <c:v>0.98346381355380319</c:v>
                </c:pt>
                <c:pt idx="11">
                  <c:v>0.99873712290517369</c:v>
                </c:pt>
                <c:pt idx="12">
                  <c:v>0.99994590088697366</c:v>
                </c:pt>
                <c:pt idx="13">
                  <c:v>0.99999861969050008</c:v>
                </c:pt>
                <c:pt idx="14">
                  <c:v>0.99999997778655669</c:v>
                </c:pt>
                <c:pt idx="15">
                  <c:v>0.99999999976241372</c:v>
                </c:pt>
                <c:pt idx="16">
                  <c:v>0.99999999999823019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1-49D2-B120-BE2DFD921FC2}"/>
            </c:ext>
          </c:extLst>
        </c:ser>
        <c:ser>
          <c:idx val="10"/>
          <c:order val="10"/>
          <c:tx>
            <c:strRef>
              <c:f>'q=0'!$P$21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8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'q=0'!$P$22:$P$38</c:f>
              <c:numCache>
                <c:formatCode>General</c:formatCode>
                <c:ptCount val="17"/>
                <c:pt idx="0">
                  <c:v>2.4931259545159182E-12</c:v>
                </c:pt>
                <c:pt idx="1">
                  <c:v>3.8707471358265481E-9</c:v>
                </c:pt>
                <c:pt idx="2">
                  <c:v>1.1452248035051856E-6</c:v>
                </c:pt>
                <c:pt idx="3">
                  <c:v>8.8332406649593482E-5</c:v>
                </c:pt>
                <c:pt idx="4">
                  <c:v>2.2732157059208715E-3</c:v>
                </c:pt>
                <c:pt idx="5">
                  <c:v>2.3842400671346822E-2</c:v>
                </c:pt>
                <c:pt idx="6">
                  <c:v>0.12063373189490967</c:v>
                </c:pt>
                <c:pt idx="7">
                  <c:v>0.34193103760672588</c:v>
                </c:pt>
                <c:pt idx="8">
                  <c:v>0.62483264466500543</c:v>
                </c:pt>
                <c:pt idx="9">
                  <c:v>0.8433196119840275</c:v>
                </c:pt>
                <c:pt idx="10">
                  <c:v>0.95215201011943384</c:v>
                </c:pt>
                <c:pt idx="11">
                  <c:v>0.98912571013143469</c:v>
                </c:pt>
                <c:pt idx="12">
                  <c:v>0.99811393359429523</c:v>
                </c:pt>
                <c:pt idx="13">
                  <c:v>0.99974354725487879</c:v>
                </c:pt>
                <c:pt idx="14">
                  <c:v>0.99997194369841946</c:v>
                </c:pt>
                <c:pt idx="15">
                  <c:v>0.99999747040161946</c:v>
                </c:pt>
                <c:pt idx="16">
                  <c:v>0.99999980791011267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51-49D2-B120-BE2DFD921FC2}"/>
            </c:ext>
          </c:extLst>
        </c:ser>
        <c:ser>
          <c:idx val="11"/>
          <c:order val="11"/>
          <c:tx>
            <c:strRef>
              <c:f>'q=0'!$Q$21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58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'q=0'!$Q$22:$Q$38</c:f>
              <c:numCache>
                <c:formatCode>General</c:formatCode>
                <c:ptCount val="17"/>
                <c:pt idx="0">
                  <c:v>1.8064939025971066E-8</c:v>
                </c:pt>
                <c:pt idx="1">
                  <c:v>2.2749216395115086E-6</c:v>
                </c:pt>
                <c:pt idx="2">
                  <c:v>9.6190752651606593E-5</c:v>
                </c:pt>
                <c:pt idx="3">
                  <c:v>1.6830934402108455E-3</c:v>
                </c:pt>
                <c:pt idx="4">
                  <c:v>1.4373877236313269E-2</c:v>
                </c:pt>
                <c:pt idx="5">
                  <c:v>6.8521203553902801E-2</c:v>
                </c:pt>
                <c:pt idx="6">
                  <c:v>0.20415055342200186</c:v>
                </c:pt>
                <c:pt idx="7">
                  <c:v>0.41973458731592983</c:v>
                </c:pt>
                <c:pt idx="8">
                  <c:v>0.65162502884545082</c:v>
                </c:pt>
                <c:pt idx="9">
                  <c:v>0.82972819951931209</c:v>
                </c:pt>
                <c:pt idx="10">
                  <c:v>0.93192187204147803</c:v>
                </c:pt>
                <c:pt idx="11">
                  <c:v>0.9774404993445992</c:v>
                </c:pt>
                <c:pt idx="12">
                  <c:v>0.99370177838692031</c:v>
                </c:pt>
                <c:pt idx="13">
                  <c:v>0.99849321936174029</c:v>
                </c:pt>
                <c:pt idx="14">
                  <c:v>0.99968601036528271</c:v>
                </c:pt>
                <c:pt idx="15">
                  <c:v>0.99994214009939286</c:v>
                </c:pt>
                <c:pt idx="16">
                  <c:v>0.99999044134034476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851-49D2-B120-BE2DFD921FC2}"/>
            </c:ext>
          </c:extLst>
        </c:ser>
        <c:ser>
          <c:idx val="12"/>
          <c:order val="12"/>
          <c:tx>
            <c:strRef>
              <c:f>'q=0'!$R$21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9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'q=0'!$R$22:$R$38</c:f>
              <c:numCache>
                <c:formatCode>General</c:formatCode>
                <c:ptCount val="17"/>
                <c:pt idx="0">
                  <c:v>1.5944956166935844E-6</c:v>
                </c:pt>
                <c:pt idx="1">
                  <c:v>5.7199280321904821E-5</c:v>
                </c:pt>
                <c:pt idx="2">
                  <c:v>9.1428456811440135E-4</c:v>
                </c:pt>
                <c:pt idx="3">
                  <c:v>7.6158902561765133E-3</c:v>
                </c:pt>
                <c:pt idx="4">
                  <c:v>3.7420665487091699E-2</c:v>
                </c:pt>
                <c:pt idx="5">
                  <c:v>0.11995949603877151</c:v>
                </c:pt>
                <c:pt idx="6">
                  <c:v>0.27305309183411713</c:v>
                </c:pt>
                <c:pt idx="7">
                  <c:v>0.47490995070516628</c:v>
                </c:pt>
                <c:pt idx="8">
                  <c:v>0.67364477971207992</c:v>
                </c:pt>
                <c:pt idx="9">
                  <c:v>0.82585252027970268</c:v>
                </c:pt>
                <c:pt idx="10">
                  <c:v>0.91970675745652553</c:v>
                </c:pt>
                <c:pt idx="11">
                  <c:v>0.96767129111176242</c:v>
                </c:pt>
                <c:pt idx="12">
                  <c:v>0.98849340370177485</c:v>
                </c:pt>
                <c:pt idx="13">
                  <c:v>0.99633464790514792</c:v>
                </c:pt>
                <c:pt idx="14">
                  <c:v>0.99894268716503409</c:v>
                </c:pt>
                <c:pt idx="15">
                  <c:v>0.99972079072987197</c:v>
                </c:pt>
                <c:pt idx="16">
                  <c:v>0.99993183193784485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851-49D2-B120-BE2DFD921FC2}"/>
            </c:ext>
          </c:extLst>
        </c:ser>
        <c:ser>
          <c:idx val="13"/>
          <c:order val="13"/>
          <c:tx>
            <c:strRef>
              <c:f>'q=0'!$S$21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0000"/>
                  <a:shade val="95000"/>
                </a:schemeClr>
              </a:contourClr>
            </a:sp3d>
          </c:spPr>
          <c:cat>
            <c:numRef>
              <c:f>'q=0'!$E$22:$E$38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'q=0'!$S$22:$S$38</c:f>
              <c:numCache>
                <c:formatCode>General</c:formatCode>
                <c:ptCount val="17"/>
                <c:pt idx="0">
                  <c:v>2.3929062648690307E-5</c:v>
                </c:pt>
                <c:pt idx="1">
                  <c:v>4.0416832820281383E-4</c:v>
                </c:pt>
                <c:pt idx="2">
                  <c:v>3.6039585896636178E-3</c:v>
                </c:pt>
                <c:pt idx="3">
                  <c:v>1.9226575622006935E-2</c:v>
                </c:pt>
                <c:pt idx="4">
                  <c:v>6.7752458640840257E-2</c:v>
                </c:pt>
                <c:pt idx="5">
                  <c:v>0.17092958378259557</c:v>
                </c:pt>
                <c:pt idx="6">
                  <c:v>0.33023737197832043</c:v>
                </c:pt>
                <c:pt idx="7">
                  <c:v>0.51768096381841744</c:v>
                </c:pt>
                <c:pt idx="8">
                  <c:v>0.6925583930714827</c:v>
                </c:pt>
                <c:pt idx="9">
                  <c:v>0.82626495267175226</c:v>
                </c:pt>
                <c:pt idx="10">
                  <c:v>0.91238604125034095</c:v>
                </c:pt>
                <c:pt idx="11">
                  <c:v>0.96021479519873576</c:v>
                </c:pt>
                <c:pt idx="12">
                  <c:v>0.98357242315619375</c:v>
                </c:pt>
                <c:pt idx="13">
                  <c:v>0.9937722905272045</c:v>
                </c:pt>
                <c:pt idx="14">
                  <c:v>0.99781247528007733</c:v>
                </c:pt>
                <c:pt idx="15">
                  <c:v>0.99928204168011003</c:v>
                </c:pt>
                <c:pt idx="16">
                  <c:v>0.99977813959038175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851-49D2-B120-BE2DFD921FC2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</c:bandFmts>
        <c:axId val="107604992"/>
        <c:axId val="107605472"/>
        <c:axId val="259903008"/>
      </c:surface3DChart>
      <c:catAx>
        <c:axId val="10760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  <c:auto val="1"/>
        <c:lblAlgn val="ctr"/>
        <c:lblOffset val="100"/>
        <c:noMultiLvlLbl val="0"/>
      </c:catAx>
      <c:valAx>
        <c:axId val="1076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4992"/>
        <c:crosses val="autoZero"/>
        <c:crossBetween val="midCat"/>
      </c:valAx>
      <c:serAx>
        <c:axId val="2599030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'q=0'!$F$40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9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'q=0'!$F$41:$F$57</c:f>
              <c:numCache>
                <c:formatCode>General</c:formatCode>
                <c:ptCount val="17"/>
                <c:pt idx="0">
                  <c:v>1.4172516410180346E-2</c:v>
                </c:pt>
                <c:pt idx="1">
                  <c:v>3.3559109528038859E-2</c:v>
                </c:pt>
                <c:pt idx="2">
                  <c:v>6.7314333689320854E-2</c:v>
                </c:pt>
                <c:pt idx="3">
                  <c:v>0.11812384444557725</c:v>
                </c:pt>
                <c:pt idx="4">
                  <c:v>0.1859653914835159</c:v>
                </c:pt>
                <c:pt idx="5">
                  <c:v>0.26796199105356833</c:v>
                </c:pt>
                <c:pt idx="6">
                  <c:v>0.35913456099157326</c:v>
                </c:pt>
                <c:pt idx="7">
                  <c:v>0.45361933589765296</c:v>
                </c:pt>
                <c:pt idx="8">
                  <c:v>0.54585561384545689</c:v>
                </c:pt>
                <c:pt idx="9">
                  <c:v>0.63141703841497787</c:v>
                </c:pt>
                <c:pt idx="10">
                  <c:v>0.70738617541136284</c:v>
                </c:pt>
                <c:pt idx="11">
                  <c:v>0.77234063908041684</c:v>
                </c:pt>
                <c:pt idx="12">
                  <c:v>0.8260940886049889</c:v>
                </c:pt>
                <c:pt idx="13">
                  <c:v>0.86933583419939142</c:v>
                </c:pt>
                <c:pt idx="14">
                  <c:v>0.90327458595468857</c:v>
                </c:pt>
                <c:pt idx="15">
                  <c:v>0.92934519380490699</c:v>
                </c:pt>
                <c:pt idx="16">
                  <c:v>0.94899893826884729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1-4F86-831B-530AA94C05D6}"/>
            </c:ext>
          </c:extLst>
        </c:ser>
        <c:ser>
          <c:idx val="1"/>
          <c:order val="1"/>
          <c:tx>
            <c:strRef>
              <c:f>'q=0'!$G$40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8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'q=0'!$G$41:$G$57</c:f>
              <c:numCache>
                <c:formatCode>General</c:formatCode>
                <c:ptCount val="17"/>
                <c:pt idx="0">
                  <c:v>7.0935508437462005E-2</c:v>
                </c:pt>
                <c:pt idx="1">
                  <c:v>0.1125320287981192</c:v>
                </c:pt>
                <c:pt idx="2">
                  <c:v>0.16442254250486507</c:v>
                </c:pt>
                <c:pt idx="3">
                  <c:v>0.22480866569935679</c:v>
                </c:pt>
                <c:pt idx="4">
                  <c:v>0.29119658735199461</c:v>
                </c:pt>
                <c:pt idx="5">
                  <c:v>0.36083260847207799</c:v>
                </c:pt>
                <c:pt idx="6">
                  <c:v>0.43107093630704646</c:v>
                </c:pt>
                <c:pt idx="7">
                  <c:v>0.49962623320470795</c:v>
                </c:pt>
                <c:pt idx="8">
                  <c:v>0.56470673879186362</c:v>
                </c:pt>
                <c:pt idx="9">
                  <c:v>0.62504877206411635</c:v>
                </c:pt>
                <c:pt idx="10">
                  <c:v>0.67988266828011779</c:v>
                </c:pt>
                <c:pt idx="11">
                  <c:v>0.7288592883032331</c:v>
                </c:pt>
                <c:pt idx="12">
                  <c:v>0.77196036189099149</c:v>
                </c:pt>
                <c:pt idx="13">
                  <c:v>0.80940871602154718</c:v>
                </c:pt>
                <c:pt idx="14">
                  <c:v>0.84158790703365249</c:v>
                </c:pt>
                <c:pt idx="15">
                  <c:v>0.86897574395340138</c:v>
                </c:pt>
                <c:pt idx="16">
                  <c:v>0.89209276809616722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91-4F86-831B-530AA94C05D6}"/>
            </c:ext>
          </c:extLst>
        </c:ser>
        <c:ser>
          <c:idx val="2"/>
          <c:order val="2"/>
          <c:tx>
            <c:strRef>
              <c:f>'q=0'!$H$40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8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'q=0'!$H$41:$H$57</c:f>
              <c:numCache>
                <c:formatCode>General</c:formatCode>
                <c:ptCount val="17"/>
                <c:pt idx="0">
                  <c:v>0.12864718412716486</c:v>
                </c:pt>
                <c:pt idx="1">
                  <c:v>0.17773231759931055</c:v>
                </c:pt>
                <c:pt idx="2">
                  <c:v>0.23246500816982485</c:v>
                </c:pt>
                <c:pt idx="3">
                  <c:v>0.29088345804427962</c:v>
                </c:pt>
                <c:pt idx="4">
                  <c:v>0.35105412667393221</c:v>
                </c:pt>
                <c:pt idx="5">
                  <c:v>0.41124061917525218</c:v>
                </c:pt>
                <c:pt idx="6">
                  <c:v>0.46999832462453128</c:v>
                </c:pt>
                <c:pt idx="7">
                  <c:v>0.52620925760538406</c:v>
                </c:pt>
                <c:pt idx="8">
                  <c:v>0.57907493425142031</c:v>
                </c:pt>
                <c:pt idx="9">
                  <c:v>0.62808366519773406</c:v>
                </c:pt>
                <c:pt idx="10">
                  <c:v>0.67296517526548816</c:v>
                </c:pt>
                <c:pt idx="11">
                  <c:v>0.71364163958884608</c:v>
                </c:pt>
                <c:pt idx="12">
                  <c:v>0.7501808822458087</c:v>
                </c:pt>
                <c:pt idx="13">
                  <c:v>0.78275490547576931</c:v>
                </c:pt>
                <c:pt idx="14">
                  <c:v>0.8116051076221501</c:v>
                </c:pt>
                <c:pt idx="15">
                  <c:v>0.83701438276219309</c:v>
                </c:pt>
                <c:pt idx="16">
                  <c:v>0.85928561710516971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91-4F86-831B-530AA94C05D6}"/>
            </c:ext>
          </c:extLst>
        </c:ser>
        <c:ser>
          <c:idx val="3"/>
          <c:order val="3"/>
          <c:tx>
            <c:strRef>
              <c:f>'q=0'!$I$40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7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'q=0'!$I$41:$I$57</c:f>
              <c:numCache>
                <c:formatCode>General</c:formatCode>
                <c:ptCount val="17"/>
                <c:pt idx="0">
                  <c:v>0.17788820766333283</c:v>
                </c:pt>
                <c:pt idx="1">
                  <c:v>0.22884834624947173</c:v>
                </c:pt>
                <c:pt idx="2">
                  <c:v>0.2825604188958426</c:v>
                </c:pt>
                <c:pt idx="3">
                  <c:v>0.33745714429181278</c:v>
                </c:pt>
                <c:pt idx="4">
                  <c:v>0.39218241716757007</c:v>
                </c:pt>
                <c:pt idx="5">
                  <c:v>0.44563462571633894</c:v>
                </c:pt>
                <c:pt idx="6">
                  <c:v>0.49697180538425573</c:v>
                </c:pt>
                <c:pt idx="7">
                  <c:v>0.54559305860541252</c:v>
                </c:pt>
                <c:pt idx="8">
                  <c:v>0.59110738863242962</c:v>
                </c:pt>
                <c:pt idx="9">
                  <c:v>0.63329773410491152</c:v>
                </c:pt>
                <c:pt idx="10">
                  <c:v>0.672085167212777</c:v>
                </c:pt>
                <c:pt idx="11">
                  <c:v>0.70749609503159783</c:v>
                </c:pt>
                <c:pt idx="12">
                  <c:v>0.7396338302507065</c:v>
                </c:pt>
                <c:pt idx="13">
                  <c:v>0.76865494609360596</c:v>
                </c:pt>
                <c:pt idx="14">
                  <c:v>0.79475026293851692</c:v>
                </c:pt>
                <c:pt idx="15">
                  <c:v>0.81813001175600686</c:v>
                </c:pt>
                <c:pt idx="16">
                  <c:v>0.83901258946928348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91-4F86-831B-530AA94C05D6}"/>
            </c:ext>
          </c:extLst>
        </c:ser>
        <c:ser>
          <c:idx val="4"/>
          <c:order val="4"/>
          <c:tx>
            <c:strRef>
              <c:f>'q=0'!$J$40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'q=0'!$J$41:$J$57</c:f>
              <c:numCache>
                <c:formatCode>General</c:formatCode>
                <c:ptCount val="17"/>
                <c:pt idx="0">
                  <c:v>0.21933688252774508</c:v>
                </c:pt>
                <c:pt idx="1">
                  <c:v>0.27002941906017608</c:v>
                </c:pt>
                <c:pt idx="2">
                  <c:v>0.321680998869812</c:v>
                </c:pt>
                <c:pt idx="3">
                  <c:v>0.37311413811757654</c:v>
                </c:pt>
                <c:pt idx="4">
                  <c:v>0.42338975390145228</c:v>
                </c:pt>
                <c:pt idx="5">
                  <c:v>0.47179879232314509</c:v>
                </c:pt>
                <c:pt idx="6">
                  <c:v>0.51783814678047568</c:v>
                </c:pt>
                <c:pt idx="7">
                  <c:v>0.5611796760669332</c:v>
                </c:pt>
                <c:pt idx="8">
                  <c:v>0.60163790095388769</c:v>
                </c:pt>
                <c:pt idx="9">
                  <c:v>0.63913959561652933</c:v>
                </c:pt>
                <c:pt idx="10">
                  <c:v>0.67369688864311938</c:v>
                </c:pt>
                <c:pt idx="11">
                  <c:v>0.70538447103211022</c:v>
                </c:pt>
                <c:pt idx="12">
                  <c:v>0.73432090607919753</c:v>
                </c:pt>
                <c:pt idx="13">
                  <c:v>0.76065371150372196</c:v>
                </c:pt>
                <c:pt idx="14">
                  <c:v>0.78454773656443111</c:v>
                </c:pt>
                <c:pt idx="15">
                  <c:v>0.80617631602806172</c:v>
                </c:pt>
                <c:pt idx="16">
                  <c:v>0.82571470200408847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91-4F86-831B-530AA94C05D6}"/>
            </c:ext>
          </c:extLst>
        </c:ser>
        <c:ser>
          <c:idx val="5"/>
          <c:order val="5"/>
          <c:tx>
            <c:strRef>
              <c:f>'q=0'!$K$40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6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'q=0'!$K$41:$K$57</c:f>
              <c:numCache>
                <c:formatCode>General</c:formatCode>
                <c:ptCount val="17"/>
                <c:pt idx="0">
                  <c:v>0.25464942429368886</c:v>
                </c:pt>
                <c:pt idx="1">
                  <c:v>0.30421743238116761</c:v>
                </c:pt>
                <c:pt idx="2">
                  <c:v>0.35359481222504729</c:v>
                </c:pt>
                <c:pt idx="3">
                  <c:v>0.40191588858029148</c:v>
                </c:pt>
                <c:pt idx="4">
                  <c:v>0.44853473955530426</c:v>
                </c:pt>
                <c:pt idx="5">
                  <c:v>0.49299670850426114</c:v>
                </c:pt>
                <c:pt idx="6">
                  <c:v>0.53500620140217281</c:v>
                </c:pt>
                <c:pt idx="7">
                  <c:v>0.5743952509735476</c:v>
                </c:pt>
                <c:pt idx="8">
                  <c:v>0.61109514525127495</c:v>
                </c:pt>
                <c:pt idx="9">
                  <c:v>0.64511206379533692</c:v>
                </c:pt>
                <c:pt idx="10">
                  <c:v>0.67650687721627234</c:v>
                </c:pt>
                <c:pt idx="11">
                  <c:v>0.70537884480412938</c:v>
                </c:pt>
                <c:pt idx="12">
                  <c:v>0.73185275046920395</c:v>
                </c:pt>
                <c:pt idx="13">
                  <c:v>0.7560689553717419</c:v>
                </c:pt>
                <c:pt idx="14">
                  <c:v>0.77817585684142265</c:v>
                </c:pt>
                <c:pt idx="15">
                  <c:v>0.7983242907074537</c:v>
                </c:pt>
                <c:pt idx="16">
                  <c:v>0.81666347623119862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91-4F86-831B-530AA94C05D6}"/>
            </c:ext>
          </c:extLst>
        </c:ser>
        <c:ser>
          <c:idx val="6"/>
          <c:order val="6"/>
          <c:tx>
            <c:strRef>
              <c:f>'q=0'!$L$40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'q=0'!$L$41:$L$57</c:f>
              <c:numCache>
                <c:formatCode>General</c:formatCode>
                <c:ptCount val="17"/>
                <c:pt idx="0">
                  <c:v>0.28520905037576461</c:v>
                </c:pt>
                <c:pt idx="1">
                  <c:v>0.33331949096800972</c:v>
                </c:pt>
                <c:pt idx="2">
                  <c:v>0.38047699350816261</c:v>
                </c:pt>
                <c:pt idx="3">
                  <c:v>0.42605572393834901</c:v>
                </c:pt>
                <c:pt idx="4">
                  <c:v>0.46961905238935342</c:v>
                </c:pt>
                <c:pt idx="5">
                  <c:v>0.51088466283087386</c:v>
                </c:pt>
                <c:pt idx="6">
                  <c:v>0.54969208348053678</c:v>
                </c:pt>
                <c:pt idx="7">
                  <c:v>0.58597436652795953</c:v>
                </c:pt>
                <c:pt idx="8">
                  <c:v>0.61973439752340798</c:v>
                </c:pt>
                <c:pt idx="9">
                  <c:v>0.65102565762250897</c:v>
                </c:pt>
                <c:pt idx="10">
                  <c:v>0.67993695623565675</c:v>
                </c:pt>
                <c:pt idx="11">
                  <c:v>0.70658054538267168</c:v>
                </c:pt>
                <c:pt idx="12">
                  <c:v>0.73108302725633179</c:v>
                </c:pt>
                <c:pt idx="13">
                  <c:v>0.75357851829619338</c:v>
                </c:pt>
                <c:pt idx="14">
                  <c:v>0.77420360528828991</c:v>
                </c:pt>
                <c:pt idx="15">
                  <c:v>0.793093704771202</c:v>
                </c:pt>
                <c:pt idx="16">
                  <c:v>0.81038050790030036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91-4F86-831B-530AA94C05D6}"/>
            </c:ext>
          </c:extLst>
        </c:ser>
        <c:ser>
          <c:idx val="7"/>
          <c:order val="7"/>
          <c:tx>
            <c:strRef>
              <c:f>'q=0'!$M$40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6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'q=0'!$M$41:$M$57</c:f>
              <c:numCache>
                <c:formatCode>General</c:formatCode>
                <c:ptCount val="17"/>
                <c:pt idx="0">
                  <c:v>0.31204598583849896</c:v>
                </c:pt>
                <c:pt idx="1">
                  <c:v>0.35859541431469411</c:v>
                </c:pt>
                <c:pt idx="2">
                  <c:v>0.40367306765236</c:v>
                </c:pt>
                <c:pt idx="3">
                  <c:v>0.4468371862263481</c:v>
                </c:pt>
                <c:pt idx="4">
                  <c:v>0.48780387480181481</c:v>
                </c:pt>
                <c:pt idx="5">
                  <c:v>0.52641188266539407</c:v>
                </c:pt>
                <c:pt idx="6">
                  <c:v>0.56259277523297513</c:v>
                </c:pt>
                <c:pt idx="7">
                  <c:v>0.59634657750086872</c:v>
                </c:pt>
                <c:pt idx="8">
                  <c:v>0.62772239348139713</c:v>
                </c:pt>
                <c:pt idx="9">
                  <c:v>0.65680328975301583</c:v>
                </c:pt>
                <c:pt idx="10">
                  <c:v>0.68369470115929454</c:v>
                </c:pt>
                <c:pt idx="11">
                  <c:v>0.70851567436419238</c:v>
                </c:pt>
                <c:pt idx="12">
                  <c:v>0.73139235710021644</c:v>
                </c:pt>
                <c:pt idx="13">
                  <c:v>0.7524532399392565</c:v>
                </c:pt>
                <c:pt idx="14">
                  <c:v>0.77182575006944854</c:v>
                </c:pt>
                <c:pt idx="15">
                  <c:v>0.78963387748143288</c:v>
                </c:pt>
                <c:pt idx="16">
                  <c:v>0.80599658182211043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91-4F86-831B-530AA94C05D6}"/>
            </c:ext>
          </c:extLst>
        </c:ser>
        <c:ser>
          <c:idx val="8"/>
          <c:order val="8"/>
          <c:tx>
            <c:strRef>
              <c:f>'q=0'!$N$40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86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'q=0'!$N$41:$N$57</c:f>
              <c:numCache>
                <c:formatCode>General</c:formatCode>
                <c:ptCount val="17"/>
                <c:pt idx="0">
                  <c:v>0.33591666677495491</c:v>
                </c:pt>
                <c:pt idx="1">
                  <c:v>0.38090637910375635</c:v>
                </c:pt>
                <c:pt idx="2">
                  <c:v>0.42406461171571108</c:v>
                </c:pt>
                <c:pt idx="3">
                  <c:v>0.46509202722548021</c:v>
                </c:pt>
                <c:pt idx="4">
                  <c:v>0.50381855178670831</c:v>
                </c:pt>
                <c:pt idx="5">
                  <c:v>0.54017047621406833</c:v>
                </c:pt>
                <c:pt idx="6">
                  <c:v>0.57414420495373475</c:v>
                </c:pt>
                <c:pt idx="7">
                  <c:v>0.60578578711469899</c:v>
                </c:pt>
                <c:pt idx="8">
                  <c:v>0.63517523512884178</c:v>
                </c:pt>
                <c:pt idx="9">
                  <c:v>0.66241468835976747</c:v>
                </c:pt>
                <c:pt idx="10">
                  <c:v>0.68761960179194803</c:v>
                </c:pt>
                <c:pt idx="11">
                  <c:v>0.71091227981604554</c:v>
                </c:pt>
                <c:pt idx="12">
                  <c:v>0.7324172073740054</c:v>
                </c:pt>
                <c:pt idx="13">
                  <c:v>0.75225774567297665</c:v>
                </c:pt>
                <c:pt idx="14">
                  <c:v>0.77055385505677942</c:v>
                </c:pt>
                <c:pt idx="15">
                  <c:v>0.78742058455166597</c:v>
                </c:pt>
                <c:pt idx="16">
                  <c:v>0.80296712850810281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91-4F86-831B-530AA94C05D6}"/>
            </c:ext>
          </c:extLst>
        </c:ser>
        <c:ser>
          <c:idx val="9"/>
          <c:order val="9"/>
          <c:tx>
            <c:strRef>
              <c:f>'q=0'!$O$40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'q=0'!$O$41:$O$57</c:f>
              <c:numCache>
                <c:formatCode>General</c:formatCode>
                <c:ptCount val="17"/>
                <c:pt idx="0">
                  <c:v>0.35738209829658441</c:v>
                </c:pt>
                <c:pt idx="1">
                  <c:v>0.40086126530492783</c:v>
                </c:pt>
                <c:pt idx="2">
                  <c:v>0.44225677670824065</c:v>
                </c:pt>
                <c:pt idx="3">
                  <c:v>0.48138067829969228</c:v>
                </c:pt>
                <c:pt idx="4">
                  <c:v>0.51814928396600646</c:v>
                </c:pt>
                <c:pt idx="5">
                  <c:v>0.55255365650027488</c:v>
                </c:pt>
                <c:pt idx="6">
                  <c:v>0.58463705945188194</c:v>
                </c:pt>
                <c:pt idx="7">
                  <c:v>0.61447800345493631</c:v>
                </c:pt>
                <c:pt idx="8">
                  <c:v>0.64217766678243815</c:v>
                </c:pt>
                <c:pt idx="9">
                  <c:v>0.66785067767399031</c:v>
                </c:pt>
                <c:pt idx="10">
                  <c:v>0.69161844906555525</c:v>
                </c:pt>
                <c:pt idx="11">
                  <c:v>0.71360443329123679</c:v>
                </c:pt>
                <c:pt idx="12">
                  <c:v>0.73393080986586512</c:v>
                </c:pt>
                <c:pt idx="13">
                  <c:v>0.75271623527977438</c:v>
                </c:pt>
                <c:pt idx="14">
                  <c:v>0.77007437405223877</c:v>
                </c:pt>
                <c:pt idx="15">
                  <c:v>0.78611299979359384</c:v>
                </c:pt>
                <c:pt idx="16">
                  <c:v>0.80093350804530894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91-4F86-831B-530AA94C05D6}"/>
            </c:ext>
          </c:extLst>
        </c:ser>
        <c:ser>
          <c:idx val="10"/>
          <c:order val="10"/>
          <c:tx>
            <c:strRef>
              <c:f>'q=0'!$P$40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8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'q=0'!$P$41:$P$57</c:f>
              <c:numCache>
                <c:formatCode>General</c:formatCode>
                <c:ptCount val="17"/>
                <c:pt idx="0">
                  <c:v>0.49966727980378467</c:v>
                </c:pt>
                <c:pt idx="1">
                  <c:v>0.53188985779067388</c:v>
                </c:pt>
                <c:pt idx="2">
                  <c:v>0.56154270782051552</c:v>
                </c:pt>
                <c:pt idx="3">
                  <c:v>0.58884505024731815</c:v>
                </c:pt>
                <c:pt idx="4">
                  <c:v>0.61400342998708823</c:v>
                </c:pt>
                <c:pt idx="5">
                  <c:v>0.6372091595946372</c:v>
                </c:pt>
                <c:pt idx="6">
                  <c:v>0.65863755277469005</c:v>
                </c:pt>
                <c:pt idx="7">
                  <c:v>0.67844816971783284</c:v>
                </c:pt>
                <c:pt idx="8">
                  <c:v>0.69678560886041863</c:v>
                </c:pt>
                <c:pt idx="9">
                  <c:v>0.71378056715326965</c:v>
                </c:pt>
                <c:pt idx="10">
                  <c:v>0.72955100423928509</c:v>
                </c:pt>
                <c:pt idx="11">
                  <c:v>0.74420331487260982</c:v>
                </c:pt>
                <c:pt idx="12">
                  <c:v>0.75783345596437779</c:v>
                </c:pt>
                <c:pt idx="13">
                  <c:v>0.77052800025181467</c:v>
                </c:pt>
                <c:pt idx="14">
                  <c:v>0.78236510406859472</c:v>
                </c:pt>
                <c:pt idx="15">
                  <c:v>0.79341538590277572</c:v>
                </c:pt>
                <c:pt idx="16">
                  <c:v>0.8037427177462273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91-4F86-831B-530AA94C05D6}"/>
            </c:ext>
          </c:extLst>
        </c:ser>
        <c:ser>
          <c:idx val="11"/>
          <c:order val="11"/>
          <c:tx>
            <c:strRef>
              <c:f>'q=0'!$Q$40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58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'q=0'!$Q$41:$Q$57</c:f>
              <c:numCache>
                <c:formatCode>General</c:formatCode>
                <c:ptCount val="17"/>
                <c:pt idx="0">
                  <c:v>0.58302547291909579</c:v>
                </c:pt>
                <c:pt idx="1">
                  <c:v>0.60859446958381602</c:v>
                </c:pt>
                <c:pt idx="2">
                  <c:v>0.6318589374193645</c:v>
                </c:pt>
                <c:pt idx="3">
                  <c:v>0.65309326207328378</c:v>
                </c:pt>
                <c:pt idx="4">
                  <c:v>0.67253202402158774</c:v>
                </c:pt>
                <c:pt idx="5">
                  <c:v>0.69037656533296965</c:v>
                </c:pt>
                <c:pt idx="6">
                  <c:v>0.70680041566732965</c:v>
                </c:pt>
                <c:pt idx="7">
                  <c:v>0.72195375863049216</c:v>
                </c:pt>
                <c:pt idx="8">
                  <c:v>0.73596710701216672</c:v>
                </c:pt>
                <c:pt idx="9">
                  <c:v>0.74895433211441109</c:v>
                </c:pt>
                <c:pt idx="10">
                  <c:v>0.76101516779628531</c:v>
                </c:pt>
                <c:pt idx="11">
                  <c:v>0.77223728760298416</c:v>
                </c:pt>
                <c:pt idx="12">
                  <c:v>0.78269803446273256</c:v>
                </c:pt>
                <c:pt idx="13">
                  <c:v>0.79246586692120768</c:v>
                </c:pt>
                <c:pt idx="14">
                  <c:v>0.80160157335349169</c:v>
                </c:pt>
                <c:pt idx="15">
                  <c:v>0.81015929556138455</c:v>
                </c:pt>
                <c:pt idx="16">
                  <c:v>0.81818739516295202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91-4F86-831B-530AA94C05D6}"/>
            </c:ext>
          </c:extLst>
        </c:ser>
        <c:ser>
          <c:idx val="12"/>
          <c:order val="12"/>
          <c:tx>
            <c:strRef>
              <c:f>'q=0'!$R$40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9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'q=0'!$R$41:$R$57</c:f>
              <c:numCache>
                <c:formatCode>General</c:formatCode>
                <c:ptCount val="17"/>
                <c:pt idx="0">
                  <c:v>0.64195747834153349</c:v>
                </c:pt>
                <c:pt idx="1">
                  <c:v>0.66307475466289512</c:v>
                </c:pt>
                <c:pt idx="2">
                  <c:v>0.68218002050056525</c:v>
                </c:pt>
                <c:pt idx="3">
                  <c:v>0.6995421817462979</c:v>
                </c:pt>
                <c:pt idx="4">
                  <c:v>0.71538408216511395</c:v>
                </c:pt>
                <c:pt idx="5">
                  <c:v>0.7298920294417196</c:v>
                </c:pt>
                <c:pt idx="6">
                  <c:v>0.74322303904194742</c:v>
                </c:pt>
                <c:pt idx="7">
                  <c:v>0.75551041059640589</c:v>
                </c:pt>
                <c:pt idx="8">
                  <c:v>0.76686806952157416</c:v>
                </c:pt>
                <c:pt idx="9">
                  <c:v>0.77739398277903193</c:v>
                </c:pt>
                <c:pt idx="10">
                  <c:v>0.78717287225100696</c:v>
                </c:pt>
                <c:pt idx="11">
                  <c:v>0.7962783894600749</c:v>
                </c:pt>
                <c:pt idx="12">
                  <c:v>0.80477487301189554</c:v>
                </c:pt>
                <c:pt idx="13">
                  <c:v>0.81271877974551821</c:v>
                </c:pt>
                <c:pt idx="14">
                  <c:v>0.8201598585014156</c:v>
                </c:pt>
                <c:pt idx="15">
                  <c:v>0.82714211920576752</c:v>
                </c:pt>
                <c:pt idx="16">
                  <c:v>0.83370463793805771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91-4F86-831B-530AA94C05D6}"/>
            </c:ext>
          </c:extLst>
        </c:ser>
        <c:ser>
          <c:idx val="13"/>
          <c:order val="13"/>
          <c:tx>
            <c:strRef>
              <c:f>'q=0'!$S$40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0000"/>
                  <a:shade val="95000"/>
                </a:schemeClr>
              </a:contourClr>
            </a:sp3d>
          </c:spPr>
          <c:cat>
            <c:numRef>
              <c:f>'q=0'!$E$41:$E$57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'q=0'!$S$41:$S$57</c:f>
              <c:numCache>
                <c:formatCode>General</c:formatCode>
                <c:ptCount val="17"/>
                <c:pt idx="0">
                  <c:v>0.68730054692506171</c:v>
                </c:pt>
                <c:pt idx="1">
                  <c:v>0.7051774889132375</c:v>
                </c:pt>
                <c:pt idx="2">
                  <c:v>0.72129617267842749</c:v>
                </c:pt>
                <c:pt idx="3">
                  <c:v>0.73590594061231929</c:v>
                </c:pt>
                <c:pt idx="4">
                  <c:v>0.74921020009772776</c:v>
                </c:pt>
                <c:pt idx="5">
                  <c:v>0.76137672276598822</c:v>
                </c:pt>
                <c:pt idx="6">
                  <c:v>0.77254525218634607</c:v>
                </c:pt>
                <c:pt idx="7">
                  <c:v>0.78283321551332852</c:v>
                </c:pt>
                <c:pt idx="8">
                  <c:v>0.79234007445176513</c:v>
                </c:pt>
                <c:pt idx="9">
                  <c:v>0.80115068334423711</c:v>
                </c:pt>
                <c:pt idx="10">
                  <c:v>0.80933791181024928</c:v>
                </c:pt>
                <c:pt idx="11">
                  <c:v>0.81696471516303903</c:v>
                </c:pt>
                <c:pt idx="12">
                  <c:v>0.82408578501725216</c:v>
                </c:pt>
                <c:pt idx="13">
                  <c:v>0.83074887711782752</c:v>
                </c:pt>
                <c:pt idx="14">
                  <c:v>0.83699588840228512</c:v>
                </c:pt>
                <c:pt idx="15">
                  <c:v>0.84286373736926712</c:v>
                </c:pt>
                <c:pt idx="16">
                  <c:v>0.84838508879572783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91-4F86-831B-530AA94C05D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</c:bandFmts>
        <c:axId val="104016448"/>
        <c:axId val="104015488"/>
        <c:axId val="23851520"/>
      </c:surface3DChart>
      <c:catAx>
        <c:axId val="104016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  <c:auto val="1"/>
        <c:lblAlgn val="ctr"/>
        <c:lblOffset val="100"/>
        <c:noMultiLvlLbl val="0"/>
      </c:catAx>
      <c:valAx>
        <c:axId val="1040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6448"/>
        <c:crosses val="autoZero"/>
        <c:crossBetween val="midCat"/>
      </c:valAx>
      <c:serAx>
        <c:axId val="2385152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layout>
            <c:manualLayout>
              <c:xMode val="edge"/>
              <c:yMode val="edge"/>
              <c:x val="0.86462936065030704"/>
              <c:y val="0.5167249082277229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20%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'q=0'!$F$60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0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'q=0'!$F$61:$F$77</c:f>
              <c:numCache>
                <c:formatCode>General</c:formatCode>
                <c:ptCount val="17"/>
                <c:pt idx="0">
                  <c:v>-7.6011344785671907E-14</c:v>
                </c:pt>
                <c:pt idx="1">
                  <c:v>-9.5808504409308486E-10</c:v>
                </c:pt>
                <c:pt idx="2">
                  <c:v>-1.4382918682304679E-6</c:v>
                </c:pt>
                <c:pt idx="3">
                  <c:v>-3.7952035137337408E-4</c:v>
                </c:pt>
                <c:pt idx="4">
                  <c:v>-2.380682309751259E-2</c:v>
                </c:pt>
                <c:pt idx="5">
                  <c:v>-0.45045289342107142</c:v>
                </c:pt>
                <c:pt idx="6">
                  <c:v>-3.1108124618828876</c:v>
                </c:pt>
                <c:pt idx="7">
                  <c:v>-9.1585069028288952</c:v>
                </c:pt>
                <c:pt idx="8">
                  <c:v>-13.095664340891949</c:v>
                </c:pt>
                <c:pt idx="9">
                  <c:v>-10.248896273360074</c:v>
                </c:pt>
                <c:pt idx="10">
                  <c:v>-5.07894917656352</c:v>
                </c:pt>
                <c:pt idx="11">
                  <c:v>-2.122376667743791</c:v>
                </c:pt>
                <c:pt idx="12">
                  <c:v>-1.2057786628148568</c:v>
                </c:pt>
                <c:pt idx="13">
                  <c:v>-1.0271745595277382</c:v>
                </c:pt>
                <c:pt idx="14">
                  <c:v>-1.0034490042939652</c:v>
                </c:pt>
                <c:pt idx="15">
                  <c:v>-1.0011746734250258</c:v>
                </c:pt>
                <c:pt idx="16">
                  <c:v>-1.0010102373263094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C-474B-BCCD-DCD9F81063AF}"/>
            </c:ext>
          </c:extLst>
        </c:ser>
        <c:ser>
          <c:idx val="1"/>
          <c:order val="1"/>
          <c:tx>
            <c:strRef>
              <c:f>'q=0'!$G$60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9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'q=0'!$G$61:$G$77</c:f>
              <c:numCache>
                <c:formatCode>General</c:formatCode>
                <c:ptCount val="17"/>
                <c:pt idx="0">
                  <c:v>-6.5218741008161125E-7</c:v>
                </c:pt>
                <c:pt idx="1">
                  <c:v>-7.402820900407707E-5</c:v>
                </c:pt>
                <c:pt idx="2">
                  <c:v>-2.8984741257135319E-3</c:v>
                </c:pt>
                <c:pt idx="3">
                  <c:v>-4.7565863848141231E-2</c:v>
                </c:pt>
                <c:pt idx="4">
                  <c:v>-0.38058699056959633</c:v>
                </c:pt>
                <c:pt idx="5">
                  <c:v>-1.6730193605929882</c:v>
                </c:pt>
                <c:pt idx="6">
                  <c:v>-4.4469923866861691</c:v>
                </c:pt>
                <c:pt idx="7">
                  <c:v>-7.7309673405734962</c:v>
                </c:pt>
                <c:pt idx="8">
                  <c:v>-9.3926350136616428</c:v>
                </c:pt>
                <c:pt idx="9">
                  <c:v>-8.4652333282392611</c:v>
                </c:pt>
                <c:pt idx="10">
                  <c:v>-6.0197638922162939</c:v>
                </c:pt>
                <c:pt idx="11">
                  <c:v>-3.6590014057540245</c:v>
                </c:pt>
                <c:pt idx="12">
                  <c:v>-2.1466966892513142</c:v>
                </c:pt>
                <c:pt idx="13">
                  <c:v>-1.4141621323957998</c:v>
                </c:pt>
                <c:pt idx="14">
                  <c:v>-1.1288697485194497</c:v>
                </c:pt>
                <c:pt idx="15">
                  <c:v>-1.0360374529115921</c:v>
                </c:pt>
                <c:pt idx="16">
                  <c:v>-1.0100933005544868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C-474B-BCCD-DCD9F81063AF}"/>
            </c:ext>
          </c:extLst>
        </c:ser>
        <c:ser>
          <c:idx val="2"/>
          <c:order val="2"/>
          <c:tx>
            <c:strRef>
              <c:f>'q=0'!$H$60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58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'q=0'!$H$61:$H$77</c:f>
              <c:numCache>
                <c:formatCode>General</c:formatCode>
                <c:ptCount val="17"/>
                <c:pt idx="0">
                  <c:v>-1.225666714091842E-4</c:v>
                </c:pt>
                <c:pt idx="1">
                  <c:v>-2.8954601420058683E-3</c:v>
                </c:pt>
                <c:pt idx="2">
                  <c:v>-3.3634354347343208E-2</c:v>
                </c:pt>
                <c:pt idx="3">
                  <c:v>-0.21879688944533632</c:v>
                </c:pt>
                <c:pt idx="4">
                  <c:v>-0.88177430394698519</c:v>
                </c:pt>
                <c:pt idx="5">
                  <c:v>-2.3845369603108986</c:v>
                </c:pt>
                <c:pt idx="6">
                  <c:v>-4.6139004849167504</c:v>
                </c:pt>
                <c:pt idx="7">
                  <c:v>-6.7335236913073473</c:v>
                </c:pt>
                <c:pt idx="8">
                  <c:v>-7.7496606122420397</c:v>
                </c:pt>
                <c:pt idx="9">
                  <c:v>-7.3183544303146189</c:v>
                </c:pt>
                <c:pt idx="10">
                  <c:v>-5.894258624560023</c:v>
                </c:pt>
                <c:pt idx="11">
                  <c:v>-4.2278688317674735</c:v>
                </c:pt>
                <c:pt idx="12">
                  <c:v>-2.8538141781283684</c:v>
                </c:pt>
                <c:pt idx="13">
                  <c:v>-1.9447000617782182</c:v>
                </c:pt>
                <c:pt idx="14">
                  <c:v>-1.4343371384118355</c:v>
                </c:pt>
                <c:pt idx="15">
                  <c:v>-1.183190802482462</c:v>
                </c:pt>
                <c:pt idx="16">
                  <c:v>-1.0724251562556457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C-474B-BCCD-DCD9F81063AF}"/>
            </c:ext>
          </c:extLst>
        </c:ser>
        <c:ser>
          <c:idx val="3"/>
          <c:order val="3"/>
          <c:tx>
            <c:strRef>
              <c:f>'q=0'!$I$60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8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'q=0'!$I$61:$I$77</c:f>
              <c:numCache>
                <c:formatCode>General</c:formatCode>
                <c:ptCount val="17"/>
                <c:pt idx="0">
                  <c:v>-1.6122344242869328E-3</c:v>
                </c:pt>
                <c:pt idx="1">
                  <c:v>-1.7379404099481105E-2</c:v>
                </c:pt>
                <c:pt idx="2">
                  <c:v>-0.10999262544386665</c:v>
                </c:pt>
                <c:pt idx="3">
                  <c:v>-0.45063050525740223</c:v>
                </c:pt>
                <c:pt idx="4">
                  <c:v>-1.2893300066599218</c:v>
                </c:pt>
                <c:pt idx="5">
                  <c:v>-2.7356976787449363</c:v>
                </c:pt>
                <c:pt idx="6">
                  <c:v>-4.5178499312311313</c:v>
                </c:pt>
                <c:pt idx="7">
                  <c:v>-6.0425102069576599</c:v>
                </c:pt>
                <c:pt idx="8">
                  <c:v>-6.7688497250163575</c:v>
                </c:pt>
                <c:pt idx="9">
                  <c:v>-6.5417936390512477</c:v>
                </c:pt>
                <c:pt idx="10">
                  <c:v>-5.6094699408891664</c:v>
                </c:pt>
                <c:pt idx="11">
                  <c:v>-4.3936917737208683</c:v>
                </c:pt>
                <c:pt idx="12">
                  <c:v>-3.2502361218147513</c:v>
                </c:pt>
                <c:pt idx="13">
                  <c:v>-2.3630497435975277</c:v>
                </c:pt>
                <c:pt idx="14">
                  <c:v>-1.7635724087074318</c:v>
                </c:pt>
                <c:pt idx="15">
                  <c:v>-1.400050279934675</c:v>
                </c:pt>
                <c:pt idx="16">
                  <c:v>-1.1982915287345368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4C-474B-BCCD-DCD9F81063AF}"/>
            </c:ext>
          </c:extLst>
        </c:ser>
        <c:ser>
          <c:idx val="4"/>
          <c:order val="4"/>
          <c:tx>
            <c:strRef>
              <c:f>'q=0'!$J$60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'q=0'!$J$61:$J$77</c:f>
              <c:numCache>
                <c:formatCode>General</c:formatCode>
                <c:ptCount val="17"/>
                <c:pt idx="0">
                  <c:v>-7.3836207386308644E-3</c:v>
                </c:pt>
                <c:pt idx="1">
                  <c:v>-4.9717006137903044E-2</c:v>
                </c:pt>
                <c:pt idx="2">
                  <c:v>-0.21861098627588463</c:v>
                </c:pt>
                <c:pt idx="3">
                  <c:v>-0.67879215763863099</c:v>
                </c:pt>
                <c:pt idx="4">
                  <c:v>-1.5816517769788825</c:v>
                </c:pt>
                <c:pt idx="5">
                  <c:v>-2.9020424477884981</c:v>
                </c:pt>
                <c:pt idx="6">
                  <c:v>-4.3588366654630883</c:v>
                </c:pt>
                <c:pt idx="7">
                  <c:v>-5.533202884405843</c:v>
                </c:pt>
                <c:pt idx="8">
                  <c:v>-6.0985830340398515</c:v>
                </c:pt>
                <c:pt idx="9">
                  <c:v>-5.9756847306203404</c:v>
                </c:pt>
                <c:pt idx="10">
                  <c:v>-5.3204298627380409</c:v>
                </c:pt>
                <c:pt idx="11">
                  <c:v>-4.3989715434613696</c:v>
                </c:pt>
                <c:pt idx="12">
                  <c:v>-3.4573368442039301</c:v>
                </c:pt>
                <c:pt idx="13">
                  <c:v>-2.6516252708081542</c:v>
                </c:pt>
                <c:pt idx="14">
                  <c:v>-2.0422179719532934</c:v>
                </c:pt>
                <c:pt idx="15">
                  <c:v>-1.6228499281333031</c:v>
                </c:pt>
                <c:pt idx="16">
                  <c:v>-1.3554312000016124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4C-474B-BCCD-DCD9F81063AF}"/>
            </c:ext>
          </c:extLst>
        </c:ser>
        <c:ser>
          <c:idx val="5"/>
          <c:order val="5"/>
          <c:tx>
            <c:strRef>
              <c:f>'q=0'!$K$60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86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'q=0'!$K$61:$K$77</c:f>
              <c:numCache>
                <c:formatCode>General</c:formatCode>
                <c:ptCount val="17"/>
                <c:pt idx="0">
                  <c:v>-2.0037571229271821E-2</c:v>
                </c:pt>
                <c:pt idx="1">
                  <c:v>-9.8602311983782845E-2</c:v>
                </c:pt>
                <c:pt idx="2">
                  <c:v>-0.34015092439054084</c:v>
                </c:pt>
                <c:pt idx="3">
                  <c:v>-0.87808712606811701</c:v>
                </c:pt>
                <c:pt idx="4">
                  <c:v>-1.7845537460818555</c:v>
                </c:pt>
                <c:pt idx="5">
                  <c:v>-2.9724184910801368</c:v>
                </c:pt>
                <c:pt idx="6">
                  <c:v>-4.1914415413665713</c:v>
                </c:pt>
                <c:pt idx="7">
                  <c:v>-5.1390104624572901</c:v>
                </c:pt>
                <c:pt idx="8">
                  <c:v>-5.603144033276994</c:v>
                </c:pt>
                <c:pt idx="9">
                  <c:v>-5.5403733387028486</c:v>
                </c:pt>
                <c:pt idx="10">
                  <c:v>-5.057893608774835</c:v>
                </c:pt>
                <c:pt idx="11">
                  <c:v>-4.3373936090181973</c:v>
                </c:pt>
                <c:pt idx="12">
                  <c:v>-3.5565134045123816</c:v>
                </c:pt>
                <c:pt idx="13">
                  <c:v>-2.8419836433640469</c:v>
                </c:pt>
                <c:pt idx="14">
                  <c:v>-2.2586601819823837</c:v>
                </c:pt>
                <c:pt idx="15">
                  <c:v>-1.8215577835651469</c:v>
                </c:pt>
                <c:pt idx="16">
                  <c:v>-1.5156040955099128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4C-474B-BCCD-DCD9F81063AF}"/>
            </c:ext>
          </c:extLst>
        </c:ser>
        <c:ser>
          <c:idx val="6"/>
          <c:order val="6"/>
          <c:tx>
            <c:strRef>
              <c:f>'q=0'!$L$60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6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'q=0'!$L$61:$L$77</c:f>
              <c:numCache>
                <c:formatCode>General</c:formatCode>
                <c:ptCount val="17"/>
                <c:pt idx="0">
                  <c:v>-4.0419861122540202E-2</c:v>
                </c:pt>
                <c:pt idx="1">
                  <c:v>-0.15900012062368155</c:v>
                </c:pt>
                <c:pt idx="2">
                  <c:v>-0.46126801345955099</c:v>
                </c:pt>
                <c:pt idx="3">
                  <c:v>-1.043711976514581</c:v>
                </c:pt>
                <c:pt idx="4">
                  <c:v>-1.9239909864035536</c:v>
                </c:pt>
                <c:pt idx="5">
                  <c:v>-2.9910030390680649</c:v>
                </c:pt>
                <c:pt idx="6">
                  <c:v>-4.0320226345242007</c:v>
                </c:pt>
                <c:pt idx="7">
                  <c:v>-4.8225687538942648</c:v>
                </c:pt>
                <c:pt idx="8">
                  <c:v>-5.2175805860015299</c:v>
                </c:pt>
                <c:pt idx="9">
                  <c:v>-5.192435808043764</c:v>
                </c:pt>
                <c:pt idx="10">
                  <c:v>-4.8255490293973731</c:v>
                </c:pt>
                <c:pt idx="11">
                  <c:v>-4.2481905149445334</c:v>
                </c:pt>
                <c:pt idx="12">
                  <c:v>-3.5935186973612852</c:v>
                </c:pt>
                <c:pt idx="13">
                  <c:v>-2.9640453433654779</c:v>
                </c:pt>
                <c:pt idx="14">
                  <c:v>-2.4208099381508927</c:v>
                </c:pt>
                <c:pt idx="15">
                  <c:v>-1.987916678264847</c:v>
                </c:pt>
                <c:pt idx="16">
                  <c:v>-1.6638849511388574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4C-474B-BCCD-DCD9F81063AF}"/>
            </c:ext>
          </c:extLst>
        </c:ser>
        <c:ser>
          <c:idx val="7"/>
          <c:order val="7"/>
          <c:tx>
            <c:strRef>
              <c:f>'q=0'!$M$60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'q=0'!$M$61:$M$77</c:f>
              <c:numCache>
                <c:formatCode>General</c:formatCode>
                <c:ptCount val="17"/>
                <c:pt idx="0">
                  <c:v>-6.7838014498347629E-2</c:v>
                </c:pt>
                <c:pt idx="1">
                  <c:v>-0.22562098296553099</c:v>
                </c:pt>
                <c:pt idx="2">
                  <c:v>-0.57484224329898426</c:v>
                </c:pt>
                <c:pt idx="3">
                  <c:v>-1.1783720358245673</c:v>
                </c:pt>
                <c:pt idx="4">
                  <c:v>-2.0191187748866817</c:v>
                </c:pt>
                <c:pt idx="5">
                  <c:v>-2.9807903329625667</c:v>
                </c:pt>
                <c:pt idx="6">
                  <c:v>-3.8850823397872243</c:v>
                </c:pt>
                <c:pt idx="7">
                  <c:v>-4.5613827150234769</c:v>
                </c:pt>
                <c:pt idx="8">
                  <c:v>-4.9063850918906144</c:v>
                </c:pt>
                <c:pt idx="9">
                  <c:v>-4.9061463905105418</c:v>
                </c:pt>
                <c:pt idx="10">
                  <c:v>-4.6206847221159055</c:v>
                </c:pt>
                <c:pt idx="11">
                  <c:v>-4.1489831798017889</c:v>
                </c:pt>
                <c:pt idx="12">
                  <c:v>-3.594014381087876</c:v>
                </c:pt>
                <c:pt idx="13">
                  <c:v>-3.0393841643748347</c:v>
                </c:pt>
                <c:pt idx="14">
                  <c:v>-2.5399329678018314</c:v>
                </c:pt>
                <c:pt idx="15">
                  <c:v>-2.1228839194998295</c:v>
                </c:pt>
                <c:pt idx="16">
                  <c:v>-1.7944596432291424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4C-474B-BCCD-DCD9F81063AF}"/>
            </c:ext>
          </c:extLst>
        </c:ser>
        <c:ser>
          <c:idx val="8"/>
          <c:order val="8"/>
          <c:tx>
            <c:strRef>
              <c:f>'q=0'!$N$60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86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'q=0'!$N$61:$N$77</c:f>
              <c:numCache>
                <c:formatCode>General</c:formatCode>
                <c:ptCount val="17"/>
                <c:pt idx="0">
                  <c:v>-0.10081636241456597</c:v>
                </c:pt>
                <c:pt idx="1">
                  <c:v>-0.29428447747740477</c:v>
                </c:pt>
                <c:pt idx="2">
                  <c:v>-0.67781018243825342</c:v>
                </c:pt>
                <c:pt idx="3">
                  <c:v>-1.2867908213996639</c:v>
                </c:pt>
                <c:pt idx="4">
                  <c:v>-2.0831702563540273</c:v>
                </c:pt>
                <c:pt idx="5">
                  <c:v>-2.9543401597908243</c:v>
                </c:pt>
                <c:pt idx="6">
                  <c:v>-3.751123351303387</c:v>
                </c:pt>
                <c:pt idx="7">
                  <c:v>-4.3410696339104913</c:v>
                </c:pt>
                <c:pt idx="8">
                  <c:v>-4.6482907283723494</c:v>
                </c:pt>
                <c:pt idx="9">
                  <c:v>-4.6652261416444221</c:v>
                </c:pt>
                <c:pt idx="10">
                  <c:v>-4.4394210185282601</c:v>
                </c:pt>
                <c:pt idx="11">
                  <c:v>-4.0480381642977923</c:v>
                </c:pt>
                <c:pt idx="12">
                  <c:v>-3.572789436194868</c:v>
                </c:pt>
                <c:pt idx="13">
                  <c:v>-3.0826606894491215</c:v>
                </c:pt>
                <c:pt idx="14">
                  <c:v>-2.6260687991865788</c:v>
                </c:pt>
                <c:pt idx="15">
                  <c:v>-2.2304752610998499</c:v>
                </c:pt>
                <c:pt idx="16">
                  <c:v>-1.9062768905008256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4C-474B-BCCD-DCD9F81063AF}"/>
            </c:ext>
          </c:extLst>
        </c:ser>
        <c:ser>
          <c:idx val="9"/>
          <c:order val="9"/>
          <c:tx>
            <c:strRef>
              <c:f>'q=0'!$O$60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'q=0'!$O$61:$O$77</c:f>
              <c:numCache>
                <c:formatCode>General</c:formatCode>
                <c:ptCount val="17"/>
                <c:pt idx="0">
                  <c:v>-0.13769308130728006</c:v>
                </c:pt>
                <c:pt idx="1">
                  <c:v>-0.36210528452670065</c:v>
                </c:pt>
                <c:pt idx="2">
                  <c:v>-0.76937057099883677</c:v>
                </c:pt>
                <c:pt idx="3">
                  <c:v>-1.3736958956740573</c:v>
                </c:pt>
                <c:pt idx="4">
                  <c:v>-2.125191020020087</c:v>
                </c:pt>
                <c:pt idx="5">
                  <c:v>-2.9187984098097419</c:v>
                </c:pt>
                <c:pt idx="6">
                  <c:v>-3.6292998471821813</c:v>
                </c:pt>
                <c:pt idx="7">
                  <c:v>-4.151972703189224</c:v>
                </c:pt>
                <c:pt idx="8">
                  <c:v>-4.4296791984524662</c:v>
                </c:pt>
                <c:pt idx="9">
                  <c:v>-4.458824031408879</c:v>
                </c:pt>
                <c:pt idx="10">
                  <c:v>-4.2781006210085888</c:v>
                </c:pt>
                <c:pt idx="11">
                  <c:v>-3.9492841488252792</c:v>
                </c:pt>
                <c:pt idx="12">
                  <c:v>-3.5386282471224373</c:v>
                </c:pt>
                <c:pt idx="13">
                  <c:v>-3.1037526551210197</c:v>
                </c:pt>
                <c:pt idx="14">
                  <c:v>-2.6871714200809755</c:v>
                </c:pt>
                <c:pt idx="15">
                  <c:v>-2.3152410722873409</c:v>
                </c:pt>
                <c:pt idx="16">
                  <c:v>-2.0004445177891572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4C-474B-BCCD-DCD9F81063AF}"/>
            </c:ext>
          </c:extLst>
        </c:ser>
        <c:ser>
          <c:idx val="10"/>
          <c:order val="10"/>
          <c:tx>
            <c:strRef>
              <c:f>'q=0'!$P$60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7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'q=0'!$P$61:$P$77</c:f>
              <c:numCache>
                <c:formatCode>General</c:formatCode>
                <c:ptCount val="17"/>
                <c:pt idx="0">
                  <c:v>-0.5060845567929223</c:v>
                </c:pt>
                <c:pt idx="1">
                  <c:v>-0.83311529139803653</c:v>
                </c:pt>
                <c:pt idx="2">
                  <c:v>-1.2324871885814481</c:v>
                </c:pt>
                <c:pt idx="3">
                  <c:v>-1.6713286043988775</c:v>
                </c:pt>
                <c:pt idx="4">
                  <c:v>-2.1098441386634206</c:v>
                </c:pt>
                <c:pt idx="5">
                  <c:v>-2.5099650084506924</c:v>
                </c:pt>
                <c:pt idx="6">
                  <c:v>-2.8418598046514343</c:v>
                </c:pt>
                <c:pt idx="7">
                  <c:v>-3.0872190891409232</c:v>
                </c:pt>
                <c:pt idx="8">
                  <c:v>-3.2395306029962003</c:v>
                </c:pt>
                <c:pt idx="9">
                  <c:v>-3.3022593622871685</c:v>
                </c:pt>
                <c:pt idx="10">
                  <c:v>-3.2859929636128302</c:v>
                </c:pt>
                <c:pt idx="11">
                  <c:v>-3.2054233686322795</c:v>
                </c:pt>
                <c:pt idx="12">
                  <c:v>-3.076723743827932</c:v>
                </c:pt>
                <c:pt idx="13">
                  <c:v>-2.9155814422550197</c:v>
                </c:pt>
                <c:pt idx="14">
                  <c:v>-2.7359291428684522</c:v>
                </c:pt>
                <c:pt idx="15">
                  <c:v>-2.5492863335702265</c:v>
                </c:pt>
                <c:pt idx="16">
                  <c:v>-2.364566845629398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4C-474B-BCCD-DCD9F81063AF}"/>
            </c:ext>
          </c:extLst>
        </c:ser>
        <c:ser>
          <c:idx val="11"/>
          <c:order val="11"/>
          <c:tx>
            <c:strRef>
              <c:f>'q=0'!$Q$60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58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'q=0'!$Q$61:$Q$77</c:f>
              <c:numCache>
                <c:formatCode>General</c:formatCode>
                <c:ptCount val="17"/>
                <c:pt idx="0">
                  <c:v>-0.72179014018593524</c:v>
                </c:pt>
                <c:pt idx="1">
                  <c:v>-1.0173372746412945</c:v>
                </c:pt>
                <c:pt idx="2">
                  <c:v>-1.33502143645493</c:v>
                </c:pt>
                <c:pt idx="3">
                  <c:v>-1.6529209631728625</c:v>
                </c:pt>
                <c:pt idx="4">
                  <c:v>-1.9509788859291186</c:v>
                </c:pt>
                <c:pt idx="5">
                  <c:v>-2.213363086285248</c:v>
                </c:pt>
                <c:pt idx="6">
                  <c:v>-2.4295160574037618</c:v>
                </c:pt>
                <c:pt idx="7">
                  <c:v>-2.5941457785357183</c:v>
                </c:pt>
                <c:pt idx="8">
                  <c:v>-2.7065254279111142</c:v>
                </c:pt>
                <c:pt idx="9">
                  <c:v>-2.7694508208544937</c:v>
                </c:pt>
                <c:pt idx="10">
                  <c:v>-2.7881224165986858</c:v>
                </c:pt>
                <c:pt idx="11">
                  <c:v>-2.7691230735057308</c:v>
                </c:pt>
                <c:pt idx="12">
                  <c:v>-2.7195798662550992</c:v>
                </c:pt>
                <c:pt idx="13">
                  <c:v>-2.6465378479598431</c:v>
                </c:pt>
                <c:pt idx="14">
                  <c:v>-2.5565356127998013</c:v>
                </c:pt>
                <c:pt idx="15">
                  <c:v>-2.4553525451493545</c:v>
                </c:pt>
                <c:pt idx="16">
                  <c:v>-2.3478903289162218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64C-474B-BCCD-DCD9F81063AF}"/>
            </c:ext>
          </c:extLst>
        </c:ser>
        <c:ser>
          <c:idx val="12"/>
          <c:order val="12"/>
          <c:tx>
            <c:strRef>
              <c:f>'q=0'!$R$60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8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'q=0'!$R$61:$R$77</c:f>
              <c:numCache>
                <c:formatCode>General</c:formatCode>
                <c:ptCount val="17"/>
                <c:pt idx="0">
                  <c:v>-0.83024309118510431</c:v>
                </c:pt>
                <c:pt idx="1">
                  <c:v>-1.0832471600868347</c:v>
                </c:pt>
                <c:pt idx="2">
                  <c:v>-1.3393093964555041</c:v>
                </c:pt>
                <c:pt idx="3">
                  <c:v>-1.5849472738867647</c:v>
                </c:pt>
                <c:pt idx="4">
                  <c:v>-1.8093229913953346</c:v>
                </c:pt>
                <c:pt idx="5">
                  <c:v>-2.0047781317661246</c:v>
                </c:pt>
                <c:pt idx="6">
                  <c:v>-2.1668073861100083</c:v>
                </c:pt>
                <c:pt idx="7">
                  <c:v>-2.2936804602081025</c:v>
                </c:pt>
                <c:pt idx="8">
                  <c:v>-2.3858912222481017</c:v>
                </c:pt>
                <c:pt idx="9">
                  <c:v>-2.4455643067157569</c:v>
                </c:pt>
                <c:pt idx="10">
                  <c:v>-2.4759012883515981</c:v>
                </c:pt>
                <c:pt idx="11">
                  <c:v>-2.4807097437198364</c:v>
                </c:pt>
                <c:pt idx="12">
                  <c:v>-2.4640310496713758</c:v>
                </c:pt>
                <c:pt idx="13">
                  <c:v>-2.429865445947073</c:v>
                </c:pt>
                <c:pt idx="14">
                  <c:v>-2.3819833824362679</c:v>
                </c:pt>
                <c:pt idx="15">
                  <c:v>-2.3238080807732002</c:v>
                </c:pt>
                <c:pt idx="16">
                  <c:v>-2.2583535590904078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4C-474B-BCCD-DCD9F81063AF}"/>
            </c:ext>
          </c:extLst>
        </c:ser>
        <c:ser>
          <c:idx val="13"/>
          <c:order val="13"/>
          <c:tx>
            <c:strRef>
              <c:f>'q=0'!$S$60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39000"/>
                  <a:shade val="95000"/>
                </a:schemeClr>
              </a:contourClr>
            </a:sp3d>
          </c:spPr>
          <c:cat>
            <c:numRef>
              <c:f>'q=0'!$E$61:$E$77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'q=0'!$S$61:$S$77</c:f>
              <c:numCache>
                <c:formatCode>General</c:formatCode>
                <c:ptCount val="17"/>
                <c:pt idx="0">
                  <c:v>-0.88336183913193833</c:v>
                </c:pt>
                <c:pt idx="1">
                  <c:v>-1.1006372554079169</c:v>
                </c:pt>
                <c:pt idx="2">
                  <c:v>-1.3132885861798649</c:v>
                </c:pt>
                <c:pt idx="3">
                  <c:v>-1.5128004439281957</c:v>
                </c:pt>
                <c:pt idx="4">
                  <c:v>-1.6928909696792729</c:v>
                </c:pt>
                <c:pt idx="5">
                  <c:v>-1.8495005687374202</c:v>
                </c:pt>
                <c:pt idx="6">
                  <c:v>-1.9805492726477336</c:v>
                </c:pt>
                <c:pt idx="7">
                  <c:v>-2.0855814143872142</c:v>
                </c:pt>
                <c:pt idx="8">
                  <c:v>-2.1653805878343673</c:v>
                </c:pt>
                <c:pt idx="9">
                  <c:v>-2.2216061127607514</c:v>
                </c:pt>
                <c:pt idx="10">
                  <c:v>-2.2564780018425803</c:v>
                </c:pt>
                <c:pt idx="11">
                  <c:v>-2.2725208175366562</c:v>
                </c:pt>
                <c:pt idx="12">
                  <c:v>-2.2723664855228907</c:v>
                </c:pt>
                <c:pt idx="13">
                  <c:v>-2.2586104377834699</c:v>
                </c:pt>
                <c:pt idx="14">
                  <c:v>-2.233712892040332</c:v>
                </c:pt>
                <c:pt idx="15">
                  <c:v>-2.1999364597285593</c:v>
                </c:pt>
                <c:pt idx="16">
                  <c:v>-2.1593117694847401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4C-474B-BCCD-DCD9F81063AF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tint val="4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4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4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4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46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tint val="6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6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6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6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62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7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9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3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shade val="9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9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9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2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6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shade val="61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61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61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61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61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</c:bandFmts>
        <c:axId val="169659744"/>
        <c:axId val="169661184"/>
        <c:axId val="271878784"/>
      </c:surface3DChart>
      <c:catAx>
        <c:axId val="16965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  <c:auto val="1"/>
        <c:lblAlgn val="ctr"/>
        <c:lblOffset val="100"/>
        <c:noMultiLvlLbl val="0"/>
      </c:catAx>
      <c:valAx>
        <c:axId val="16966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59744"/>
        <c:crosses val="autoZero"/>
        <c:crossBetween val="midCat"/>
      </c:valAx>
      <c:serAx>
        <c:axId val="2718787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'q=0'!$F$79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39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'q=0'!$F$80:$F$96</c:f>
              <c:numCache>
                <c:formatCode>General</c:formatCode>
                <c:ptCount val="17"/>
                <c:pt idx="0">
                  <c:v>-4.206019651031659E-226</c:v>
                </c:pt>
                <c:pt idx="1">
                  <c:v>-9.2706775738050897E-161</c:v>
                </c:pt>
                <c:pt idx="2">
                  <c:v>-3.4917755217473891E-110</c:v>
                </c:pt>
                <c:pt idx="3">
                  <c:v>-1.1292286884981929E-71</c:v>
                </c:pt>
                <c:pt idx="4">
                  <c:v>-3.9005482652327401E-43</c:v>
                </c:pt>
                <c:pt idx="5">
                  <c:v>-6.4352420693311497E-23</c:v>
                </c:pt>
                <c:pt idx="6">
                  <c:v>-1.0566022968851616E-9</c:v>
                </c:pt>
                <c:pt idx="7">
                  <c:v>-2.0234259778263552E-2</c:v>
                </c:pt>
                <c:pt idx="8">
                  <c:v>-3.6685308722667309</c:v>
                </c:pt>
                <c:pt idx="9">
                  <c:v>-1.0228530496366706</c:v>
                </c:pt>
                <c:pt idx="10">
                  <c:v>-1.0010005285900745</c:v>
                </c:pt>
                <c:pt idx="11">
                  <c:v>-1.0010005001667084</c:v>
                </c:pt>
                <c:pt idx="12">
                  <c:v>-1.0010005001667084</c:v>
                </c:pt>
                <c:pt idx="13">
                  <c:v>-1.0010005001667084</c:v>
                </c:pt>
                <c:pt idx="14">
                  <c:v>-1.0010005001667084</c:v>
                </c:pt>
                <c:pt idx="15">
                  <c:v>-1.0010005001667084</c:v>
                </c:pt>
                <c:pt idx="16">
                  <c:v>-1.0010005001667084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8-44B2-B5D3-9B7F1E6D3FDB}"/>
            </c:ext>
          </c:extLst>
        </c:ser>
        <c:ser>
          <c:idx val="1"/>
          <c:order val="1"/>
          <c:tx>
            <c:strRef>
              <c:f>'q=0'!$G$79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8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'q=0'!$G$80:$G$96</c:f>
              <c:numCache>
                <c:formatCode>General</c:formatCode>
                <c:ptCount val="17"/>
                <c:pt idx="0">
                  <c:v>-6.3093890707574538E-113</c:v>
                </c:pt>
                <c:pt idx="1">
                  <c:v>-2.5777776118801643E-80</c:v>
                </c:pt>
                <c:pt idx="2">
                  <c:v>-4.4006100072412031E-55</c:v>
                </c:pt>
                <c:pt idx="3">
                  <c:v>-7.0276258163020138E-36</c:v>
                </c:pt>
                <c:pt idx="4">
                  <c:v>-1.1700591514513206E-21</c:v>
                </c:pt>
                <c:pt idx="5">
                  <c:v>-1.3580980032702918E-11</c:v>
                </c:pt>
                <c:pt idx="6">
                  <c:v>-5.0246035277729251E-5</c:v>
                </c:pt>
                <c:pt idx="7">
                  <c:v>-0.20457866784145473</c:v>
                </c:pt>
                <c:pt idx="8">
                  <c:v>-2.7511472872291876</c:v>
                </c:pt>
                <c:pt idx="9">
                  <c:v>-1.1631137347057994</c:v>
                </c:pt>
                <c:pt idx="10">
                  <c:v>-1.0021752351342401</c:v>
                </c:pt>
                <c:pt idx="11">
                  <c:v>-1.0020020056814851</c:v>
                </c:pt>
                <c:pt idx="12">
                  <c:v>-1.0020020013340043</c:v>
                </c:pt>
                <c:pt idx="13">
                  <c:v>-1.0020020013340003</c:v>
                </c:pt>
                <c:pt idx="14">
                  <c:v>-1.0020020013340003</c:v>
                </c:pt>
                <c:pt idx="15">
                  <c:v>-1.0020020013340003</c:v>
                </c:pt>
                <c:pt idx="16">
                  <c:v>-1.0020020013340003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8-44B2-B5D3-9B7F1E6D3FDB}"/>
            </c:ext>
          </c:extLst>
        </c:ser>
        <c:ser>
          <c:idx val="2"/>
          <c:order val="2"/>
          <c:tx>
            <c:strRef>
              <c:f>'q=0'!$H$79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58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'q=0'!$H$80:$H$96</c:f>
              <c:numCache>
                <c:formatCode>General</c:formatCode>
                <c:ptCount val="17"/>
                <c:pt idx="0">
                  <c:v>-3.0753279499531758E-75</c:v>
                </c:pt>
                <c:pt idx="1">
                  <c:v>-1.5441768715579987E-53</c:v>
                </c:pt>
                <c:pt idx="2">
                  <c:v>-9.4047824986731364E-37</c:v>
                </c:pt>
                <c:pt idx="3">
                  <c:v>-5.5149291190810234E-24</c:v>
                </c:pt>
                <c:pt idx="4">
                  <c:v>-1.5529971232665859E-14</c:v>
                </c:pt>
                <c:pt idx="5">
                  <c:v>-7.4561850222966509E-8</c:v>
                </c:pt>
                <c:pt idx="6">
                  <c:v>-1.6845228260758945E-3</c:v>
                </c:pt>
                <c:pt idx="7">
                  <c:v>-0.41217606980042942</c:v>
                </c:pt>
                <c:pt idx="8">
                  <c:v>-2.3469365421215524</c:v>
                </c:pt>
                <c:pt idx="9">
                  <c:v>-1.2842917179075748</c:v>
                </c:pt>
                <c:pt idx="10">
                  <c:v>-1.0058636303700572</c:v>
                </c:pt>
                <c:pt idx="11">
                  <c:v>-1.0030068534954228</c:v>
                </c:pt>
                <c:pt idx="12">
                  <c:v>-1.0030045047228848</c:v>
                </c:pt>
                <c:pt idx="13">
                  <c:v>-1.00300450450338</c:v>
                </c:pt>
                <c:pt idx="14">
                  <c:v>-1.0030045045033771</c:v>
                </c:pt>
                <c:pt idx="15">
                  <c:v>-1.0030045045033771</c:v>
                </c:pt>
                <c:pt idx="16">
                  <c:v>-1.0030045045033771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F8-44B2-B5D3-9B7F1E6D3FDB}"/>
            </c:ext>
          </c:extLst>
        </c:ser>
        <c:ser>
          <c:idx val="3"/>
          <c:order val="3"/>
          <c:tx>
            <c:strRef>
              <c:f>'q=0'!$I$79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7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'q=0'!$I$80:$I$96</c:f>
              <c:numCache>
                <c:formatCode>General</c:formatCode>
                <c:ptCount val="17"/>
                <c:pt idx="0">
                  <c:v>-2.0592235988396785E-56</c:v>
                </c:pt>
                <c:pt idx="1">
                  <c:v>-3.6260855300848705E-40</c:v>
                </c:pt>
                <c:pt idx="2">
                  <c:v>-1.319729158667174E-27</c:v>
                </c:pt>
                <c:pt idx="3">
                  <c:v>-4.6924565294102883E-18</c:v>
                </c:pt>
                <c:pt idx="4">
                  <c:v>-5.4393153170779409E-11</c:v>
                </c:pt>
                <c:pt idx="5">
                  <c:v>-5.318798825235881E-6</c:v>
                </c:pt>
                <c:pt idx="6">
                  <c:v>-9.4122021692078003E-3</c:v>
                </c:pt>
                <c:pt idx="7">
                  <c:v>-0.5668849662858545</c:v>
                </c:pt>
                <c:pt idx="8">
                  <c:v>-2.1073171403529734</c:v>
                </c:pt>
                <c:pt idx="9">
                  <c:v>-1.3549658802777027</c:v>
                </c:pt>
                <c:pt idx="10">
                  <c:v>-1.0150261368331839</c:v>
                </c:pt>
                <c:pt idx="11">
                  <c:v>-1.0040599271450756</c:v>
                </c:pt>
                <c:pt idx="12">
                  <c:v>-1.004008058465746</c:v>
                </c:pt>
                <c:pt idx="13">
                  <c:v>-1.0040080106879681</c:v>
                </c:pt>
                <c:pt idx="14">
                  <c:v>-1.0040080106773426</c:v>
                </c:pt>
                <c:pt idx="15">
                  <c:v>-1.0040080106773419</c:v>
                </c:pt>
                <c:pt idx="16">
                  <c:v>-1.0040080106773419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F8-44B2-B5D3-9B7F1E6D3FDB}"/>
            </c:ext>
          </c:extLst>
        </c:ser>
        <c:ser>
          <c:idx val="4"/>
          <c:order val="4"/>
          <c:tx>
            <c:strRef>
              <c:f>'q=0'!$J$79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'q=0'!$J$80:$J$96</c:f>
              <c:numCache>
                <c:formatCode>General</c:formatCode>
                <c:ptCount val="17"/>
                <c:pt idx="0">
                  <c:v>-3.9670182611173707E-45</c:v>
                </c:pt>
                <c:pt idx="1">
                  <c:v>-3.7263146195203089E-32</c:v>
                </c:pt>
                <c:pt idx="2">
                  <c:v>-3.9657375749218108E-22</c:v>
                </c:pt>
                <c:pt idx="3">
                  <c:v>-1.656118327836854E-14</c:v>
                </c:pt>
                <c:pt idx="4">
                  <c:v>-7.1162632076344959E-9</c:v>
                </c:pt>
                <c:pt idx="5">
                  <c:v>-6.7350394429443558E-5</c:v>
                </c:pt>
                <c:pt idx="6">
                  <c:v>-2.5900664064855649E-2</c:v>
                </c:pt>
                <c:pt idx="7">
                  <c:v>-0.67452233302611908</c:v>
                </c:pt>
                <c:pt idx="8">
                  <c:v>-1.9447291092672252</c:v>
                </c:pt>
                <c:pt idx="9">
                  <c:v>-1.3914349518001408</c:v>
                </c:pt>
                <c:pt idx="10">
                  <c:v>-1.0289551653742788</c:v>
                </c:pt>
                <c:pt idx="11">
                  <c:v>-1.0053348219600826</c:v>
                </c:pt>
                <c:pt idx="12">
                  <c:v>-1.0050136925359583</c:v>
                </c:pt>
                <c:pt idx="13">
                  <c:v>-1.0050125222254924</c:v>
                </c:pt>
                <c:pt idx="14">
                  <c:v>-1.0050125208599907</c:v>
                </c:pt>
                <c:pt idx="15">
                  <c:v>-1.005012520859401</c:v>
                </c:pt>
                <c:pt idx="16">
                  <c:v>-1.005012520859401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F8-44B2-B5D3-9B7F1E6D3FDB}"/>
            </c:ext>
          </c:extLst>
        </c:ser>
        <c:ser>
          <c:idx val="5"/>
          <c:order val="5"/>
          <c:tx>
            <c:strRef>
              <c:f>'q=0'!$K$79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86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'q=0'!$K$80:$K$96</c:f>
              <c:numCache>
                <c:formatCode>General</c:formatCode>
                <c:ptCount val="17"/>
                <c:pt idx="0">
                  <c:v>-1.3018403203472988E-37</c:v>
                </c:pt>
                <c:pt idx="1">
                  <c:v>-8.0450573904521299E-27</c:v>
                </c:pt>
                <c:pt idx="2">
                  <c:v>-1.7513430279847477E-18</c:v>
                </c:pt>
                <c:pt idx="3">
                  <c:v>-3.7805177554376006E-12</c:v>
                </c:pt>
                <c:pt idx="4">
                  <c:v>-1.8070615573559519E-7</c:v>
                </c:pt>
                <c:pt idx="5">
                  <c:v>-3.6083517578291182E-4</c:v>
                </c:pt>
                <c:pt idx="6">
                  <c:v>-5.0223515484318942E-2</c:v>
                </c:pt>
                <c:pt idx="7">
                  <c:v>-0.74930727233531724</c:v>
                </c:pt>
                <c:pt idx="8">
                  <c:v>-1.8254199882736488</c:v>
                </c:pt>
                <c:pt idx="9">
                  <c:v>-1.4075776601510597</c:v>
                </c:pt>
                <c:pt idx="10">
                  <c:v>-1.0452601897484943</c:v>
                </c:pt>
                <c:pt idx="11">
                  <c:v>-1.0070830810923279</c:v>
                </c:pt>
                <c:pt idx="12">
                  <c:v>-1.006027718102753</c:v>
                </c:pt>
                <c:pt idx="13">
                  <c:v>-1.0060180701442518</c:v>
                </c:pt>
                <c:pt idx="14">
                  <c:v>-1.0060180361065125</c:v>
                </c:pt>
                <c:pt idx="15">
                  <c:v>-1.006018036054104</c:v>
                </c:pt>
                <c:pt idx="16">
                  <c:v>-1.0060180360540649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F8-44B2-B5D3-9B7F1E6D3FDB}"/>
            </c:ext>
          </c:extLst>
        </c:ser>
        <c:ser>
          <c:idx val="6"/>
          <c:order val="6"/>
          <c:tx>
            <c:strRef>
              <c:f>'q=0'!$L$79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'q=0'!$L$80:$L$96</c:f>
              <c:numCache>
                <c:formatCode>General</c:formatCode>
                <c:ptCount val="17"/>
                <c:pt idx="0">
                  <c:v>-3.007323306008953E-32</c:v>
                </c:pt>
                <c:pt idx="1">
                  <c:v>-5.1378184717271801E-23</c:v>
                </c:pt>
                <c:pt idx="2">
                  <c:v>-6.9528059208494342E-16</c:v>
                </c:pt>
                <c:pt idx="3">
                  <c:v>-1.8092527693681454E-10</c:v>
                </c:pt>
                <c:pt idx="4">
                  <c:v>-1.8025487985372453E-6</c:v>
                </c:pt>
                <c:pt idx="5">
                  <c:v>-1.1853427598876535E-3</c:v>
                </c:pt>
                <c:pt idx="6">
                  <c:v>-7.9913729122652141E-2</c:v>
                </c:pt>
                <c:pt idx="7">
                  <c:v>-0.80197310650052778</c:v>
                </c:pt>
                <c:pt idx="8">
                  <c:v>-1.7332565753898725</c:v>
                </c:pt>
                <c:pt idx="9">
                  <c:v>-1.4118293861630489</c:v>
                </c:pt>
                <c:pt idx="10">
                  <c:v>-1.0619077182606946</c:v>
                </c:pt>
                <c:pt idx="11">
                  <c:v>-1.0094852560452681</c:v>
                </c:pt>
                <c:pt idx="12">
                  <c:v>-1.0070676382815844</c:v>
                </c:pt>
                <c:pt idx="13">
                  <c:v>-1.0070248914640683</c:v>
                </c:pt>
                <c:pt idx="14">
                  <c:v>-1.0070245585416049</c:v>
                </c:pt>
                <c:pt idx="15">
                  <c:v>-1.0070245572694598</c:v>
                </c:pt>
                <c:pt idx="16">
                  <c:v>-1.0070245572668517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9F8-44B2-B5D3-9B7F1E6D3FDB}"/>
            </c:ext>
          </c:extLst>
        </c:ser>
        <c:ser>
          <c:idx val="7"/>
          <c:order val="7"/>
          <c:tx>
            <c:strRef>
              <c:f>'q=0'!$M$79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6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'q=0'!$M$80:$M$96</c:f>
              <c:numCache>
                <c:formatCode>General</c:formatCode>
                <c:ptCount val="17"/>
                <c:pt idx="0">
                  <c:v>-3.1416890385977261E-28</c:v>
                </c:pt>
                <c:pt idx="1">
                  <c:v>-3.6396366651425419E-20</c:v>
                </c:pt>
                <c:pt idx="2">
                  <c:v>-6.1332575429651324E-14</c:v>
                </c:pt>
                <c:pt idx="3">
                  <c:v>-3.2660943208797976E-9</c:v>
                </c:pt>
                <c:pt idx="4">
                  <c:v>-1.0041956627608084E-5</c:v>
                </c:pt>
                <c:pt idx="5">
                  <c:v>-2.8723848518017528E-3</c:v>
                </c:pt>
                <c:pt idx="6">
                  <c:v>-0.11252891223080447</c:v>
                </c:pt>
                <c:pt idx="7">
                  <c:v>-0.83963707882291827</c:v>
                </c:pt>
                <c:pt idx="8">
                  <c:v>-1.6594301999165848</c:v>
                </c:pt>
                <c:pt idx="9">
                  <c:v>-1.4091054205357227</c:v>
                </c:pt>
                <c:pt idx="10">
                  <c:v>-1.0776549636911743</c:v>
                </c:pt>
                <c:pt idx="11">
                  <c:v>-1.0125849174564534</c:v>
                </c:pt>
                <c:pt idx="12">
                  <c:v>-1.0081624738220962</c:v>
                </c:pt>
                <c:pt idx="13">
                  <c:v>-1.0080339153824267</c:v>
                </c:pt>
                <c:pt idx="14">
                  <c:v>-1.0080320992991534</c:v>
                </c:pt>
                <c:pt idx="15">
                  <c:v>-1.0080320855646354</c:v>
                </c:pt>
                <c:pt idx="16">
                  <c:v>-1.0080320855044373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9F8-44B2-B5D3-9B7F1E6D3FDB}"/>
            </c:ext>
          </c:extLst>
        </c:ser>
        <c:ser>
          <c:idx val="8"/>
          <c:order val="8"/>
          <c:tx>
            <c:strRef>
              <c:f>'q=0'!$N$79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86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'q=0'!$N$80:$N$96</c:f>
              <c:numCache>
                <c:formatCode>General</c:formatCode>
                <c:ptCount val="17"/>
                <c:pt idx="0">
                  <c:v>-4.1701884105247298E-25</c:v>
                </c:pt>
                <c:pt idx="1">
                  <c:v>-5.9583449670298763E-18</c:v>
                </c:pt>
                <c:pt idx="2">
                  <c:v>-1.9867876595632028E-12</c:v>
                </c:pt>
                <c:pt idx="3">
                  <c:v>-3.0811416622866992E-8</c:v>
                </c:pt>
                <c:pt idx="4">
                  <c:v>-3.7977180557270564E-5</c:v>
                </c:pt>
                <c:pt idx="5">
                  <c:v>-5.6881211569644536E-3</c:v>
                </c:pt>
                <c:pt idx="6">
                  <c:v>-0.14619107390991709</c:v>
                </c:pt>
                <c:pt idx="7">
                  <c:v>-0.86694078142017883</c:v>
                </c:pt>
                <c:pt idx="8">
                  <c:v>-1.5986714969405358</c:v>
                </c:pt>
                <c:pt idx="9">
                  <c:v>-1.4022962523012494</c:v>
                </c:pt>
                <c:pt idx="10">
                  <c:v>-1.0918869492238088</c:v>
                </c:pt>
                <c:pt idx="11">
                  <c:v>-1.0163123518705688</c:v>
                </c:pt>
                <c:pt idx="12">
                  <c:v>-1.0093461510420698</c:v>
                </c:pt>
                <c:pt idx="13">
                  <c:v>-1.009047423846807</c:v>
                </c:pt>
                <c:pt idx="14">
                  <c:v>-1.0090407089042683</c:v>
                </c:pt>
                <c:pt idx="15">
                  <c:v>-1.009040622462021</c:v>
                </c:pt>
                <c:pt idx="16">
                  <c:v>-1.0090406217774228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F8-44B2-B5D3-9B7F1E6D3FDB}"/>
            </c:ext>
          </c:extLst>
        </c:ser>
        <c:ser>
          <c:idx val="9"/>
          <c:order val="9"/>
          <c:tx>
            <c:strRef>
              <c:f>'q=0'!$O$79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'q=0'!$O$80:$O$96</c:f>
              <c:numCache>
                <c:formatCode>General</c:formatCode>
                <c:ptCount val="17"/>
                <c:pt idx="0">
                  <c:v>-1.3069507454876615E-22</c:v>
                </c:pt>
                <c:pt idx="1">
                  <c:v>-3.500654263467297E-16</c:v>
                </c:pt>
                <c:pt idx="2">
                  <c:v>-3.1942247643409909E-11</c:v>
                </c:pt>
                <c:pt idx="3">
                  <c:v>-1.8467314161309212E-7</c:v>
                </c:pt>
                <c:pt idx="4">
                  <c:v>-1.0958883967682659E-4</c:v>
                </c:pt>
                <c:pt idx="5">
                  <c:v>-9.7862034806527193E-3</c:v>
                </c:pt>
                <c:pt idx="6">
                  <c:v>-0.17962163783566742</c:v>
                </c:pt>
                <c:pt idx="7">
                  <c:v>-0.88694679976391322</c:v>
                </c:pt>
                <c:pt idx="8">
                  <c:v>-1.5476103232885654</c:v>
                </c:pt>
                <c:pt idx="9">
                  <c:v>-1.3931353576740149</c:v>
                </c:pt>
                <c:pt idx="10">
                  <c:v>-1.1043824909794706</c:v>
                </c:pt>
                <c:pt idx="11">
                  <c:v>-1.0205358751534206</c:v>
                </c:pt>
                <c:pt idx="12">
                  <c:v>-1.0106490974410729</c:v>
                </c:pt>
                <c:pt idx="13">
                  <c:v>-1.0100694611824412</c:v>
                </c:pt>
                <c:pt idx="14">
                  <c:v>-1.0100505448627479</c:v>
                </c:pt>
                <c:pt idx="15">
                  <c:v>-1.0100501718704895</c:v>
                </c:pt>
                <c:pt idx="16">
                  <c:v>-1.0100501671255568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9F8-44B2-B5D3-9B7F1E6D3FDB}"/>
            </c:ext>
          </c:extLst>
        </c:ser>
        <c:ser>
          <c:idx val="10"/>
          <c:order val="10"/>
          <c:tx>
            <c:strRef>
              <c:f>'q=0'!$P$79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8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'q=0'!$P$80:$P$96</c:f>
              <c:numCache>
                <c:formatCode>General</c:formatCode>
                <c:ptCount val="17"/>
                <c:pt idx="0">
                  <c:v>-2.0171912187864513E-11</c:v>
                </c:pt>
                <c:pt idx="1">
                  <c:v>-2.8999277817657335E-8</c:v>
                </c:pt>
                <c:pt idx="2">
                  <c:v>-7.7979174334888434E-6</c:v>
                </c:pt>
                <c:pt idx="3">
                  <c:v>-5.3486988519258264E-4</c:v>
                </c:pt>
                <c:pt idx="4">
                  <c:v>-1.1924530029117607E-2</c:v>
                </c:pt>
                <c:pt idx="5">
                  <c:v>-0.10493932588846182</c:v>
                </c:pt>
                <c:pt idx="6">
                  <c:v>-0.42862705496064951</c:v>
                </c:pt>
                <c:pt idx="7">
                  <c:v>-0.93941893137298038</c:v>
                </c:pt>
                <c:pt idx="8">
                  <c:v>-1.2802325268876227</c:v>
                </c:pt>
                <c:pt idx="9">
                  <c:v>-1.2878810483778407</c:v>
                </c:pt>
                <c:pt idx="10">
                  <c:v>-1.1573943338195638</c:v>
                </c:pt>
                <c:pt idx="11">
                  <c:v>-1.0651520155774428</c:v>
                </c:pt>
                <c:pt idx="12">
                  <c:v>-1.0305480939926539</c:v>
                </c:pt>
                <c:pt idx="13">
                  <c:v>-1.021973551919507</c:v>
                </c:pt>
                <c:pt idx="14">
                  <c:v>-1.0204369754408609</c:v>
                </c:pt>
                <c:pt idx="15">
                  <c:v>-1.0202264952755704</c:v>
                </c:pt>
                <c:pt idx="16">
                  <c:v>-1.020203557347126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F8-44B2-B5D3-9B7F1E6D3FDB}"/>
            </c:ext>
          </c:extLst>
        </c:ser>
        <c:ser>
          <c:idx val="11"/>
          <c:order val="11"/>
          <c:tx>
            <c:strRef>
              <c:f>'q=0'!$Q$79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58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'q=0'!$Q$80:$Q$96</c:f>
              <c:numCache>
                <c:formatCode>General</c:formatCode>
                <c:ptCount val="17"/>
                <c:pt idx="0">
                  <c:v>-1.0020228609131084E-7</c:v>
                </c:pt>
                <c:pt idx="1">
                  <c:v>-1.1757299685427363E-5</c:v>
                </c:pt>
                <c:pt idx="2">
                  <c:v>-4.5566423584894307E-4</c:v>
                </c:pt>
                <c:pt idx="3">
                  <c:v>-7.1747714668232675E-3</c:v>
                </c:pt>
                <c:pt idx="4">
                  <c:v>-5.4001258313594529E-2</c:v>
                </c:pt>
                <c:pt idx="5">
                  <c:v>-0.22160372086180813</c:v>
                </c:pt>
                <c:pt idx="6">
                  <c:v>-0.55416857230834682</c:v>
                </c:pt>
                <c:pt idx="7">
                  <c:v>-0.93390882996348157</c:v>
                </c:pt>
                <c:pt idx="8">
                  <c:v>-1.1716668425678625</c:v>
                </c:pt>
                <c:pt idx="9">
                  <c:v>-1.2153691617257814</c:v>
                </c:pt>
                <c:pt idx="10">
                  <c:v>-1.1564548581328853</c:v>
                </c:pt>
                <c:pt idx="11">
                  <c:v>-1.0909757936249798</c:v>
                </c:pt>
                <c:pt idx="12">
                  <c:v>-1.0529417042409961</c:v>
                </c:pt>
                <c:pt idx="13">
                  <c:v>-1.0372443071062183</c:v>
                </c:pt>
                <c:pt idx="14">
                  <c:v>-1.0321766523309419</c:v>
                </c:pt>
                <c:pt idx="15">
                  <c:v>-1.0308307378552122</c:v>
                </c:pt>
                <c:pt idx="16">
                  <c:v>-1.0305267518578776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F8-44B2-B5D3-9B7F1E6D3FDB}"/>
            </c:ext>
          </c:extLst>
        </c:ser>
        <c:ser>
          <c:idx val="12"/>
          <c:order val="12"/>
          <c:tx>
            <c:strRef>
              <c:f>'q=0'!$R$79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9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'q=0'!$R$80:$R$96</c:f>
              <c:numCache>
                <c:formatCode>General</c:formatCode>
                <c:ptCount val="17"/>
                <c:pt idx="0">
                  <c:v>-6.824081438204773E-6</c:v>
                </c:pt>
                <c:pt idx="1">
                  <c:v>-2.294526514189651E-4</c:v>
                </c:pt>
                <c:pt idx="2">
                  <c:v>-3.3881673436123661E-3</c:v>
                </c:pt>
                <c:pt idx="3">
                  <c:v>-2.5668814216257149E-2</c:v>
                </c:pt>
                <c:pt idx="4">
                  <c:v>-0.11279776309141538</c:v>
                </c:pt>
                <c:pt idx="5">
                  <c:v>-0.31774039966118539</c:v>
                </c:pt>
                <c:pt idx="6">
                  <c:v>-0.6247334180045403</c:v>
                </c:pt>
                <c:pt idx="7">
                  <c:v>-0.92585670061099412</c:v>
                </c:pt>
                <c:pt idx="8">
                  <c:v>-1.1134789061565988</c:v>
                </c:pt>
                <c:pt idx="9">
                  <c:v>-1.1688455337038755</c:v>
                </c:pt>
                <c:pt idx="10">
                  <c:v>-1.145594116437513</c:v>
                </c:pt>
                <c:pt idx="11">
                  <c:v>-1.1029527542533495</c:v>
                </c:pt>
                <c:pt idx="12">
                  <c:v>-1.0704956329606963</c:v>
                </c:pt>
                <c:pt idx="13">
                  <c:v>-1.0528072041909222</c:v>
                </c:pt>
                <c:pt idx="14">
                  <c:v>-1.0450378317174549</c:v>
                </c:pt>
                <c:pt idx="15">
                  <c:v>-1.0421375994668673</c:v>
                </c:pt>
                <c:pt idx="16">
                  <c:v>-1.0411879666263699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9F8-44B2-B5D3-9B7F1E6D3FDB}"/>
            </c:ext>
          </c:extLst>
        </c:ser>
        <c:ser>
          <c:idx val="13"/>
          <c:order val="13"/>
          <c:tx>
            <c:strRef>
              <c:f>'q=0'!$S$79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0000"/>
                  <a:shade val="95000"/>
                </a:schemeClr>
              </a:contourClr>
            </a:sp3d>
          </c:spPr>
          <c:cat>
            <c:numRef>
              <c:f>'q=0'!$E$80:$E$96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'q=0'!$S$80:$S$96</c:f>
              <c:numCache>
                <c:formatCode>General</c:formatCode>
                <c:ptCount val="17"/>
                <c:pt idx="0">
                  <c:v>-8.4319948974983803E-5</c:v>
                </c:pt>
                <c:pt idx="1">
                  <c:v>-1.3424800944579697E-3</c:v>
                </c:pt>
                <c:pt idx="2">
                  <c:v>-1.1139856299923284E-2</c:v>
                </c:pt>
                <c:pt idx="3">
                  <c:v>-5.4571641507651425E-2</c:v>
                </c:pt>
                <c:pt idx="4">
                  <c:v>-0.17419006847372245</c:v>
                </c:pt>
                <c:pt idx="5">
                  <c:v>-0.39276035166022194</c:v>
                </c:pt>
                <c:pt idx="6">
                  <c:v>-0.67021539497136673</c:v>
                </c:pt>
                <c:pt idx="7">
                  <c:v>-0.92067388300094288</c:v>
                </c:pt>
                <c:pt idx="8">
                  <c:v>-1.0786629581864764</c:v>
                </c:pt>
                <c:pt idx="9">
                  <c:v>-1.1381170861127599</c:v>
                </c:pt>
                <c:pt idx="10">
                  <c:v>-1.1347658992316958</c:v>
                </c:pt>
                <c:pt idx="11">
                  <c:v>-1.1086430759032413</c:v>
                </c:pt>
                <c:pt idx="12">
                  <c:v>-1.0835082613951088</c:v>
                </c:pt>
                <c:pt idx="13">
                  <c:v>-1.0669060594081721</c:v>
                </c:pt>
                <c:pt idx="14">
                  <c:v>-1.0580172827266137</c:v>
                </c:pt>
                <c:pt idx="15">
                  <c:v>-1.0539135576245628</c:v>
                </c:pt>
                <c:pt idx="16">
                  <c:v>-1.052224805821137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9F8-44B2-B5D3-9B7F1E6D3FD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20000"/>
                    <a:shade val="95000"/>
                  </a:schemeClr>
                </a:contourClr>
              </a:sp3d>
            </c:spPr>
          </c:bandFmt>
        </c:bandFmts>
        <c:axId val="2041191616"/>
        <c:axId val="2041192096"/>
        <c:axId val="472593904"/>
      </c:surface3DChart>
      <c:catAx>
        <c:axId val="204119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  <c:auto val="1"/>
        <c:lblAlgn val="ctr"/>
        <c:lblOffset val="100"/>
        <c:noMultiLvlLbl val="0"/>
      </c:catAx>
      <c:valAx>
        <c:axId val="20411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1616"/>
        <c:crosses val="autoZero"/>
        <c:crossBetween val="midCat"/>
      </c:valAx>
      <c:serAx>
        <c:axId val="4725939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'q=0'!$F$98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39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'q=0'!$F$99:$F$115</c:f>
              <c:numCache>
                <c:formatCode>General</c:formatCode>
                <c:ptCount val="17"/>
                <c:pt idx="0">
                  <c:v>-2.4029342464695786</c:v>
                </c:pt>
                <c:pt idx="1">
                  <c:v>-5.3902411804829402</c:v>
                </c:pt>
                <c:pt idx="2">
                  <c:v>-10.136329623903283</c:v>
                </c:pt>
                <c:pt idx="3">
                  <c:v>-16.501568707670902</c:v>
                </c:pt>
                <c:pt idx="4">
                  <c:v>-23.844143827085531</c:v>
                </c:pt>
                <c:pt idx="5">
                  <c:v>-31.188860063224961</c:v>
                </c:pt>
                <c:pt idx="6">
                  <c:v>-37.516032525368431</c:v>
                </c:pt>
                <c:pt idx="7">
                  <c:v>-42.031369944495701</c:v>
                </c:pt>
                <c:pt idx="8">
                  <c:v>-44.320997526557385</c:v>
                </c:pt>
                <c:pt idx="9">
                  <c:v>-44.369763131386868</c:v>
                </c:pt>
                <c:pt idx="10">
                  <c:v>-42.477429834270325</c:v>
                </c:pt>
                <c:pt idx="11">
                  <c:v>-39.128553741360413</c:v>
                </c:pt>
                <c:pt idx="12">
                  <c:v>-34.864703347077864</c:v>
                </c:pt>
                <c:pt idx="13">
                  <c:v>-30.187809288296208</c:v>
                </c:pt>
                <c:pt idx="14">
                  <c:v>-25.503675325785974</c:v>
                </c:pt>
                <c:pt idx="15">
                  <c:v>-21.101311719160869</c:v>
                </c:pt>
                <c:pt idx="16">
                  <c:v>-17.157648437431842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6-4287-9601-5555CA3FF2A4}"/>
            </c:ext>
          </c:extLst>
        </c:ser>
        <c:ser>
          <c:idx val="1"/>
          <c:order val="1"/>
          <c:tx>
            <c:strRef>
              <c:f>'q=0'!$G$98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8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'q=0'!$G$99:$G$115</c:f>
              <c:numCache>
                <c:formatCode>General</c:formatCode>
                <c:ptCount val="17"/>
                <c:pt idx="0">
                  <c:v>-6.4070103870073716</c:v>
                </c:pt>
                <c:pt idx="1">
                  <c:v>-9.7861977779238849</c:v>
                </c:pt>
                <c:pt idx="2">
                  <c:v>-13.667071420271276</c:v>
                </c:pt>
                <c:pt idx="3">
                  <c:v>-17.738209807730428</c:v>
                </c:pt>
                <c:pt idx="4">
                  <c:v>-21.667425445328345</c:v>
                </c:pt>
                <c:pt idx="5">
                  <c:v>-25.15939224314112</c:v>
                </c:pt>
                <c:pt idx="6">
                  <c:v>-27.993336669486357</c:v>
                </c:pt>
                <c:pt idx="7">
                  <c:v>-30.038570378311196</c:v>
                </c:pt>
                <c:pt idx="8">
                  <c:v>-31.25178831635013</c:v>
                </c:pt>
                <c:pt idx="9">
                  <c:v>-31.662567513775773</c:v>
                </c:pt>
                <c:pt idx="10">
                  <c:v>-31.353400183193497</c:v>
                </c:pt>
                <c:pt idx="11">
                  <c:v>-30.439149236919352</c:v>
                </c:pt>
                <c:pt idx="12">
                  <c:v>-29.049006375576191</c:v>
                </c:pt>
                <c:pt idx="13">
                  <c:v>-27.312431211167493</c:v>
                </c:pt>
                <c:pt idx="14">
                  <c:v>-25.349383838624515</c:v>
                </c:pt>
                <c:pt idx="15">
                  <c:v>-23.264450037277367</c:v>
                </c:pt>
                <c:pt idx="16">
                  <c:v>-21.144113295447649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6-4287-9601-5555CA3FF2A4}"/>
            </c:ext>
          </c:extLst>
        </c:ser>
        <c:ser>
          <c:idx val="2"/>
          <c:order val="2"/>
          <c:tx>
            <c:strRef>
              <c:f>'q=0'!$H$98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58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'q=0'!$H$99:$H$115</c:f>
              <c:numCache>
                <c:formatCode>General</c:formatCode>
                <c:ptCount val="17"/>
                <c:pt idx="0">
                  <c:v>-8.1170993472427497</c:v>
                </c:pt>
                <c:pt idx="1">
                  <c:v>-10.908140785736993</c:v>
                </c:pt>
                <c:pt idx="2">
                  <c:v>-13.796407551182995</c:v>
                </c:pt>
                <c:pt idx="3">
                  <c:v>-16.604169482428038</c:v>
                </c:pt>
                <c:pt idx="4">
                  <c:v>-19.178310384187888</c:v>
                </c:pt>
                <c:pt idx="5">
                  <c:v>-21.402819666562063</c:v>
                </c:pt>
                <c:pt idx="6">
                  <c:v>-23.202811103575915</c:v>
                </c:pt>
                <c:pt idx="7">
                  <c:v>-24.542372958377744</c:v>
                </c:pt>
                <c:pt idx="8">
                  <c:v>-25.418701747243073</c:v>
                </c:pt>
                <c:pt idx="9">
                  <c:v>-25.854576918727428</c:v>
                </c:pt>
                <c:pt idx="10">
                  <c:v>-25.890651750816875</c:v>
                </c:pt>
                <c:pt idx="11">
                  <c:v>-25.578472704043669</c:v>
                </c:pt>
                <c:pt idx="12">
                  <c:v>-24.97468737342896</c:v>
                </c:pt>
                <c:pt idx="13">
                  <c:v>-24.136582055648905</c:v>
                </c:pt>
                <c:pt idx="14">
                  <c:v>-23.118890217162924</c:v>
                </c:pt>
                <c:pt idx="15">
                  <c:v>-21.971705878870747</c:v>
                </c:pt>
                <c:pt idx="16">
                  <c:v>-20.739293000454335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6-4287-9601-5555CA3FF2A4}"/>
            </c:ext>
          </c:extLst>
        </c:ser>
        <c:ser>
          <c:idx val="3"/>
          <c:order val="3"/>
          <c:tx>
            <c:strRef>
              <c:f>'q=0'!$I$98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7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'q=0'!$I$99:$I$115</c:f>
              <c:numCache>
                <c:formatCode>General</c:formatCode>
                <c:ptCount val="17"/>
                <c:pt idx="0">
                  <c:v>-8.7345284913012353</c:v>
                </c:pt>
                <c:pt idx="1">
                  <c:v>-11.010220801278106</c:v>
                </c:pt>
                <c:pt idx="2">
                  <c:v>-13.252479055597396</c:v>
                </c:pt>
                <c:pt idx="3">
                  <c:v>-15.359009989881883</c:v>
                </c:pt>
                <c:pt idx="4">
                  <c:v>-17.250757870001099</c:v>
                </c:pt>
                <c:pt idx="5">
                  <c:v>-18.873562479536776</c:v>
                </c:pt>
                <c:pt idx="6">
                  <c:v>-20.196647428728479</c:v>
                </c:pt>
                <c:pt idx="7">
                  <c:v>-21.20929633016593</c:v>
                </c:pt>
                <c:pt idx="8">
                  <c:v>-21.916758622614626</c:v>
                </c:pt>
                <c:pt idx="9">
                  <c:v>-22.336092573141475</c:v>
                </c:pt>
                <c:pt idx="10">
                  <c:v>-22.492369385594337</c:v>
                </c:pt>
                <c:pt idx="11">
                  <c:v>-22.415450316267261</c:v>
                </c:pt>
                <c:pt idx="12">
                  <c:v>-22.13740491791836</c:v>
                </c:pt>
                <c:pt idx="13">
                  <c:v>-21.690550048247886</c:v>
                </c:pt>
                <c:pt idx="14">
                  <c:v>-21.106041299318655</c:v>
                </c:pt>
                <c:pt idx="15">
                  <c:v>-20.412927929433298</c:v>
                </c:pt>
                <c:pt idx="16">
                  <c:v>-19.63757895955646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96-4287-9601-5555CA3FF2A4}"/>
            </c:ext>
          </c:extLst>
        </c:ser>
        <c:ser>
          <c:idx val="4"/>
          <c:order val="4"/>
          <c:tx>
            <c:strRef>
              <c:f>'q=0'!$J$98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'q=0'!$J$99:$J$115</c:f>
              <c:numCache>
                <c:formatCode>General</c:formatCode>
                <c:ptCount val="17"/>
                <c:pt idx="0">
                  <c:v>-8.8809610322535306</c:v>
                </c:pt>
                <c:pt idx="1">
                  <c:v>-10.773224479608819</c:v>
                </c:pt>
                <c:pt idx="2">
                  <c:v>-12.587575148908652</c:v>
                </c:pt>
                <c:pt idx="3">
                  <c:v>-14.261968280231528</c:v>
                </c:pt>
                <c:pt idx="4">
                  <c:v>-15.75202168106526</c:v>
                </c:pt>
                <c:pt idx="5">
                  <c:v>-17.029908984482589</c:v>
                </c:pt>
                <c:pt idx="6">
                  <c:v>-18.082104981372915</c:v>
                </c:pt>
                <c:pt idx="7">
                  <c:v>-18.906665298280604</c:v>
                </c:pt>
                <c:pt idx="8">
                  <c:v>-19.510483223209096</c:v>
                </c:pt>
                <c:pt idx="9">
                  <c:v>-19.906779940004146</c:v>
                </c:pt>
                <c:pt idx="10">
                  <c:v>-20.112952644837879</c:v>
                </c:pt>
                <c:pt idx="11">
                  <c:v>-20.148819169561268</c:v>
                </c:pt>
                <c:pt idx="12">
                  <c:v>-20.035246406169591</c:v>
                </c:pt>
                <c:pt idx="13">
                  <c:v>-19.79312253704768</c:v>
                </c:pt>
                <c:pt idx="14">
                  <c:v>-19.442621487153311</c:v>
                </c:pt>
                <c:pt idx="15">
                  <c:v>-19.002706019906419</c:v>
                </c:pt>
                <c:pt idx="16">
                  <c:v>-18.490819288487376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96-4287-9601-5555CA3FF2A4}"/>
            </c:ext>
          </c:extLst>
        </c:ser>
        <c:ser>
          <c:idx val="5"/>
          <c:order val="5"/>
          <c:tx>
            <c:strRef>
              <c:f>'q=0'!$K$98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86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'q=0'!$K$99:$K$115</c:f>
              <c:numCache>
                <c:formatCode>General</c:formatCode>
                <c:ptCount val="17"/>
                <c:pt idx="0">
                  <c:v>-8.8146471028406399</c:v>
                </c:pt>
                <c:pt idx="1">
                  <c:v>-10.422679612150905</c:v>
                </c:pt>
                <c:pt idx="2">
                  <c:v>-11.939173233031294</c:v>
                </c:pt>
                <c:pt idx="3">
                  <c:v>-13.32477486342518</c:v>
                </c:pt>
                <c:pt idx="4">
                  <c:v>-14.553174430711916</c:v>
                </c:pt>
                <c:pt idx="5">
                  <c:v>-15.609398223356306</c:v>
                </c:pt>
                <c:pt idx="6">
                  <c:v>-16.487759242585931</c:v>
                </c:pt>
                <c:pt idx="7">
                  <c:v>-17.189796862950132</c:v>
                </c:pt>
                <c:pt idx="8">
                  <c:v>-17.722391451198114</c:v>
                </c:pt>
                <c:pt idx="9">
                  <c:v>-18.096140917738325</c:v>
                </c:pt>
                <c:pt idx="10">
                  <c:v>-18.324024377991741</c:v>
                </c:pt>
                <c:pt idx="11">
                  <c:v>-18.420342387703375</c:v>
                </c:pt>
                <c:pt idx="12">
                  <c:v>-18.399904849092898</c:v>
                </c:pt>
                <c:pt idx="13">
                  <c:v>-18.277430229601865</c:v>
                </c:pt>
                <c:pt idx="14">
                  <c:v>-18.067118736895736</c:v>
                </c:pt>
                <c:pt idx="15">
                  <c:v>-17.782364611924347</c:v>
                </c:pt>
                <c:pt idx="16">
                  <c:v>-17.435576878481118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96-4287-9601-5555CA3FF2A4}"/>
            </c:ext>
          </c:extLst>
        </c:ser>
        <c:ser>
          <c:idx val="6"/>
          <c:order val="6"/>
          <c:tx>
            <c:strRef>
              <c:f>'q=0'!$L$98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'q=0'!$L$99:$L$115</c:f>
              <c:numCache>
                <c:formatCode>General</c:formatCode>
                <c:ptCount val="17"/>
                <c:pt idx="0">
                  <c:v>-8.6496837786540723</c:v>
                </c:pt>
                <c:pt idx="1">
                  <c:v>-10.042443020688383</c:v>
                </c:pt>
                <c:pt idx="2">
                  <c:v>-11.342034810025444</c:v>
                </c:pt>
                <c:pt idx="3">
                  <c:v>-12.522665840112547</c:v>
                </c:pt>
                <c:pt idx="4">
                  <c:v>-13.568234705817328</c:v>
                </c:pt>
                <c:pt idx="5">
                  <c:v>-14.470649117677199</c:v>
                </c:pt>
                <c:pt idx="6">
                  <c:v>-15.22813168894513</c:v>
                </c:pt>
                <c:pt idx="7">
                  <c:v>-15.84366897441036</c:v>
                </c:pt>
                <c:pt idx="8">
                  <c:v>-16.323673571742134</c:v>
                </c:pt>
                <c:pt idx="9">
                  <c:v>-16.676877970498879</c:v>
                </c:pt>
                <c:pt idx="10">
                  <c:v>-16.913450353610667</c:v>
                </c:pt>
                <c:pt idx="11">
                  <c:v>-17.044308490994553</c:v>
                </c:pt>
                <c:pt idx="12">
                  <c:v>-17.080602524404526</c:v>
                </c:pt>
                <c:pt idx="13">
                  <c:v>-17.03333707827743</c:v>
                </c:pt>
                <c:pt idx="14">
                  <c:v>-16.913105371030678</c:v>
                </c:pt>
                <c:pt idx="15">
                  <c:v>-16.729911401699653</c:v>
                </c:pt>
                <c:pt idx="16">
                  <c:v>-16.493060009435172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96-4287-9601-5555CA3FF2A4}"/>
            </c:ext>
          </c:extLst>
        </c:ser>
        <c:ser>
          <c:idx val="7"/>
          <c:order val="7"/>
          <c:tx>
            <c:strRef>
              <c:f>'q=0'!$M$98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6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'q=0'!$M$99:$M$115</c:f>
              <c:numCache>
                <c:formatCode>General</c:formatCode>
                <c:ptCount val="17"/>
                <c:pt idx="0">
                  <c:v>-8.4400570334350462</c:v>
                </c:pt>
                <c:pt idx="1">
                  <c:v>-9.6657083763254548</c:v>
                </c:pt>
                <c:pt idx="2">
                  <c:v>-10.801349232591928</c:v>
                </c:pt>
                <c:pt idx="3">
                  <c:v>-11.829698697325005</c:v>
                </c:pt>
                <c:pt idx="4">
                  <c:v>-12.740781075545607</c:v>
                </c:pt>
                <c:pt idx="5">
                  <c:v>-13.530435938492708</c:v>
                </c:pt>
                <c:pt idx="6">
                  <c:v>-14.198951630316698</c:v>
                </c:pt>
                <c:pt idx="7">
                  <c:v>-14.749885452845465</c:v>
                </c:pt>
                <c:pt idx="8">
                  <c:v>-15.189086394231518</c:v>
                </c:pt>
                <c:pt idx="9">
                  <c:v>-15.523910870512555</c:v>
                </c:pt>
                <c:pt idx="10">
                  <c:v>-15.762609951334893</c:v>
                </c:pt>
                <c:pt idx="11">
                  <c:v>-15.913862337176317</c:v>
                </c:pt>
                <c:pt idx="12">
                  <c:v>-15.986427422114611</c:v>
                </c:pt>
                <c:pt idx="13">
                  <c:v>-15.988894975171558</c:v>
                </c:pt>
                <c:pt idx="14">
                  <c:v>-15.929511053893171</c:v>
                </c:pt>
                <c:pt idx="15">
                  <c:v>-15.816063028188246</c:v>
                </c:pt>
                <c:pt idx="16">
                  <c:v>-15.655809677597672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96-4287-9601-5555CA3FF2A4}"/>
            </c:ext>
          </c:extLst>
        </c:ser>
        <c:ser>
          <c:idx val="8"/>
          <c:order val="8"/>
          <c:tx>
            <c:strRef>
              <c:f>'q=0'!$N$98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86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'q=0'!$N$99:$N$115</c:f>
              <c:numCache>
                <c:formatCode>General</c:formatCode>
                <c:ptCount val="17"/>
                <c:pt idx="0">
                  <c:v>-8.2126642224274313</c:v>
                </c:pt>
                <c:pt idx="1">
                  <c:v>-9.3055963501828209</c:v>
                </c:pt>
                <c:pt idx="2">
                  <c:v>-10.313474663496176</c:v>
                </c:pt>
                <c:pt idx="3">
                  <c:v>-11.22458149181622</c:v>
                </c:pt>
                <c:pt idx="4">
                  <c:v>-12.032789782288621</c:v>
                </c:pt>
                <c:pt idx="5">
                  <c:v>-12.736292075230221</c:v>
                </c:pt>
                <c:pt idx="6">
                  <c:v>-13.336502027596492</c:v>
                </c:pt>
                <c:pt idx="7">
                  <c:v>-13.837144067796215</c:v>
                </c:pt>
                <c:pt idx="8">
                  <c:v>-14.243521783288649</c:v>
                </c:pt>
                <c:pt idx="9">
                  <c:v>-14.5619443625418</c:v>
                </c:pt>
                <c:pt idx="10">
                  <c:v>-14.799286784558813</c:v>
                </c:pt>
                <c:pt idx="11">
                  <c:v>-14.962659838475064</c:v>
                </c:pt>
                <c:pt idx="12">
                  <c:v>-15.059168348593239</c:v>
                </c:pt>
                <c:pt idx="13">
                  <c:v>-15.095738990469336</c:v>
                </c:pt>
                <c:pt idx="14">
                  <c:v>-15.0790021780111</c:v>
                </c:pt>
                <c:pt idx="15">
                  <c:v>-15.015215368217149</c:v>
                </c:pt>
                <c:pt idx="16">
                  <c:v>-14.910217638914602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96-4287-9601-5555CA3FF2A4}"/>
            </c:ext>
          </c:extLst>
        </c:ser>
        <c:ser>
          <c:idx val="9"/>
          <c:order val="9"/>
          <c:tx>
            <c:strRef>
              <c:f>'q=0'!$O$98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'q=0'!$O$99:$O$115</c:f>
              <c:numCache>
                <c:formatCode>General</c:formatCode>
                <c:ptCount val="17"/>
                <c:pt idx="0">
                  <c:v>-7.9813453573964006</c:v>
                </c:pt>
                <c:pt idx="1">
                  <c:v>-8.9667232429016845</c:v>
                </c:pt>
                <c:pt idx="2">
                  <c:v>-9.8725086928699692</c:v>
                </c:pt>
                <c:pt idx="3">
                  <c:v>-10.690740650689857</c:v>
                </c:pt>
                <c:pt idx="4">
                  <c:v>-11.417797083424963</c:v>
                </c:pt>
                <c:pt idx="5">
                  <c:v>-12.053325012608354</c:v>
                </c:pt>
                <c:pt idx="6">
                  <c:v>-12.599353866485927</c:v>
                </c:pt>
                <c:pt idx="7">
                  <c:v>-13.059583009959164</c:v>
                </c:pt>
                <c:pt idx="8">
                  <c:v>-13.43882267009241</c:v>
                </c:pt>
                <c:pt idx="9">
                  <c:v>-13.742564017065021</c:v>
                </c:pt>
                <c:pt idx="10">
                  <c:v>-13.976654811402581</c:v>
                </c:pt>
                <c:pt idx="11">
                  <c:v>-14.14705952001917</c:v>
                </c:pt>
                <c:pt idx="12">
                  <c:v>-14.259685917635554</c:v>
                </c:pt>
                <c:pt idx="13">
                  <c:v>-14.320263306514963</c:v>
                </c:pt>
                <c:pt idx="14">
                  <c:v>-14.334260319499858</c:v>
                </c:pt>
                <c:pt idx="15">
                  <c:v>-14.306832712417764</c:v>
                </c:pt>
                <c:pt idx="16">
                  <c:v>-14.2427935882746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96-4287-9601-5555CA3FF2A4}"/>
            </c:ext>
          </c:extLst>
        </c:ser>
        <c:ser>
          <c:idx val="10"/>
          <c:order val="10"/>
          <c:tx>
            <c:strRef>
              <c:f>'q=0'!$P$98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8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'q=0'!$P$99:$P$115</c:f>
              <c:numCache>
                <c:formatCode>General</c:formatCode>
                <c:ptCount val="17"/>
                <c:pt idx="0">
                  <c:v>-6.0881345288334732</c:v>
                </c:pt>
                <c:pt idx="1">
                  <c:v>-6.5822372467036949</c:v>
                </c:pt>
                <c:pt idx="2">
                  <c:v>-7.0348391761971785</c:v>
                </c:pt>
                <c:pt idx="3">
                  <c:v>-7.4471011338812447</c:v>
                </c:pt>
                <c:pt idx="4">
                  <c:v>-7.8207038440973182</c:v>
                </c:pt>
                <c:pt idx="5">
                  <c:v>-8.1576372264876493</c:v>
                </c:pt>
                <c:pt idx="6">
                  <c:v>-8.4600540834121229</c:v>
                </c:pt>
                <c:pt idx="7">
                  <c:v>-8.7301693329954837</c:v>
                </c:pt>
                <c:pt idx="8">
                  <c:v>-8.9701914937159124</c:v>
                </c:pt>
                <c:pt idx="9">
                  <c:v>-9.1822770199070884</c:v>
                </c:pt>
                <c:pt idx="10">
                  <c:v>-9.3685008180508031</c:v>
                </c:pt>
                <c:pt idx="11">
                  <c:v>-9.5308381950274299</c:v>
                </c:pt>
                <c:pt idx="12">
                  <c:v>-9.6711548470700102</c:v>
                </c:pt>
                <c:pt idx="13">
                  <c:v>-9.7912024617713236</c:v>
                </c:pt>
                <c:pt idx="14">
                  <c:v>-9.8926181925372187</c:v>
                </c:pt>
                <c:pt idx="15">
                  <c:v>-9.9769267568238273</c:v>
                </c:pt>
                <c:pt idx="16">
                  <c:v>-10.045544263100812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96-4287-9601-5555CA3FF2A4}"/>
            </c:ext>
          </c:extLst>
        </c:ser>
        <c:ser>
          <c:idx val="11"/>
          <c:order val="11"/>
          <c:tx>
            <c:strRef>
              <c:f>'q=0'!$Q$98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58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'q=0'!$Q$99:$Q$115</c:f>
              <c:numCache>
                <c:formatCode>General</c:formatCode>
                <c:ptCount val="17"/>
                <c:pt idx="0">
                  <c:v>-4.8945800492078879</c:v>
                </c:pt>
                <c:pt idx="1">
                  <c:v>-5.2243918829645821</c:v>
                </c:pt>
                <c:pt idx="2">
                  <c:v>-5.5283677905929443</c:v>
                </c:pt>
                <c:pt idx="3">
                  <c:v>-5.8080540879061324</c:v>
                </c:pt>
                <c:pt idx="4">
                  <c:v>-6.0650179459883189</c:v>
                </c:pt>
                <c:pt idx="5">
                  <c:v>-6.3007978791207835</c:v>
                </c:pt>
                <c:pt idx="6">
                  <c:v>-6.5168743081416061</c:v>
                </c:pt>
                <c:pt idx="7">
                  <c:v>-6.7146530510689377</c:v>
                </c:pt>
                <c:pt idx="8">
                  <c:v>-6.8954571405060792</c:v>
                </c:pt>
                <c:pt idx="9">
                  <c:v>-7.0605239757499616</c:v>
                </c:pt>
                <c:pt idx="10">
                  <c:v>-7.2110058480947732</c:v>
                </c:pt>
                <c:pt idx="11">
                  <c:v>-7.3479725466712269</c:v>
                </c:pt>
                <c:pt idx="12">
                  <c:v>-7.4724151910180305</c:v>
                </c:pt>
                <c:pt idx="13">
                  <c:v>-7.585250727157046</c:v>
                </c:pt>
                <c:pt idx="14">
                  <c:v>-7.6873267177342735</c:v>
                </c:pt>
                <c:pt idx="15">
                  <c:v>-7.7794261867199817</c:v>
                </c:pt>
                <c:pt idx="16">
                  <c:v>-7.8622723665587122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096-4287-9601-5555CA3FF2A4}"/>
            </c:ext>
          </c:extLst>
        </c:ser>
        <c:ser>
          <c:idx val="12"/>
          <c:order val="12"/>
          <c:tx>
            <c:strRef>
              <c:f>'q=0'!$R$98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9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'q=0'!$R$99:$R$115</c:f>
              <c:numCache>
                <c:formatCode>General</c:formatCode>
                <c:ptCount val="17"/>
                <c:pt idx="0">
                  <c:v>-4.0769672277490443</c:v>
                </c:pt>
                <c:pt idx="1">
                  <c:v>-4.3237853560461614</c:v>
                </c:pt>
                <c:pt idx="2">
                  <c:v>-4.5525651316665785</c:v>
                </c:pt>
                <c:pt idx="3">
                  <c:v>-4.7646437647187776</c:v>
                </c:pt>
                <c:pt idx="4">
                  <c:v>-4.9612745291722709</c:v>
                </c:pt>
                <c:pt idx="5">
                  <c:v>-5.1436210615208502</c:v>
                </c:pt>
                <c:pt idx="6">
                  <c:v>-5.3127575030209302</c:v>
                </c:pt>
                <c:pt idx="7">
                  <c:v>-5.4696718604653611</c:v>
                </c:pt>
                <c:pt idx="8">
                  <c:v>-5.6152710301767934</c:v>
                </c:pt>
                <c:pt idx="9">
                  <c:v>-5.7503865630725697</c:v>
                </c:pt>
                <c:pt idx="10">
                  <c:v>-5.8757806285877319</c:v>
                </c:pt>
                <c:pt idx="11">
                  <c:v>-5.9921518654128825</c:v>
                </c:pt>
                <c:pt idx="12">
                  <c:v>-6.1001409471579278</c:v>
                </c:pt>
                <c:pt idx="13">
                  <c:v>-6.2003357763864422</c:v>
                </c:pt>
                <c:pt idx="14">
                  <c:v>-6.2932762720712327</c:v>
                </c:pt>
                <c:pt idx="15">
                  <c:v>-6.3794587462287993</c:v>
                </c:pt>
                <c:pt idx="16">
                  <c:v>-6.4593398832000091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096-4287-9601-5555CA3FF2A4}"/>
            </c:ext>
          </c:extLst>
        </c:ser>
        <c:ser>
          <c:idx val="13"/>
          <c:order val="13"/>
          <c:tx>
            <c:strRef>
              <c:f>'q=0'!$S$98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0000"/>
                  <a:shade val="95000"/>
                </a:schemeClr>
              </a:contourClr>
            </a:sp3d>
          </c:spPr>
          <c:cat>
            <c:numRef>
              <c:f>'q=0'!$E$99:$E$115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'q=0'!$S$99:$S$115</c:f>
              <c:numCache>
                <c:formatCode>General</c:formatCode>
                <c:ptCount val="17"/>
                <c:pt idx="0">
                  <c:v>-3.4736770503575114</c:v>
                </c:pt>
                <c:pt idx="1">
                  <c:v>-3.6697332841864609</c:v>
                </c:pt>
                <c:pt idx="2">
                  <c:v>-3.8522916326721619</c:v>
                </c:pt>
                <c:pt idx="3">
                  <c:v>-4.0224606336166842</c:v>
                </c:pt>
                <c:pt idx="4">
                  <c:v>-4.1812439024335895</c:v>
                </c:pt>
                <c:pt idx="5">
                  <c:v>-4.3295487077517825</c:v>
                </c:pt>
                <c:pt idx="6">
                  <c:v>-4.4681950580690932</c:v>
                </c:pt>
                <c:pt idx="7">
                  <c:v>-4.5979245453511099</c:v>
                </c:pt>
                <c:pt idx="8">
                  <c:v>-4.7194085912879089</c:v>
                </c:pt>
                <c:pt idx="9">
                  <c:v>-4.8332559552729668</c:v>
                </c:pt>
                <c:pt idx="10">
                  <c:v>-4.940019475568004</c:v>
                </c:pt>
                <c:pt idx="11">
                  <c:v>-5.0402020722655339</c:v>
                </c:pt>
                <c:pt idx="12">
                  <c:v>-5.1342620674695869</c:v>
                </c:pt>
                <c:pt idx="13">
                  <c:v>-5.2226178883678802</c:v>
                </c:pt>
                <c:pt idx="14">
                  <c:v>-5.3056522202704048</c:v>
                </c:pt>
                <c:pt idx="15">
                  <c:v>-5.3837156735652814</c:v>
                </c:pt>
                <c:pt idx="16">
                  <c:v>-5.4571300233156403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096-4287-9601-5555CA3FF2A4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0000"/>
                    <a:shade val="95000"/>
                  </a:schemeClr>
                </a:contourClr>
              </a:sp3d>
            </c:spPr>
          </c:bandFmt>
        </c:bandFmts>
        <c:axId val="1952532784"/>
        <c:axId val="1952529904"/>
        <c:axId val="472730992"/>
      </c:surface3DChart>
      <c:catAx>
        <c:axId val="1952532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  <c:auto val="1"/>
        <c:lblAlgn val="ctr"/>
        <c:lblOffset val="100"/>
        <c:noMultiLvlLbl val="0"/>
      </c:catAx>
      <c:valAx>
        <c:axId val="19525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32784"/>
        <c:crosses val="autoZero"/>
        <c:crossBetween val="midCat"/>
      </c:valAx>
      <c:serAx>
        <c:axId val="472730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20%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58092738407698"/>
          <c:y val="0.17171296296296298"/>
          <c:w val="0.83046762904636917"/>
          <c:h val="0.60250765529308836"/>
        </c:manualLayout>
      </c:layout>
      <c:surface3DChart>
        <c:wireframe val="0"/>
        <c:ser>
          <c:idx val="0"/>
          <c:order val="0"/>
          <c:tx>
            <c:strRef>
              <c:f>'q=0'!$F$118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39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'q=0'!$F$119:$F$135</c:f>
              <c:numCache>
                <c:formatCode>General</c:formatCode>
                <c:ptCount val="17"/>
                <c:pt idx="0">
                  <c:v>1.0516556577990481E-15</c:v>
                </c:pt>
                <c:pt idx="1">
                  <c:v>1.1286957540817281E-11</c:v>
                </c:pt>
                <c:pt idx="2">
                  <c:v>1.4597010892531749E-8</c:v>
                </c:pt>
                <c:pt idx="3">
                  <c:v>3.3512354645083046E-6</c:v>
                </c:pt>
                <c:pt idx="4">
                  <c:v>1.8444991272199748E-4</c:v>
                </c:pt>
                <c:pt idx="5">
                  <c:v>3.0836372935947147E-3</c:v>
                </c:pt>
                <c:pt idx="6">
                  <c:v>1.8916378586336526E-2</c:v>
                </c:pt>
                <c:pt idx="7">
                  <c:v>4.9607400575778247E-2</c:v>
                </c:pt>
                <c:pt idx="8">
                  <c:v>6.3007389850102596E-2</c:v>
                </c:pt>
                <c:pt idx="9">
                  <c:v>4.2961708392642114E-2</c:v>
                </c:pt>
                <c:pt idx="10">
                  <c:v>1.7132125878144416E-2</c:v>
                </c:pt>
                <c:pt idx="11">
                  <c:v>4.293033327812704E-3</c:v>
                </c:pt>
                <c:pt idx="12">
                  <c:v>7.1823787351586266E-4</c:v>
                </c:pt>
                <c:pt idx="13">
                  <c:v>8.4468232865850983E-5</c:v>
                </c:pt>
                <c:pt idx="14">
                  <c:v>7.2972234478141031E-6</c:v>
                </c:pt>
                <c:pt idx="15">
                  <c:v>4.8093577566927407E-7</c:v>
                </c:pt>
                <c:pt idx="16">
                  <c:v>2.4984119686305787E-8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3-489B-9A75-A8092FA804EA}"/>
            </c:ext>
          </c:extLst>
        </c:ser>
        <c:ser>
          <c:idx val="1"/>
          <c:order val="1"/>
          <c:tx>
            <c:strRef>
              <c:f>'q=0'!$G$118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8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'q=0'!$G$119:$G$135</c:f>
              <c:numCache>
                <c:formatCode>General</c:formatCode>
                <c:ptCount val="17"/>
                <c:pt idx="0">
                  <c:v>8.9897290546272933E-9</c:v>
                </c:pt>
                <c:pt idx="1">
                  <c:v>8.6832323834608043E-7</c:v>
                </c:pt>
                <c:pt idx="2">
                  <c:v>2.9265998523210969E-5</c:v>
                </c:pt>
                <c:pt idx="3">
                  <c:v>4.1746111765088794E-4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3.5212130286942138E-2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3.806891985019321E-4</c:v>
                </c:pt>
                <c:pt idx="15">
                  <c:v>9.4556994587265296E-5</c:v>
                </c:pt>
                <c:pt idx="16">
                  <c:v>2.0876714879530865E-5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3-489B-9A75-A8092FA804EA}"/>
            </c:ext>
          </c:extLst>
        </c:ser>
        <c:ser>
          <c:idx val="2"/>
          <c:order val="2"/>
          <c:tx>
            <c:strRef>
              <c:f>'q=0'!$H$118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58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'q=0'!$H$119:$H$135</c:f>
              <c:numCache>
                <c:formatCode>General</c:formatCode>
                <c:ptCount val="17"/>
                <c:pt idx="0">
                  <c:v>1.683337757156276E-6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1.6048048164004222E-2</c:v>
                </c:pt>
                <c:pt idx="6">
                  <c:v>2.7482291431425856E-2</c:v>
                </c:pt>
                <c:pt idx="7">
                  <c:v>3.5581792279001205E-2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1.259400347775148E-2</c:v>
                </c:pt>
                <c:pt idx="12">
                  <c:v>6.6034037139998071E-3</c:v>
                </c:pt>
                <c:pt idx="13">
                  <c:v>3.0847927412867744E-3</c:v>
                </c:pt>
                <c:pt idx="14">
                  <c:v>1.3026922814580186E-3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3-489B-9A75-A8092FA804EA}"/>
            </c:ext>
          </c:extLst>
        </c:ser>
        <c:ser>
          <c:idx val="3"/>
          <c:order val="3"/>
          <c:tx>
            <c:strRef>
              <c:f>'q=0'!$I$118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7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'q=0'!$I$119:$I$135</c:f>
              <c:numCache>
                <c:formatCode>General</c:formatCode>
                <c:ptCount val="17"/>
                <c:pt idx="0">
                  <c:v>2.2064431982817099E-5</c:v>
                </c:pt>
                <c:pt idx="1">
                  <c:v>2.0218238688417132E-4</c:v>
                </c:pt>
                <c:pt idx="2">
                  <c:v>1.100075981489598E-3</c:v>
                </c:pt>
                <c:pt idx="3">
                  <c:v>3.9113907532951553E-3</c:v>
                </c:pt>
                <c:pt idx="4">
                  <c:v>9.7884039294375228E-3</c:v>
                </c:pt>
                <c:pt idx="5">
                  <c:v>1.8278954822369093E-2</c:v>
                </c:pt>
                <c:pt idx="6">
                  <c:v>2.6687880405210144E-2</c:v>
                </c:pt>
                <c:pt idx="7">
                  <c:v>3.1635322258043573E-2</c:v>
                </c:pt>
                <c:pt idx="8">
                  <c:v>3.1397549176385639E-2</c:v>
                </c:pt>
                <c:pt idx="9">
                  <c:v>2.6761306237360675E-2</c:v>
                </c:pt>
                <c:pt idx="10">
                  <c:v>2.0006577096239694E-2</c:v>
                </c:pt>
                <c:pt idx="11">
                  <c:v>1.3352820984703353E-2</c:v>
                </c:pt>
                <c:pt idx="12">
                  <c:v>8.0758746095868552E-3</c:v>
                </c:pt>
                <c:pt idx="13">
                  <c:v>4.4825674910614196E-3</c:v>
                </c:pt>
                <c:pt idx="14">
                  <c:v>2.3082701661092642E-3</c:v>
                </c:pt>
                <c:pt idx="15">
                  <c:v>1.1130292486590083E-3</c:v>
                </c:pt>
                <c:pt idx="16">
                  <c:v>5.0660659975445025E-4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13-489B-9A75-A8092FA804EA}"/>
            </c:ext>
          </c:extLst>
        </c:ser>
        <c:ser>
          <c:idx val="4"/>
          <c:order val="4"/>
          <c:tx>
            <c:strRef>
              <c:f>'q=0'!$J$118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'q=0'!$J$119:$J$135</c:f>
              <c:numCache>
                <c:formatCode>General</c:formatCode>
                <c:ptCount val="17"/>
                <c:pt idx="0">
                  <c:v>1.0070170546498096E-4</c:v>
                </c:pt>
                <c:pt idx="1">
                  <c:v>5.7611680391896742E-4</c:v>
                </c:pt>
                <c:pt idx="2">
                  <c:v>2.1766539744157015E-3</c:v>
                </c:pt>
                <c:pt idx="3">
                  <c:v>5.8617741810673704E-3</c:v>
                </c:pt>
                <c:pt idx="4">
                  <c:v>1.1937780047109169E-2</c:v>
                </c:pt>
                <c:pt idx="5">
                  <c:v>1.9261939996234254E-2</c:v>
                </c:pt>
                <c:pt idx="6">
                  <c:v>2.5556533759819561E-2</c:v>
                </c:pt>
                <c:pt idx="7">
                  <c:v>2.8732281352043247E-2</c:v>
                </c:pt>
                <c:pt idx="8">
                  <c:v>2.8051246304186254E-2</c:v>
                </c:pt>
                <c:pt idx="9">
                  <c:v>2.4267506445708336E-2</c:v>
                </c:pt>
                <c:pt idx="10">
                  <c:v>1.8918485039079759E-2</c:v>
                </c:pt>
                <c:pt idx="11">
                  <c:v>1.3478753756809105E-2</c:v>
                </c:pt>
                <c:pt idx="12">
                  <c:v>8.881243547387634E-3</c:v>
                </c:pt>
                <c:pt idx="13">
                  <c:v>5.4668672380470719E-3</c:v>
                </c:pt>
                <c:pt idx="14">
                  <c:v>3.1709157235184286E-3</c:v>
                </c:pt>
                <c:pt idx="15">
                  <c:v>1.7459186523562449E-3</c:v>
                </c:pt>
                <c:pt idx="16">
                  <c:v>9.1839058774420643E-4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13-489B-9A75-A8092FA804EA}"/>
            </c:ext>
          </c:extLst>
        </c:ser>
        <c:ser>
          <c:idx val="5"/>
          <c:order val="5"/>
          <c:tx>
            <c:strRef>
              <c:f>'q=0'!$K$118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86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'q=0'!$K$119:$K$135</c:f>
              <c:numCache>
                <c:formatCode>General</c:formatCode>
                <c:ptCount val="17"/>
                <c:pt idx="0">
                  <c:v>2.7236380704730455E-4</c:v>
                </c:pt>
                <c:pt idx="1">
                  <c:v>1.1382523244176249E-3</c:v>
                </c:pt>
                <c:pt idx="2">
                  <c:v>3.3722289783455596E-3</c:v>
                </c:pt>
                <c:pt idx="3">
                  <c:v>7.5458967272333394E-3</c:v>
                </c:pt>
                <c:pt idx="4">
                  <c:v>1.3395159432299537E-2</c:v>
                </c:pt>
                <c:pt idx="5">
                  <c:v>1.9607203543702156E-2</c:v>
                </c:pt>
                <c:pt idx="6">
                  <c:v>2.4406774147524606E-2</c:v>
                </c:pt>
                <c:pt idx="7">
                  <c:v>2.6488164394297603E-2</c:v>
                </c:pt>
                <c:pt idx="8">
                  <c:v>2.55783754134996E-2</c:v>
                </c:pt>
                <c:pt idx="9">
                  <c:v>2.2348767206295854E-2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9.3013597568778472E-3</c:v>
                </c:pt>
                <c:pt idx="13">
                  <c:v>6.1342693499021796E-3</c:v>
                </c:pt>
                <c:pt idx="14">
                  <c:v>3.8518254155354287E-3</c:v>
                </c:pt>
                <c:pt idx="15">
                  <c:v>2.3169614647433378E-3</c:v>
                </c:pt>
                <c:pt idx="16">
                  <c:v>1.3421930911671856E-3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13-489B-9A75-A8092FA804EA}"/>
            </c:ext>
          </c:extLst>
        </c:ser>
        <c:ser>
          <c:idx val="6"/>
          <c:order val="6"/>
          <c:tx>
            <c:strRef>
              <c:f>'q=0'!$L$118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'q=0'!$L$119:$L$135</c:f>
              <c:numCache>
                <c:formatCode>General</c:formatCode>
                <c:ptCount val="17"/>
                <c:pt idx="0">
                  <c:v>5.4760481596518001E-4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8.9273180622224217E-3</c:v>
                </c:pt>
                <c:pt idx="4">
                  <c:v>1.4366321033900606E-2</c:v>
                </c:pt>
                <c:pt idx="5">
                  <c:v>1.9615204928584505E-2</c:v>
                </c:pt>
                <c:pt idx="6">
                  <c:v>2.3329031963279283E-2</c:v>
                </c:pt>
                <c:pt idx="7">
                  <c:v>2.4688265009858646E-2</c:v>
                </c:pt>
                <c:pt idx="8">
                  <c:v>2.3654347961507349E-2</c:v>
                </c:pt>
                <c:pt idx="9">
                  <c:v>2.0814619144845087E-2</c:v>
                </c:pt>
                <c:pt idx="10">
                  <c:v>1.7022556226213847E-2</c:v>
                </c:pt>
                <c:pt idx="11">
                  <c:v>1.306782132810054E-2</c:v>
                </c:pt>
                <c:pt idx="12">
                  <c:v>9.496205086649636E-3</c:v>
                </c:pt>
                <c:pt idx="13">
                  <c:v>6.5790096216856199E-3</c:v>
                </c:pt>
                <c:pt idx="14">
                  <c:v>4.3719665660242645E-3</c:v>
                </c:pt>
                <c:pt idx="15">
                  <c:v>2.8013465758306819E-3</c:v>
                </c:pt>
                <c:pt idx="16">
                  <c:v>1.7385470025647581E-3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13-489B-9A75-A8092FA804EA}"/>
            </c:ext>
          </c:extLst>
        </c:ser>
        <c:ser>
          <c:idx val="7"/>
          <c:order val="7"/>
          <c:tx>
            <c:strRef>
              <c:f>'q=0'!$M$118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6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'q=0'!$M$119:$M$135</c:f>
              <c:numCache>
                <c:formatCode>General</c:formatCode>
                <c:ptCount val="17"/>
                <c:pt idx="0">
                  <c:v>9.1609936771568209E-4</c:v>
                </c:pt>
                <c:pt idx="1">
                  <c:v>2.5855385907713364E-3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1.9552017122180458E-2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4.7634480986671439E-3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13-489B-9A75-A8092FA804EA}"/>
            </c:ext>
          </c:extLst>
        </c:ser>
        <c:ser>
          <c:idx val="8"/>
          <c:order val="8"/>
          <c:tx>
            <c:strRef>
              <c:f>'q=0'!$N$118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86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'q=0'!$N$119:$N$135</c:f>
              <c:numCache>
                <c:formatCode>General</c:formatCode>
                <c:ptCount val="17"/>
                <c:pt idx="0">
                  <c:v>1.3571389458380515E-3</c:v>
                </c:pt>
                <c:pt idx="1">
                  <c:v>3.3605151026574525E-3</c:v>
                </c:pt>
                <c:pt idx="2">
                  <c:v>6.6387114573764547E-3</c:v>
                </c:pt>
                <c:pt idx="3">
                  <c:v>1.0909406223302241E-2</c:v>
                </c:pt>
                <c:pt idx="4">
                  <c:v>1.5403132263133369E-2</c:v>
                </c:pt>
                <c:pt idx="5">
                  <c:v>1.9167361944162006E-2</c:v>
                </c:pt>
                <c:pt idx="6">
                  <c:v>2.1452524339852529E-2</c:v>
                </c:pt>
                <c:pt idx="7">
                  <c:v>2.1952066922098782E-2</c:v>
                </c:pt>
                <c:pt idx="8">
                  <c:v>2.0814289167512139E-2</c:v>
                </c:pt>
                <c:pt idx="9">
                  <c:v>1.8489346824041981E-2</c:v>
                </c:pt>
                <c:pt idx="10">
                  <c:v>1.5528543194402064E-2</c:v>
                </c:pt>
                <c:pt idx="11">
                  <c:v>1.2425602990436633E-2</c:v>
                </c:pt>
                <c:pt idx="12">
                  <c:v>9.5342861100476337E-3</c:v>
                </c:pt>
                <c:pt idx="13">
                  <c:v>7.0538139252298493E-3</c:v>
                </c:pt>
                <c:pt idx="14">
                  <c:v>5.0554177985015743E-3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13-489B-9A75-A8092FA804EA}"/>
            </c:ext>
          </c:extLst>
        </c:ser>
        <c:ser>
          <c:idx val="9"/>
          <c:order val="9"/>
          <c:tx>
            <c:strRef>
              <c:f>'q=0'!$O$118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'q=0'!$O$119:$O$135</c:f>
              <c:numCache>
                <c:formatCode>General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13-489B-9A75-A8092FA804EA}"/>
            </c:ext>
          </c:extLst>
        </c:ser>
        <c:ser>
          <c:idx val="10"/>
          <c:order val="10"/>
          <c:tx>
            <c:strRef>
              <c:f>'q=0'!$P$118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8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'q=0'!$P$119:$P$135</c:f>
              <c:numCache>
                <c:formatCode>General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1.1624159945686188E-2</c:v>
                </c:pt>
                <c:pt idx="3">
                  <c:v>1.3601749391133747E-2</c:v>
                </c:pt>
                <c:pt idx="4">
                  <c:v>1.4928999083209112E-2</c:v>
                </c:pt>
                <c:pt idx="5">
                  <c:v>1.5538821309956895E-2</c:v>
                </c:pt>
                <c:pt idx="6">
                  <c:v>1.5471684475151492E-2</c:v>
                </c:pt>
                <c:pt idx="7">
                  <c:v>1.4840061535306965E-2</c:v>
                </c:pt>
                <c:pt idx="8">
                  <c:v>1.3790926583135299E-2</c:v>
                </c:pt>
                <c:pt idx="9">
                  <c:v>1.2475292570391814E-2</c:v>
                </c:pt>
                <c:pt idx="10">
                  <c:v>1.1028059378052653E-2</c:v>
                </c:pt>
                <c:pt idx="11">
                  <c:v>9.5576676672171172E-3</c:v>
                </c:pt>
                <c:pt idx="12">
                  <c:v>8.1432630811320347E-3</c:v>
                </c:pt>
                <c:pt idx="13">
                  <c:v>6.8366861897907437E-3</c:v>
                </c:pt>
                <c:pt idx="14">
                  <c:v>5.6669702285113378E-3</c:v>
                </c:pt>
                <c:pt idx="15">
                  <c:v>4.6456697775222461E-3</c:v>
                </c:pt>
                <c:pt idx="16">
                  <c:v>3.7719785580502146E-3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13-489B-9A75-A8092FA804EA}"/>
            </c:ext>
          </c:extLst>
        </c:ser>
        <c:ser>
          <c:idx val="11"/>
          <c:order val="11"/>
          <c:tx>
            <c:strRef>
              <c:f>'q=0'!$Q$118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58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'q=0'!$Q$119:$Q$135</c:f>
              <c:numCache>
                <c:formatCode>General</c:formatCode>
                <c:ptCount val="17"/>
                <c:pt idx="0">
                  <c:v>9.1771016304238069E-3</c:v>
                </c:pt>
                <c:pt idx="1">
                  <c:v>1.0920849507992856E-2</c:v>
                </c:pt>
                <c:pt idx="2">
                  <c:v>1.2233016676571298E-2</c:v>
                </c:pt>
                <c:pt idx="3">
                  <c:v>1.304799601147523E-2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1.2783505889003444E-2</c:v>
                </c:pt>
                <c:pt idx="7">
                  <c:v>1.2047161650680642E-2</c:v>
                </c:pt>
                <c:pt idx="8">
                  <c:v>1.1134276551152787E-2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8.0369990403848408E-3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5.2808038728821578E-3</c:v>
                </c:pt>
                <c:pt idx="15">
                  <c:v>4.5248469998567702E-3</c:v>
                </c:pt>
                <c:pt idx="16">
                  <c:v>3.855415263882422E-3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F13-489B-9A75-A8092FA804EA}"/>
            </c:ext>
          </c:extLst>
        </c:ser>
        <c:ser>
          <c:idx val="12"/>
          <c:order val="12"/>
          <c:tx>
            <c:strRef>
              <c:f>'q=0'!$R$118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9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'q=0'!$R$119:$R$135</c:f>
              <c:numCache>
                <c:formatCode>General</c:formatCode>
                <c:ptCount val="17"/>
                <c:pt idx="0">
                  <c:v>1.0313315500073911E-2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F13-489B-9A75-A8092FA804EA}"/>
            </c:ext>
          </c:extLst>
        </c:ser>
        <c:ser>
          <c:idx val="13"/>
          <c:order val="13"/>
          <c:tx>
            <c:strRef>
              <c:f>'q=0'!$S$118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0000"/>
                  <a:shade val="95000"/>
                </a:schemeClr>
              </a:contourClr>
            </a:sp3d>
          </c:spPr>
          <c:cat>
            <c:numRef>
              <c:f>'q=0'!$E$119:$E$135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'q=0'!$S$119:$S$135</c:f>
              <c:numCache>
                <c:formatCode>General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1.0490736571836448E-2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7.6966219777363509E-3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5.0386172534840892E-3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F13-489B-9A75-A8092FA804E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20000"/>
                    <a:shade val="95000"/>
                  </a:schemeClr>
                </a:contourClr>
              </a:sp3d>
            </c:spPr>
          </c:bandFmt>
        </c:bandFmts>
        <c:axId val="99043872"/>
        <c:axId val="99041472"/>
        <c:axId val="472579216"/>
      </c:surface3DChart>
      <c:catAx>
        <c:axId val="9904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3444781502451274"/>
              <c:y val="0.8484632773504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  <c:auto val="1"/>
        <c:lblAlgn val="ctr"/>
        <c:lblOffset val="100"/>
        <c:noMultiLvlLbl val="0"/>
      </c:catAx>
      <c:valAx>
        <c:axId val="9904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3872"/>
        <c:crosses val="autoZero"/>
        <c:crossBetween val="midCat"/>
      </c:valAx>
      <c:serAx>
        <c:axId val="47257921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'q=0'!$F$137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39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'q=0'!$F$138:$F$154</c:f>
              <c:numCache>
                <c:formatCode>General</c:formatCode>
                <c:ptCount val="17"/>
                <c:pt idx="0">
                  <c:v>9.3101583467928755E-227</c:v>
                </c:pt>
                <c:pt idx="1">
                  <c:v>1.747260734780941E-161</c:v>
                </c:pt>
                <c:pt idx="2">
                  <c:v>5.6689907148791594E-111</c:v>
                </c:pt>
                <c:pt idx="3">
                  <c:v>1.594903646367211E-72</c:v>
                </c:pt>
                <c:pt idx="4">
                  <c:v>4.8323335546015566E-44</c:v>
                </c:pt>
                <c:pt idx="5">
                  <c:v>7.0390717286316979E-24</c:v>
                </c:pt>
                <c:pt idx="6">
                  <c:v>1.0243334389117949E-10</c:v>
                </c:pt>
                <c:pt idx="7">
                  <c:v>1.73022100813276E-3</c:v>
                </c:pt>
                <c:pt idx="8">
                  <c:v>0.25167539191488181</c:v>
                </c:pt>
                <c:pt idx="9">
                  <c:v>1.6467999615219246E-3</c:v>
                </c:pt>
                <c:pt idx="10">
                  <c:v>1.9181936774384374E-9</c:v>
                </c:pt>
                <c:pt idx="11">
                  <c:v>1.2603945019359722E-18</c:v>
                </c:pt>
                <c:pt idx="12">
                  <c:v>1.2372224837677774E-30</c:v>
                </c:pt>
                <c:pt idx="13">
                  <c:v>4.150942916075281E-45</c:v>
                </c:pt>
                <c:pt idx="14">
                  <c:v>9.6566096893110887E-62</c:v>
                </c:pt>
                <c:pt idx="15">
                  <c:v>2.8607510988780266E-80</c:v>
                </c:pt>
                <c:pt idx="16">
                  <c:v>1.8242424684528806E-100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2-4523-AA0D-4E303A6139AB}"/>
            </c:ext>
          </c:extLst>
        </c:ser>
        <c:ser>
          <c:idx val="1"/>
          <c:order val="1"/>
          <c:tx>
            <c:strRef>
              <c:f>'q=0'!$G$137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8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'q=0'!$G$138:$G$154</c:f>
              <c:numCache>
                <c:formatCode>General</c:formatCode>
                <c:ptCount val="17"/>
                <c:pt idx="0">
                  <c:v>1.3911330426641347E-113</c:v>
                </c:pt>
                <c:pt idx="1">
                  <c:v>4.8358542051806851E-81</c:v>
                </c:pt>
                <c:pt idx="2">
                  <c:v>7.104595130701175E-56</c:v>
                </c:pt>
                <c:pt idx="3">
                  <c:v>9.8572284584125236E-37</c:v>
                </c:pt>
                <c:pt idx="4">
                  <c:v>1.4367693634291653E-22</c:v>
                </c:pt>
                <c:pt idx="5">
                  <c:v>1.4677825516503268E-12</c:v>
                </c:pt>
                <c:pt idx="6">
                  <c:v>4.7847565457410146E-6</c:v>
                </c:pt>
                <c:pt idx="7">
                  <c:v>1.6947941136303581E-2</c:v>
                </c:pt>
                <c:pt idx="8">
                  <c:v>0.17751148118577875</c:v>
                </c:pt>
                <c:pt idx="9">
                  <c:v>1.2556133445484136E-2</c:v>
                </c:pt>
                <c:pt idx="10">
                  <c:v>1.1924012275408867E-5</c:v>
                </c:pt>
                <c:pt idx="11">
                  <c:v>2.7048317777097782E-10</c:v>
                </c:pt>
                <c:pt idx="12">
                  <c:v>2.3838643903555184E-16</c:v>
                </c:pt>
                <c:pt idx="13">
                  <c:v>1.2341754855645672E-23</c:v>
                </c:pt>
                <c:pt idx="14">
                  <c:v>5.344095263071139E-32</c:v>
                </c:pt>
                <c:pt idx="15">
                  <c:v>2.6219731763751313E-41</c:v>
                </c:pt>
                <c:pt idx="16">
                  <c:v>1.8945028104927562E-51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62-4523-AA0D-4E303A6139AB}"/>
            </c:ext>
          </c:extLst>
        </c:ser>
        <c:ser>
          <c:idx val="2"/>
          <c:order val="2"/>
          <c:tx>
            <c:strRef>
              <c:f>'q=0'!$H$137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58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'q=0'!$H$138:$H$154</c:f>
              <c:numCache>
                <c:formatCode>General</c:formatCode>
                <c:ptCount val="17"/>
                <c:pt idx="0">
                  <c:v>6.754072170560386E-76</c:v>
                </c:pt>
                <c:pt idx="1">
                  <c:v>2.8833997555930231E-54</c:v>
                </c:pt>
                <c:pt idx="2">
                  <c:v>1.5098843872617693E-37</c:v>
                </c:pt>
                <c:pt idx="3">
                  <c:v>7.6822442390038784E-25</c:v>
                </c:pt>
                <c:pt idx="4">
                  <c:v>1.8902689834890249E-15</c:v>
                </c:pt>
                <c:pt idx="5">
                  <c:v>7.9634940852201223E-9</c:v>
                </c:pt>
                <c:pt idx="6">
                  <c:v>1.5766156796582912E-4</c:v>
                </c:pt>
                <c:pt idx="7">
                  <c:v>3.3177875014810738E-2</c:v>
                </c:pt>
                <c:pt idx="8">
                  <c:v>0.14457110830475553</c:v>
                </c:pt>
                <c:pt idx="9">
                  <c:v>2.2611052516179498E-2</c:v>
                </c:pt>
                <c:pt idx="10">
                  <c:v>2.0059752270192206E-4</c:v>
                </c:pt>
                <c:pt idx="11">
                  <c:v>1.481646767725482E-7</c:v>
                </c:pt>
                <c:pt idx="12">
                  <c:v>1.2597546157315032E-11</c:v>
                </c:pt>
                <c:pt idx="13">
                  <c:v>1.6237286929456729E-16</c:v>
                </c:pt>
                <c:pt idx="14">
                  <c:v>4.0143681049703234E-22</c:v>
                </c:pt>
                <c:pt idx="15">
                  <c:v>2.3302586702528868E-28</c:v>
                </c:pt>
                <c:pt idx="16">
                  <c:v>3.7817485497671273E-35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62-4523-AA0D-4E303A6139AB}"/>
            </c:ext>
          </c:extLst>
        </c:ser>
        <c:ser>
          <c:idx val="3"/>
          <c:order val="3"/>
          <c:tx>
            <c:strRef>
              <c:f>'q=0'!$I$137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7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'q=0'!$I$138:$I$154</c:f>
              <c:numCache>
                <c:formatCode>General</c:formatCode>
                <c:ptCount val="17"/>
                <c:pt idx="0">
                  <c:v>4.5047221070812431E-57</c:v>
                </c:pt>
                <c:pt idx="1">
                  <c:v>6.7394503624664835E-41</c:v>
                </c:pt>
                <c:pt idx="2">
                  <c:v>2.1069278662432505E-28</c:v>
                </c:pt>
                <c:pt idx="3">
                  <c:v>6.4917015757332732E-19</c:v>
                </c:pt>
                <c:pt idx="4">
                  <c:v>6.5628983163221472E-12</c:v>
                </c:pt>
                <c:pt idx="5">
                  <c:v>5.6147241572816821E-7</c:v>
                </c:pt>
                <c:pt idx="6">
                  <c:v>8.6628866509568772E-4</c:v>
                </c:pt>
                <c:pt idx="7">
                  <c:v>4.4434282232026202E-2</c:v>
                </c:pt>
                <c:pt idx="8">
                  <c:v>0.12488573500507286</c:v>
                </c:pt>
                <c:pt idx="9">
                  <c:v>2.9044038192609204E-2</c:v>
                </c:pt>
                <c:pt idx="10">
                  <c:v>7.8755507296034036E-4</c:v>
                </c:pt>
                <c:pt idx="11">
                  <c:v>3.3193318974190836E-6</c:v>
                </c:pt>
                <c:pt idx="12">
                  <c:v>2.7719918992984113E-9</c:v>
                </c:pt>
                <c:pt idx="13">
                  <c:v>5.6374867271153429E-13</c:v>
                </c:pt>
                <c:pt idx="14">
                  <c:v>3.3303700096947418E-17</c:v>
                </c:pt>
                <c:pt idx="15">
                  <c:v>6.6496053217831917E-22</c:v>
                </c:pt>
                <c:pt idx="16">
                  <c:v>5.1144052719762048E-27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62-4523-AA0D-4E303A6139AB}"/>
            </c:ext>
          </c:extLst>
        </c:ser>
        <c:ser>
          <c:idx val="4"/>
          <c:order val="4"/>
          <c:tx>
            <c:strRef>
              <c:f>'q=0'!$J$137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'q=0'!$J$138:$J$154</c:f>
              <c:numCache>
                <c:formatCode>General</c:formatCode>
                <c:ptCount val="17"/>
                <c:pt idx="0">
                  <c:v>8.6440303065242587E-46</c:v>
                </c:pt>
                <c:pt idx="1">
                  <c:v>6.8935533867540711E-33</c:v>
                </c:pt>
                <c:pt idx="2">
                  <c:v>6.2959336441173744E-23</c:v>
                </c:pt>
                <c:pt idx="3">
                  <c:v>2.2754521137474166E-15</c:v>
                </c:pt>
                <c:pt idx="4">
                  <c:v>8.5118861694752196E-10</c:v>
                </c:pt>
                <c:pt idx="5">
                  <c:v>7.0282981093247269E-6</c:v>
                </c:pt>
                <c:pt idx="6">
                  <c:v>2.3453712521940293E-3</c:v>
                </c:pt>
                <c:pt idx="7">
                  <c:v>5.1573525705671558E-2</c:v>
                </c:pt>
                <c:pt idx="8">
                  <c:v>0.11141881104694058</c:v>
                </c:pt>
                <c:pt idx="9">
                  <c:v>3.2876503484447317E-2</c:v>
                </c:pt>
                <c:pt idx="10">
                  <c:v>1.7427738925379489E-3</c:v>
                </c:pt>
                <c:pt idx="11">
                  <c:v>2.0884360030794242E-5</c:v>
                </c:pt>
                <c:pt idx="12">
                  <c:v>6.8688249271277048E-8</c:v>
                </c:pt>
                <c:pt idx="13">
                  <c:v>7.3116545450341144E-11</c:v>
                </c:pt>
                <c:pt idx="14">
                  <c:v>2.9000437821153298E-14</c:v>
                </c:pt>
                <c:pt idx="15">
                  <c:v>4.8374646273030467E-18</c:v>
                </c:pt>
                <c:pt idx="16">
                  <c:v>3.7674155366953856E-22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62-4523-AA0D-4E303A6139AB}"/>
            </c:ext>
          </c:extLst>
        </c:ser>
        <c:ser>
          <c:idx val="5"/>
          <c:order val="5"/>
          <c:tx>
            <c:strRef>
              <c:f>'q=0'!$K$137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86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'q=0'!$K$138:$K$154</c:f>
              <c:numCache>
                <c:formatCode>General</c:formatCode>
                <c:ptCount val="17"/>
                <c:pt idx="0">
                  <c:v>2.8254963042635182E-38</c:v>
                </c:pt>
                <c:pt idx="1">
                  <c:v>1.4813870081129445E-27</c:v>
                </c:pt>
                <c:pt idx="2">
                  <c:v>2.7649040891237214E-19</c:v>
                </c:pt>
                <c:pt idx="3">
                  <c:v>5.15885610720555E-13</c:v>
                </c:pt>
                <c:pt idx="4">
                  <c:v>2.1428519843035006E-8</c:v>
                </c:pt>
                <c:pt idx="5">
                  <c:v>3.7228678365683759E-5</c:v>
                </c:pt>
                <c:pt idx="6">
                  <c:v>4.4763481165341866E-3</c:v>
                </c:pt>
                <c:pt idx="7">
                  <c:v>5.5964445164286031E-2</c:v>
                </c:pt>
                <c:pt idx="8">
                  <c:v>0.10145386318349017</c:v>
                </c:pt>
                <c:pt idx="9">
                  <c:v>3.5084690564418715E-2</c:v>
                </c:pt>
                <c:pt idx="10">
                  <c:v>2.9077745568898174E-3</c:v>
                </c:pt>
                <c:pt idx="11">
                  <c:v>6.9932831332127887E-5</c:v>
                </c:pt>
                <c:pt idx="12">
                  <c:v>5.7361749178651353E-7</c:v>
                </c:pt>
                <c:pt idx="13">
                  <c:v>1.8406958385504377E-9</c:v>
                </c:pt>
                <c:pt idx="14">
                  <c:v>2.598317459048168E-12</c:v>
                </c:pt>
                <c:pt idx="15">
                  <c:v>1.7844814451072081E-15</c:v>
                </c:pt>
                <c:pt idx="16">
                  <c:v>6.5046219455217613E-19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62-4523-AA0D-4E303A6139AB}"/>
            </c:ext>
          </c:extLst>
        </c:ser>
        <c:ser>
          <c:idx val="6"/>
          <c:order val="6"/>
          <c:tx>
            <c:strRef>
              <c:f>'q=0'!$L$137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'q=0'!$L$138:$L$154</c:f>
              <c:numCache>
                <c:formatCode>General</c:formatCode>
                <c:ptCount val="17"/>
                <c:pt idx="0">
                  <c:v>6.5012888927915614E-33</c:v>
                </c:pt>
                <c:pt idx="1">
                  <c:v>9.4165644966110279E-24</c:v>
                </c:pt>
                <c:pt idx="2">
                  <c:v>1.0915483615128318E-16</c:v>
                </c:pt>
                <c:pt idx="3">
                  <c:v>2.4520806151785581E-11</c:v>
                </c:pt>
                <c:pt idx="4">
                  <c:v>2.1192098747547225E-7</c:v>
                </c:pt>
                <c:pt idx="5">
                  <c:v>1.2092932063345309E-4</c:v>
                </c:pt>
                <c:pt idx="6">
                  <c:v>7.0133278491487849E-3</c:v>
                </c:pt>
                <c:pt idx="7">
                  <c:v>5.8580144216244641E-2</c:v>
                </c:pt>
                <c:pt idx="8">
                  <c:v>9.3690571075047593E-2</c:v>
                </c:pt>
                <c:pt idx="9">
                  <c:v>3.6288993115417542E-2</c:v>
                </c:pt>
                <c:pt idx="10">
                  <c:v>4.1385865503333411E-3</c:v>
                </c:pt>
                <c:pt idx="11">
                  <c:v>1.6370901766348724E-4</c:v>
                </c:pt>
                <c:pt idx="12">
                  <c:v>2.579286532374726E-6</c:v>
                </c:pt>
                <c:pt idx="13">
                  <c:v>1.8203874210863437E-8</c:v>
                </c:pt>
                <c:pt idx="14">
                  <c:v>6.3631905510395873E-11</c:v>
                </c:pt>
                <c:pt idx="15">
                  <c:v>1.2008795570947284E-13</c:v>
                </c:pt>
                <c:pt idx="16">
                  <c:v>1.3182081010252938E-16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62-4523-AA0D-4E303A6139AB}"/>
            </c:ext>
          </c:extLst>
        </c:ser>
        <c:ser>
          <c:idx val="7"/>
          <c:order val="7"/>
          <c:tx>
            <c:strRef>
              <c:f>'q=0'!$M$137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6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'q=0'!$M$138:$M$154</c:f>
              <c:numCache>
                <c:formatCode>General</c:formatCode>
                <c:ptCount val="17"/>
                <c:pt idx="0">
                  <c:v>6.7649135570946765E-29</c:v>
                </c:pt>
                <c:pt idx="1">
                  <c:v>6.6396425029528092E-21</c:v>
                </c:pt>
                <c:pt idx="2">
                  <c:v>9.575234332808064E-15</c:v>
                </c:pt>
                <c:pt idx="3">
                  <c:v>4.3964788356021363E-10</c:v>
                </c:pt>
                <c:pt idx="4">
                  <c:v>1.1705623764161017E-6</c:v>
                </c:pt>
                <c:pt idx="5">
                  <c:v>2.8980532050387742E-4</c:v>
                </c:pt>
                <c:pt idx="6">
                  <c:v>9.7276649245573409E-3</c:v>
                </c:pt>
                <c:pt idx="7">
                  <c:v>6.004313471527823E-2</c:v>
                </c:pt>
                <c:pt idx="8">
                  <c:v>8.741794736449704E-2</c:v>
                </c:pt>
                <c:pt idx="9">
                  <c:v>3.6863970917085223E-2</c:v>
                </c:pt>
                <c:pt idx="10">
                  <c:v>5.3413959170241568E-3</c:v>
                </c:pt>
                <c:pt idx="11">
                  <c:v>3.0686719695878099E-4</c:v>
                </c:pt>
                <c:pt idx="12">
                  <c:v>7.8884511305600306E-6</c:v>
                </c:pt>
                <c:pt idx="13">
                  <c:v>1.0055054249270339E-7</c:v>
                </c:pt>
                <c:pt idx="14">
                  <c:v>6.9381903775030267E-10</c:v>
                </c:pt>
                <c:pt idx="15">
                  <c:v>2.794629626717462E-12</c:v>
                </c:pt>
                <c:pt idx="16">
                  <c:v>7.0127710274450392E-15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62-4523-AA0D-4E303A6139AB}"/>
            </c:ext>
          </c:extLst>
        </c:ser>
        <c:ser>
          <c:idx val="8"/>
          <c:order val="8"/>
          <c:tx>
            <c:strRef>
              <c:f>'q=0'!$N$137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86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'q=0'!$N$138:$N$154</c:f>
              <c:numCache>
                <c:formatCode>General</c:formatCode>
                <c:ptCount val="17"/>
                <c:pt idx="0">
                  <c:v>8.9440011499927672E-26</c:v>
                </c:pt>
                <c:pt idx="1">
                  <c:v>1.0818918358551828E-18</c:v>
                </c:pt>
                <c:pt idx="2">
                  <c:v>3.0845107171406094E-13</c:v>
                </c:pt>
                <c:pt idx="3">
                  <c:v>4.119418703534871E-9</c:v>
                </c:pt>
                <c:pt idx="4">
                  <c:v>4.3894399894835313E-6</c:v>
                </c:pt>
                <c:pt idx="5">
                  <c:v>5.6762697386015149E-4</c:v>
                </c:pt>
                <c:pt idx="6">
                  <c:v>1.2452329709849587E-2</c:v>
                </c:pt>
                <c:pt idx="7">
                  <c:v>6.0747372987125806E-2</c:v>
                </c:pt>
                <c:pt idx="8">
                  <c:v>8.2210073332029704E-2</c:v>
                </c:pt>
                <c:pt idx="9">
                  <c:v>3.703770160268266E-2</c:v>
                </c:pt>
                <c:pt idx="10">
                  <c:v>6.4649704130358135E-3</c:v>
                </c:pt>
                <c:pt idx="11">
                  <c:v>4.9650162794331008E-4</c:v>
                </c:pt>
                <c:pt idx="12">
                  <c:v>1.8677924521023903E-5</c:v>
                </c:pt>
                <c:pt idx="13">
                  <c:v>3.7705002405172564E-7</c:v>
                </c:pt>
                <c:pt idx="14">
                  <c:v>4.4154805034580032E-9</c:v>
                </c:pt>
                <c:pt idx="15">
                  <c:v>3.2073185186166861E-11</c:v>
                </c:pt>
                <c:pt idx="16">
                  <c:v>1.5310614357413522E-13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62-4523-AA0D-4E303A6139AB}"/>
            </c:ext>
          </c:extLst>
        </c:ser>
        <c:ser>
          <c:idx val="9"/>
          <c:order val="9"/>
          <c:tx>
            <c:strRef>
              <c:f>'q=0'!$O$137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'q=0'!$O$138:$O$154</c:f>
              <c:numCache>
                <c:formatCode>General</c:formatCode>
                <c:ptCount val="17"/>
                <c:pt idx="0">
                  <c:v>2.7919647089365428E-23</c:v>
                </c:pt>
                <c:pt idx="1">
                  <c:v>6.3267046889792577E-17</c:v>
                </c:pt>
                <c:pt idx="2">
                  <c:v>4.9314903037006552E-12</c:v>
                </c:pt>
                <c:pt idx="3">
                  <c:v>2.4523536448340147E-8</c:v>
                </c:pt>
                <c:pt idx="4">
                  <c:v>1.2559812667617155E-5</c:v>
                </c:pt>
                <c:pt idx="5">
                  <c:v>9.6603033416123535E-4</c:v>
                </c:pt>
                <c:pt idx="6">
                  <c:v>1.5080183297684395E-2</c:v>
                </c:pt>
                <c:pt idx="7">
                  <c:v>6.0945440301272615E-2</c:v>
                </c:pt>
                <c:pt idx="8">
                  <c:v>7.7794157607349895E-2</c:v>
                </c:pt>
                <c:pt idx="9">
                  <c:v>3.6952171211840808E-2</c:v>
                </c:pt>
                <c:pt idx="10">
                  <c:v>7.4861471767366855E-3</c:v>
                </c:pt>
                <c:pt idx="11">
                  <c:v>7.2520242441002014E-4</c:v>
                </c:pt>
                <c:pt idx="12">
                  <c:v>3.6996489716055837E-5</c:v>
                </c:pt>
                <c:pt idx="13">
                  <c:v>1.0788796930260339E-6</c:v>
                </c:pt>
                <c:pt idx="14">
                  <c:v>1.9289713659538135E-8</c:v>
                </c:pt>
                <c:pt idx="15">
                  <c:v>2.245736307122208E-10</c:v>
                </c:pt>
                <c:pt idx="16">
                  <c:v>1.7932357427730701E-12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62-4523-AA0D-4E303A6139AB}"/>
            </c:ext>
          </c:extLst>
        </c:ser>
        <c:ser>
          <c:idx val="10"/>
          <c:order val="10"/>
          <c:tx>
            <c:strRef>
              <c:f>'q=0'!$P$137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8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'q=0'!$P$138:$P$154</c:f>
              <c:numCache>
                <c:formatCode>General</c:formatCode>
                <c:ptCount val="17"/>
                <c:pt idx="0">
                  <c:v>4.1400390540221403E-12</c:v>
                </c:pt>
                <c:pt idx="1">
                  <c:v>5.0008343065501171E-9</c:v>
                </c:pt>
                <c:pt idx="2">
                  <c:v>1.1387670594531286E-6</c:v>
                </c:pt>
                <c:pt idx="3">
                  <c:v>6.6426059345663912E-5</c:v>
                </c:pt>
                <c:pt idx="4">
                  <c:v>1.2588081064107146E-3</c:v>
                </c:pt>
                <c:pt idx="5">
                  <c:v>9.3445577105268299E-3</c:v>
                </c:pt>
                <c:pt idx="6">
                  <c:v>3.155017870683352E-2</c:v>
                </c:pt>
                <c:pt idx="7">
                  <c:v>5.4663333092534912E-2</c:v>
                </c:pt>
                <c:pt idx="8">
                  <c:v>5.3633841658164212E-2</c:v>
                </c:pt>
                <c:pt idx="9">
                  <c:v>3.2323235216493842E-2</c:v>
                </c:pt>
                <c:pt idx="10">
                  <c:v>1.2801613487678231E-2</c:v>
                </c:pt>
                <c:pt idx="11">
                  <c:v>3.5259485996746286E-3</c:v>
                </c:pt>
                <c:pt idx="12">
                  <c:v>7.0843049486281199E-4</c:v>
                </c:pt>
                <c:pt idx="13">
                  <c:v>1.0813079297947399E-4</c:v>
                </c:pt>
                <c:pt idx="14">
                  <c:v>1.2980280750592524E-5</c:v>
                </c:pt>
                <c:pt idx="15">
                  <c:v>1.2624870473504024E-6</c:v>
                </c:pt>
                <c:pt idx="16">
                  <c:v>1.02077966415812E-7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62-4523-AA0D-4E303A6139AB}"/>
            </c:ext>
          </c:extLst>
        </c:ser>
        <c:ser>
          <c:idx val="11"/>
          <c:order val="11"/>
          <c:tx>
            <c:strRef>
              <c:f>'q=0'!$Q$137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58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'q=0'!$Q$138:$Q$154</c:f>
              <c:numCache>
                <c:formatCode>General</c:formatCode>
                <c:ptCount val="17"/>
                <c:pt idx="0">
                  <c:v>1.9746945436819669E-8</c:v>
                </c:pt>
                <c:pt idx="1">
                  <c:v>1.9340220277297138E-6</c:v>
                </c:pt>
                <c:pt idx="2">
                  <c:v>6.295802812150548E-5</c:v>
                </c:pt>
                <c:pt idx="3">
                  <c:v>8.3442556817073157E-4</c:v>
                </c:pt>
                <c:pt idx="4">
                  <c:v>5.2692520247691749E-3</c:v>
                </c:pt>
                <c:pt idx="5">
                  <c:v>1.7942325442778528E-2</c:v>
                </c:pt>
                <c:pt idx="6">
                  <c:v>3.6363376976884097E-2</c:v>
                </c:pt>
                <c:pt idx="7">
                  <c:v>4.7505627206650643E-2</c:v>
                </c:pt>
                <c:pt idx="8">
                  <c:v>4.2697278763395775E-2</c:v>
                </c:pt>
                <c:pt idx="9">
                  <c:v>2.7857176339322005E-2</c:v>
                </c:pt>
                <c:pt idx="10">
                  <c:v>1.3795289249153533E-2</c:v>
                </c:pt>
                <c:pt idx="11">
                  <c:v>5.3828490839793056E-3</c:v>
                </c:pt>
                <c:pt idx="12">
                  <c:v>1.7079433975186139E-3</c:v>
                </c:pt>
                <c:pt idx="13">
                  <c:v>4.5262530241530716E-4</c:v>
                </c:pt>
                <c:pt idx="14">
                  <c:v>1.0250243237476448E-4</c:v>
                </c:pt>
                <c:pt idx="15">
                  <c:v>2.0229274383467877E-5</c:v>
                </c:pt>
                <c:pt idx="16">
                  <c:v>3.538567905347554E-6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62-4523-AA0D-4E303A6139AB}"/>
            </c:ext>
          </c:extLst>
        </c:ser>
        <c:ser>
          <c:idx val="12"/>
          <c:order val="12"/>
          <c:tx>
            <c:strRef>
              <c:f>'q=0'!$R$137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9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'q=0'!$R$138:$R$154</c:f>
              <c:numCache>
                <c:formatCode>General</c:formatCode>
                <c:ptCount val="17"/>
                <c:pt idx="0">
                  <c:v>1.2906383845160562E-6</c:v>
                </c:pt>
                <c:pt idx="1">
                  <c:v>3.5993808243163999E-5</c:v>
                </c:pt>
                <c:pt idx="2">
                  <c:v>4.4301265744328011E-4</c:v>
                </c:pt>
                <c:pt idx="3">
                  <c:v>2.7987819670287147E-3</c:v>
                </c:pt>
                <c:pt idx="4">
                  <c:v>1.0202358921395951E-2</c:v>
                </c:pt>
                <c:pt idx="5">
                  <c:v>2.3528575066977354E-2</c:v>
                </c:pt>
                <c:pt idx="6">
                  <c:v>3.6944713887083543E-2</c:v>
                </c:pt>
                <c:pt idx="7">
                  <c:v>4.191084690578592E-2</c:v>
                </c:pt>
                <c:pt idx="8">
                  <c:v>3.6052696246164792E-2</c:v>
                </c:pt>
                <c:pt idx="9">
                  <c:v>2.4474010139679658E-2</c:v>
                </c:pt>
                <c:pt idx="10">
                  <c:v>1.3552542188871291E-2</c:v>
                </c:pt>
                <c:pt idx="11">
                  <c:v>6.2941519657690485E-3</c:v>
                </c:pt>
                <c:pt idx="12">
                  <c:v>2.5096808328419675E-3</c:v>
                </c:pt>
                <c:pt idx="13">
                  <c:v>8.7637595818898875E-4</c:v>
                </c:pt>
                <c:pt idx="14">
                  <c:v>2.7259389231645923E-4</c:v>
                </c:pt>
                <c:pt idx="15">
                  <c:v>7.663265970618857E-5</c:v>
                </c:pt>
                <c:pt idx="16">
                  <c:v>1.971660806386219E-5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62-4523-AA0D-4E303A6139AB}"/>
            </c:ext>
          </c:extLst>
        </c:ser>
        <c:ser>
          <c:idx val="13"/>
          <c:order val="13"/>
          <c:tx>
            <c:strRef>
              <c:f>'q=0'!$S$137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0000"/>
                  <a:shade val="95000"/>
                </a:schemeClr>
              </a:contourClr>
            </a:sp3d>
          </c:spPr>
          <c:cat>
            <c:numRef>
              <c:f>'q=0'!$E$138:$E$154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'q=0'!$S$138:$S$154</c:f>
              <c:numCache>
                <c:formatCode>General</c:formatCode>
                <c:ptCount val="17"/>
                <c:pt idx="0">
                  <c:v>1.5297369277765619E-5</c:v>
                </c:pt>
                <c:pt idx="1">
                  <c:v>2.007784101236069E-4</c:v>
                </c:pt>
                <c:pt idx="2">
                  <c:v>1.3786833416076715E-3</c:v>
                </c:pt>
                <c:pt idx="3">
                  <c:v>5.5840246687423965E-3</c:v>
                </c:pt>
                <c:pt idx="4">
                  <c:v>1.4638647635320289E-2</c:v>
                </c:pt>
                <c:pt idx="5">
                  <c:v>2.6721150130813755E-2</c:v>
                </c:pt>
                <c:pt idx="6">
                  <c:v>3.6000998812288999E-2</c:v>
                </c:pt>
                <c:pt idx="7">
                  <c:v>3.7523612980548814E-2</c:v>
                </c:pt>
                <c:pt idx="8">
                  <c:v>3.1440515920966292E-2</c:v>
                </c:pt>
                <c:pt idx="9">
                  <c:v>2.1857241150467718E-2</c:v>
                </c:pt>
                <c:pt idx="10">
                  <c:v>1.2942677357926544E-2</c:v>
                </c:pt>
                <c:pt idx="11">
                  <c:v>6.6730075984318864E-3</c:v>
                </c:pt>
                <c:pt idx="12">
                  <c:v>3.0516511716559619E-3</c:v>
                </c:pt>
                <c:pt idx="13">
                  <c:v>1.2574502570273684E-3</c:v>
                </c:pt>
                <c:pt idx="14">
                  <c:v>4.7316724559099435E-4</c:v>
                </c:pt>
                <c:pt idx="15">
                  <c:v>1.6447634183663351E-4</c:v>
                </c:pt>
                <c:pt idx="16">
                  <c:v>5.3341397273610855E-5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62-4523-AA0D-4E303A6139AB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4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4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4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47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6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6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6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6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65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8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8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8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8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82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8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3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6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5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4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8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1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3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9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5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7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8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4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3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2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2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2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2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25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000"/>
                    <a:shade val="95000"/>
                  </a:schemeClr>
                </a:contourClr>
              </a:sp3d>
            </c:spPr>
          </c:bandFmt>
        </c:bandFmts>
        <c:axId val="19676128"/>
        <c:axId val="19672768"/>
        <c:axId val="772060080"/>
      </c:surface3DChart>
      <c:catAx>
        <c:axId val="19676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  <c:auto val="1"/>
        <c:lblAlgn val="ctr"/>
        <c:lblOffset val="100"/>
        <c:noMultiLvlLbl val="0"/>
      </c:catAx>
      <c:valAx>
        <c:axId val="19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6128"/>
        <c:crosses val="autoZero"/>
        <c:crossBetween val="midCat"/>
      </c:valAx>
      <c:serAx>
        <c:axId val="7720600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70%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'q=0'!$F$156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39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'q=0'!$F$157:$F$173</c:f>
              <c:numCache>
                <c:formatCode>General</c:formatCode>
                <c:ptCount val="17"/>
                <c:pt idx="0">
                  <c:v>2.7154575862991734E-3</c:v>
                </c:pt>
                <c:pt idx="1">
                  <c:v>5.1879222075930514E-3</c:v>
                </c:pt>
                <c:pt idx="2">
                  <c:v>8.4076123696712399E-3</c:v>
                </c:pt>
                <c:pt idx="3">
                  <c:v>1.1915895612871343E-2</c:v>
                </c:pt>
                <c:pt idx="4">
                  <c:v>1.512207856291759E-2</c:v>
                </c:pt>
                <c:pt idx="5">
                  <c:v>1.7506279455103677E-2</c:v>
                </c:pt>
                <c:pt idx="6">
                  <c:v>1.8763171287037556E-2</c:v>
                </c:pt>
                <c:pt idx="7">
                  <c:v>1.8842569212975283E-2</c:v>
                </c:pt>
                <c:pt idx="8">
                  <c:v>1.790318887002601E-2</c:v>
                </c:pt>
                <c:pt idx="9">
                  <c:v>1.6224253767706826E-2</c:v>
                </c:pt>
                <c:pt idx="10">
                  <c:v>1.4116922897835803E-2</c:v>
                </c:pt>
                <c:pt idx="11">
                  <c:v>1.1859903232702466E-2</c:v>
                </c:pt>
                <c:pt idx="12">
                  <c:v>9.6656682737553817E-3</c:v>
                </c:pt>
                <c:pt idx="13">
                  <c:v>7.6723064320762075E-3</c:v>
                </c:pt>
                <c:pt idx="14">
                  <c:v>5.951718749672371E-3</c:v>
                </c:pt>
                <c:pt idx="15">
                  <c:v>4.5253257044277663E-3</c:v>
                </c:pt>
                <c:pt idx="16">
                  <c:v>3.3809719972766094E-3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13-49DA-AA6C-E341EA5EAD4E}"/>
            </c:ext>
          </c:extLst>
        </c:ser>
        <c:ser>
          <c:idx val="1"/>
          <c:order val="1"/>
          <c:tx>
            <c:strRef>
              <c:f>'q=0'!$G$156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8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'q=0'!$G$157:$G$173</c:f>
              <c:numCache>
                <c:formatCode>General</c:formatCode>
                <c:ptCount val="17"/>
                <c:pt idx="0">
                  <c:v>7.2217159619663825E-3</c:v>
                </c:pt>
                <c:pt idx="1">
                  <c:v>9.392675614956169E-3</c:v>
                </c:pt>
                <c:pt idx="2">
                  <c:v>1.1302174511873151E-2</c:v>
                </c:pt>
                <c:pt idx="3">
                  <c:v>1.2767646471421213E-2</c:v>
                </c:pt>
                <c:pt idx="4">
                  <c:v>1.3694484813266612E-2</c:v>
                </c:pt>
                <c:pt idx="5">
                  <c:v>1.4070888301147078E-2</c:v>
                </c:pt>
                <c:pt idx="6">
                  <c:v>1.3947832362284899E-2</c:v>
                </c:pt>
                <c:pt idx="7">
                  <c:v>1.3414461151326138E-2</c:v>
                </c:pt>
                <c:pt idx="8">
                  <c:v>1.257574616977287E-2</c:v>
                </c:pt>
                <c:pt idx="9">
                  <c:v>1.1535667775089862E-2</c:v>
                </c:pt>
                <c:pt idx="10">
                  <c:v>1.0386559168173571E-2</c:v>
                </c:pt>
                <c:pt idx="11">
                  <c:v>9.203783475584499E-3</c:v>
                </c:pt>
                <c:pt idx="12">
                  <c:v>8.0443434228638505E-3</c:v>
                </c:pt>
                <c:pt idx="13">
                  <c:v>6.9480054266114043E-3</c:v>
                </c:pt>
                <c:pt idx="14">
                  <c:v>5.9397691302322852E-3</c:v>
                </c:pt>
                <c:pt idx="15">
                  <c:v>5.032841168770865E-3</c:v>
                </c:pt>
                <c:pt idx="16">
                  <c:v>4.2315767668887148E-3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13-49DA-AA6C-E341EA5EAD4E}"/>
            </c:ext>
          </c:extLst>
        </c:ser>
        <c:ser>
          <c:idx val="2"/>
          <c:order val="2"/>
          <c:tx>
            <c:strRef>
              <c:f>'q=0'!$H$156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58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'q=0'!$H$157:$H$173</c:f>
              <c:numCache>
                <c:formatCode>General</c:formatCode>
                <c:ptCount val="17"/>
                <c:pt idx="0">
                  <c:v>9.1294471252140325E-3</c:v>
                </c:pt>
                <c:pt idx="1">
                  <c:v>1.0445427717142672E-2</c:v>
                </c:pt>
                <c:pt idx="2">
                  <c:v>1.138142741252916E-2</c:v>
                </c:pt>
                <c:pt idx="3">
                  <c:v>1.1920940394801351E-2</c:v>
                </c:pt>
                <c:pt idx="4">
                  <c:v>1.2089139332682337E-2</c:v>
                </c:pt>
                <c:pt idx="5">
                  <c:v>1.1937196688429587E-2</c:v>
                </c:pt>
                <c:pt idx="6">
                  <c:v>1.1528651001966912E-2</c:v>
                </c:pt>
                <c:pt idx="7">
                  <c:v>1.0929221247796123E-2</c:v>
                </c:pt>
                <c:pt idx="8">
                  <c:v>1.0200148649313848E-2</c:v>
                </c:pt>
                <c:pt idx="9">
                  <c:v>9.3945004410633474E-3</c:v>
                </c:pt>
                <c:pt idx="10">
                  <c:v>8.5556668744456929E-3</c:v>
                </c:pt>
                <c:pt idx="11">
                  <c:v>7.7173184886323099E-3</c:v>
                </c:pt>
                <c:pt idx="12">
                  <c:v>6.9042279757614029E-3</c:v>
                </c:pt>
                <c:pt idx="13">
                  <c:v>6.1335206714141742E-3</c:v>
                </c:pt>
                <c:pt idx="14">
                  <c:v>5.416061259655958E-3</c:v>
                </c:pt>
                <c:pt idx="15">
                  <c:v>4.7577976437139921E-3</c:v>
                </c:pt>
                <c:pt idx="16">
                  <c:v>4.1609649306336869E-3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13-49DA-AA6C-E341EA5EAD4E}"/>
            </c:ext>
          </c:extLst>
        </c:ser>
        <c:ser>
          <c:idx val="3"/>
          <c:order val="3"/>
          <c:tx>
            <c:strRef>
              <c:f>'q=0'!$I$156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7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'q=0'!$I$157:$I$173</c:f>
              <c:numCache>
                <c:formatCode>General</c:formatCode>
                <c:ptCount val="17"/>
                <c:pt idx="0">
                  <c:v>9.8052607012878296E-3</c:v>
                </c:pt>
                <c:pt idx="1">
                  <c:v>1.0522218366130657E-2</c:v>
                </c:pt>
                <c:pt idx="2">
                  <c:v>1.0910049605080302E-2</c:v>
                </c:pt>
                <c:pt idx="3">
                  <c:v>1.1003300673092456E-2</c:v>
                </c:pt>
                <c:pt idx="4">
                  <c:v>1.0850077877931668E-2</c:v>
                </c:pt>
                <c:pt idx="5">
                  <c:v>1.0502807294041915E-2</c:v>
                </c:pt>
                <c:pt idx="6">
                  <c:v>1.0012142200574333E-2</c:v>
                </c:pt>
                <c:pt idx="7">
                  <c:v>9.4234480526326336E-3</c:v>
                </c:pt>
                <c:pt idx="8">
                  <c:v>8.7751692186150924E-3</c:v>
                </c:pt>
                <c:pt idx="9">
                  <c:v>8.0984479813760984E-3</c:v>
                </c:pt>
                <c:pt idx="10">
                  <c:v>7.4175004292191017E-3</c:v>
                </c:pt>
                <c:pt idx="11">
                  <c:v>6.7503931783214387E-3</c:v>
                </c:pt>
                <c:pt idx="12">
                  <c:v>6.1099831647887133E-3</c:v>
                </c:pt>
                <c:pt idx="13">
                  <c:v>5.5048730202683178E-3</c:v>
                </c:pt>
                <c:pt idx="14">
                  <c:v>4.9402986041263012E-3</c:v>
                </c:pt>
                <c:pt idx="15">
                  <c:v>4.418908085173273E-3</c:v>
                </c:pt>
                <c:pt idx="16">
                  <c:v>3.9414189602814571E-3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13-49DA-AA6C-E341EA5EAD4E}"/>
            </c:ext>
          </c:extLst>
        </c:ser>
        <c:ser>
          <c:idx val="4"/>
          <c:order val="4"/>
          <c:tx>
            <c:strRef>
              <c:f>'q=0'!$J$156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'q=0'!$J$157:$J$173</c:f>
              <c:numCache>
                <c:formatCode>General</c:formatCode>
                <c:ptCount val="17"/>
                <c:pt idx="0">
                  <c:v>9.9527227696350144E-3</c:v>
                </c:pt>
                <c:pt idx="1">
                  <c:v>1.0277557643485058E-2</c:v>
                </c:pt>
                <c:pt idx="2">
                  <c:v>1.0343765876649282E-2</c:v>
                </c:pt>
                <c:pt idx="3">
                  <c:v>1.0198221031354619E-2</c:v>
                </c:pt>
                <c:pt idx="4">
                  <c:v>9.8884745536480436E-3</c:v>
                </c:pt>
                <c:pt idx="5">
                  <c:v>9.4584764524979301E-3</c:v>
                </c:pt>
                <c:pt idx="6">
                  <c:v>8.9464364387751641E-3</c:v>
                </c:pt>
                <c:pt idx="7">
                  <c:v>8.3840947195449964E-3</c:v>
                </c:pt>
                <c:pt idx="8">
                  <c:v>7.7968442897921363E-3</c:v>
                </c:pt>
                <c:pt idx="9">
                  <c:v>7.2043138109331118E-3</c:v>
                </c:pt>
                <c:pt idx="10">
                  <c:v>6.6211552294550271E-3</c:v>
                </c:pt>
                <c:pt idx="11">
                  <c:v>6.057879326849697E-3</c:v>
                </c:pt>
                <c:pt idx="12">
                  <c:v>5.521650440987385E-3</c:v>
                </c:pt>
                <c:pt idx="13">
                  <c:v>5.0169959510340143E-3</c:v>
                </c:pt>
                <c:pt idx="14">
                  <c:v>4.5464135777578659E-3</c:v>
                </c:pt>
                <c:pt idx="15">
                  <c:v>4.1108755593961786E-3</c:v>
                </c:pt>
                <c:pt idx="16">
                  <c:v>3.7102373281194712E-3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13-49DA-AA6C-E341EA5EAD4E}"/>
            </c:ext>
          </c:extLst>
        </c:ser>
        <c:ser>
          <c:idx val="5"/>
          <c:order val="5"/>
          <c:tx>
            <c:strRef>
              <c:f>'q=0'!$K$156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86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'q=0'!$K$157:$K$173</c:f>
              <c:numCache>
                <c:formatCode>General</c:formatCode>
                <c:ptCount val="17"/>
                <c:pt idx="0">
                  <c:v>9.863156378949663E-3</c:v>
                </c:pt>
                <c:pt idx="1">
                  <c:v>9.927285203018452E-3</c:v>
                </c:pt>
                <c:pt idx="2">
                  <c:v>9.794873325577531E-3</c:v>
                </c:pt>
                <c:pt idx="3">
                  <c:v>9.5121250451313342E-3</c:v>
                </c:pt>
                <c:pt idx="4">
                  <c:v>9.1203695095341143E-3</c:v>
                </c:pt>
                <c:pt idx="5">
                  <c:v>8.6546707511022287E-3</c:v>
                </c:pt>
                <c:pt idx="6">
                  <c:v>8.1436224754940795E-3</c:v>
                </c:pt>
                <c:pt idx="7">
                  <c:v>7.6097882126479046E-3</c:v>
                </c:pt>
                <c:pt idx="8">
                  <c:v>7.0704426751327307E-3</c:v>
                </c:pt>
                <c:pt idx="9">
                  <c:v>6.5384078750732339E-3</c:v>
                </c:pt>
                <c:pt idx="10">
                  <c:v>6.0228687626333295E-3</c:v>
                </c:pt>
                <c:pt idx="11">
                  <c:v>5.5301106483689197E-3</c:v>
                </c:pt>
                <c:pt idx="12">
                  <c:v>5.0641552384961992E-3</c:v>
                </c:pt>
                <c:pt idx="13">
                  <c:v>4.6272917681105998E-3</c:v>
                </c:pt>
                <c:pt idx="14">
                  <c:v>4.2205100377974841E-3</c:v>
                </c:pt>
                <c:pt idx="15">
                  <c:v>3.843846849379262E-3</c:v>
                </c:pt>
                <c:pt idx="16">
                  <c:v>3.4966587776716893E-3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13-49DA-AA6C-E341EA5EAD4E}"/>
            </c:ext>
          </c:extLst>
        </c:ser>
        <c:ser>
          <c:idx val="6"/>
          <c:order val="6"/>
          <c:tx>
            <c:strRef>
              <c:f>'q=0'!$L$156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'q=0'!$L$157:$L$173</c:f>
              <c:numCache>
                <c:formatCode>General</c:formatCode>
                <c:ptCount val="17"/>
                <c:pt idx="0">
                  <c:v>9.6648237736529623E-3</c:v>
                </c:pt>
                <c:pt idx="1">
                  <c:v>9.5511588226675943E-3</c:v>
                </c:pt>
                <c:pt idx="2">
                  <c:v>9.2910957833450217E-3</c:v>
                </c:pt>
                <c:pt idx="3">
                  <c:v>8.9259601176211682E-3</c:v>
                </c:pt>
                <c:pt idx="4">
                  <c:v>8.4900697102939706E-3</c:v>
                </c:pt>
                <c:pt idx="5">
                  <c:v>8.0109199913862283E-3</c:v>
                </c:pt>
                <c:pt idx="6">
                  <c:v>7.5098955326584468E-3</c:v>
                </c:pt>
                <c:pt idx="7">
                  <c:v>7.0031777524387365E-3</c:v>
                </c:pt>
                <c:pt idx="8">
                  <c:v>6.5026679538459035E-3</c:v>
                </c:pt>
                <c:pt idx="9">
                  <c:v>6.0168357342887122E-3</c:v>
                </c:pt>
                <c:pt idx="10">
                  <c:v>5.551455496091982E-3</c:v>
                </c:pt>
                <c:pt idx="11">
                  <c:v>5.110222800877787E-3</c:v>
                </c:pt>
                <c:pt idx="12">
                  <c:v>4.695257124921806E-3</c:v>
                </c:pt>
                <c:pt idx="13">
                  <c:v>4.307504168560297E-3</c:v>
                </c:pt>
                <c:pt idx="14">
                  <c:v>3.9470529091205717E-3</c:v>
                </c:pt>
                <c:pt idx="15">
                  <c:v>3.6133822440573074E-3</c:v>
                </c:pt>
                <c:pt idx="16">
                  <c:v>3.3055506117879098E-3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13-49DA-AA6C-E341EA5EAD4E}"/>
            </c:ext>
          </c:extLst>
        </c:ser>
        <c:ser>
          <c:idx val="7"/>
          <c:order val="7"/>
          <c:tx>
            <c:strRef>
              <c:f>'q=0'!$M$156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6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'q=0'!$M$157:$M$173</c:f>
              <c:numCache>
                <c:formatCode>General</c:formatCode>
                <c:ptCount val="17"/>
                <c:pt idx="0">
                  <c:v>9.4181612034618684E-3</c:v>
                </c:pt>
                <c:pt idx="1">
                  <c:v>9.1804486810206816E-3</c:v>
                </c:pt>
                <c:pt idx="2">
                  <c:v>8.8360199340148781E-3</c:v>
                </c:pt>
                <c:pt idx="3">
                  <c:v>8.4202822598748676E-3</c:v>
                </c:pt>
                <c:pt idx="4">
                  <c:v>7.9611175631887493E-3</c:v>
                </c:pt>
                <c:pt idx="5">
                  <c:v>7.4798853549655582E-3</c:v>
                </c:pt>
                <c:pt idx="6">
                  <c:v>6.9925367544672852E-3</c:v>
                </c:pt>
                <c:pt idx="7">
                  <c:v>6.5106709815982702E-3</c:v>
                </c:pt>
                <c:pt idx="8">
                  <c:v>6.0424626159938421E-3</c:v>
                </c:pt>
                <c:pt idx="9">
                  <c:v>5.5934392932560292E-3</c:v>
                </c:pt>
                <c:pt idx="10">
                  <c:v>5.1671149596590072E-3</c:v>
                </c:pt>
                <c:pt idx="11">
                  <c:v>4.7654949177442568E-3</c:v>
                </c:pt>
                <c:pt idx="12">
                  <c:v>4.389472398679462E-3</c:v>
                </c:pt>
                <c:pt idx="13">
                  <c:v>4.0391361037065907E-3</c:v>
                </c:pt>
                <c:pt idx="14">
                  <c:v>3.7140061659351694E-3</c:v>
                </c:pt>
                <c:pt idx="15">
                  <c:v>3.4132134114907699E-3</c:v>
                </c:pt>
                <c:pt idx="16">
                  <c:v>3.1356342078068698E-3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13-49DA-AA6C-E341EA5EAD4E}"/>
            </c:ext>
          </c:extLst>
        </c:ser>
        <c:ser>
          <c:idx val="8"/>
          <c:order val="8"/>
          <c:tx>
            <c:strRef>
              <c:f>'q=0'!$N$156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86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'q=0'!$N$157:$N$173</c:f>
              <c:numCache>
                <c:formatCode>General</c:formatCode>
                <c:ptCount val="17"/>
                <c:pt idx="0">
                  <c:v>9.1531203057101784E-3</c:v>
                </c:pt>
                <c:pt idx="1">
                  <c:v>8.8273028618729606E-3</c:v>
                </c:pt>
                <c:pt idx="2">
                  <c:v>8.4261455897775804E-3</c:v>
                </c:pt>
                <c:pt idx="3">
                  <c:v>7.9792609263713739E-3</c:v>
                </c:pt>
                <c:pt idx="4">
                  <c:v>7.5089789878269135E-3</c:v>
                </c:pt>
                <c:pt idx="5">
                  <c:v>7.0317386747435484E-3</c:v>
                </c:pt>
                <c:pt idx="6">
                  <c:v>6.5593396087650123E-3</c:v>
                </c:pt>
                <c:pt idx="7">
                  <c:v>6.0999993999436902E-3</c:v>
                </c:pt>
                <c:pt idx="8">
                  <c:v>5.6592134992071875E-3</c:v>
                </c:pt>
                <c:pt idx="9">
                  <c:v>5.2404375873382055E-3</c:v>
                </c:pt>
                <c:pt idx="10">
                  <c:v>4.8456199569113729E-3</c:v>
                </c:pt>
                <c:pt idx="11">
                  <c:v>4.4756116058880871E-3</c:v>
                </c:pt>
                <c:pt idx="12">
                  <c:v>4.1304789251975565E-3</c:v>
                </c:pt>
                <c:pt idx="13">
                  <c:v>3.8097400133804268E-3</c:v>
                </c:pt>
                <c:pt idx="14">
                  <c:v>3.512541780690544E-3</c:v>
                </c:pt>
                <c:pt idx="15">
                  <c:v>3.2377915355785258E-3</c:v>
                </c:pt>
                <c:pt idx="16">
                  <c:v>2.9842538150227291E-3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13-49DA-AA6C-E341EA5EAD4E}"/>
            </c:ext>
          </c:extLst>
        </c:ser>
        <c:ser>
          <c:idx val="9"/>
          <c:order val="9"/>
          <c:tx>
            <c:strRef>
              <c:f>'q=0'!$O$156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'q=0'!$O$157:$O$173</c:f>
              <c:numCache>
                <c:formatCode>General</c:formatCode>
                <c:ptCount val="17"/>
                <c:pt idx="0">
                  <c:v>8.8850023825808276E-3</c:v>
                </c:pt>
                <c:pt idx="1">
                  <c:v>8.4958191812492118E-3</c:v>
                </c:pt>
                <c:pt idx="2">
                  <c:v>8.0562458940864039E-3</c:v>
                </c:pt>
                <c:pt idx="3">
                  <c:v>7.59062292615101E-3</c:v>
                </c:pt>
                <c:pt idx="4">
                  <c:v>7.1165959261330763E-3</c:v>
                </c:pt>
                <c:pt idx="5">
                  <c:v>6.6466511339121548E-3</c:v>
                </c:pt>
                <c:pt idx="6">
                  <c:v>6.1893685180633333E-3</c:v>
                </c:pt>
                <c:pt idx="7">
                  <c:v>5.750412034701469E-3</c:v>
                </c:pt>
                <c:pt idx="8">
                  <c:v>5.3332961566101462E-3</c:v>
                </c:pt>
                <c:pt idx="9">
                  <c:v>4.9399708860726702E-3</c:v>
                </c:pt>
                <c:pt idx="10">
                  <c:v>4.5712636144106178E-3</c:v>
                </c:pt>
                <c:pt idx="11">
                  <c:v>4.2272100949932393E-3</c:v>
                </c:pt>
                <c:pt idx="12">
                  <c:v>3.9073005483939759E-3</c:v>
                </c:pt>
                <c:pt idx="13">
                  <c:v>3.6106613565975105E-3</c:v>
                </c:pt>
                <c:pt idx="14">
                  <c:v>3.3361881745004036E-3</c:v>
                </c:pt>
                <c:pt idx="15">
                  <c:v>3.0826425769667001E-3</c:v>
                </c:pt>
                <c:pt idx="16">
                  <c:v>2.848721453124078E-3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13-49DA-AA6C-E341EA5EAD4E}"/>
            </c:ext>
          </c:extLst>
        </c:ser>
        <c:ser>
          <c:idx val="10"/>
          <c:order val="10"/>
          <c:tx>
            <c:strRef>
              <c:f>'q=0'!$P$156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8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'q=0'!$P$157:$P$173</c:f>
              <c:numCache>
                <c:formatCode>General</c:formatCode>
                <c:ptCount val="17"/>
                <c:pt idx="0">
                  <c:v>6.7165403253841268E-3</c:v>
                </c:pt>
                <c:pt idx="1">
                  <c:v>6.1800670578926187E-3</c:v>
                </c:pt>
                <c:pt idx="2">
                  <c:v>5.6883981459589401E-3</c:v>
                </c:pt>
                <c:pt idx="3">
                  <c:v>5.2394315836600787E-3</c:v>
                </c:pt>
                <c:pt idx="4">
                  <c:v>4.8302995978265562E-3</c:v>
                </c:pt>
                <c:pt idx="5">
                  <c:v>4.4578350053947075E-3</c:v>
                </c:pt>
                <c:pt idx="6">
                  <c:v>4.1188381736987972E-3</c:v>
                </c:pt>
                <c:pt idx="7">
                  <c:v>3.8102249421828774E-3</c:v>
                </c:pt>
                <c:pt idx="8">
                  <c:v>3.5291033557682504E-3</c:v>
                </c:pt>
                <c:pt idx="9">
                  <c:v>3.272808017122434E-3</c:v>
                </c:pt>
                <c:pt idx="10">
                  <c:v>3.0389095397050079E-3</c:v>
                </c:pt>
                <c:pt idx="11">
                  <c:v>2.8252097596136601E-3</c:v>
                </c:pt>
                <c:pt idx="12">
                  <c:v>2.6297292078183562E-3</c:v>
                </c:pt>
                <c:pt idx="13">
                  <c:v>2.4506907908901717E-3</c:v>
                </c:pt>
                <c:pt idx="14">
                  <c:v>2.2865020500445546E-3</c:v>
                </c:pt>
                <c:pt idx="15">
                  <c:v>2.135737389598717E-3</c:v>
                </c:pt>
                <c:pt idx="16">
                  <c:v>1.9971210590788288E-3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13-49DA-AA6C-E341EA5EAD4E}"/>
            </c:ext>
          </c:extLst>
        </c:ser>
        <c:ser>
          <c:idx val="11"/>
          <c:order val="11"/>
          <c:tx>
            <c:strRef>
              <c:f>'q=0'!$Q$156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58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'q=0'!$Q$157:$Q$173</c:f>
              <c:numCache>
                <c:formatCode>General</c:formatCode>
                <c:ptCount val="17"/>
                <c:pt idx="0">
                  <c:v>5.3648403868242177E-3</c:v>
                </c:pt>
                <c:pt idx="1">
                  <c:v>4.8734627332123583E-3</c:v>
                </c:pt>
                <c:pt idx="2">
                  <c:v>4.441444403254966E-3</c:v>
                </c:pt>
                <c:pt idx="3">
                  <c:v>4.0600830005659075E-3</c:v>
                </c:pt>
                <c:pt idx="4">
                  <c:v>3.7221151829118729E-3</c:v>
                </c:pt>
                <c:pt idx="5">
                  <c:v>3.4214708567202783E-3</c:v>
                </c:pt>
                <c:pt idx="6">
                  <c:v>3.1530632155964871E-3</c:v>
                </c:pt>
                <c:pt idx="7">
                  <c:v>2.9126143554548539E-3</c:v>
                </c:pt>
                <c:pt idx="8">
                  <c:v>2.6965124070293198E-3</c:v>
                </c:pt>
                <c:pt idx="9">
                  <c:v>2.501695209650265E-3</c:v>
                </c:pt>
                <c:pt idx="10">
                  <c:v>2.3255557791736149E-3</c:v>
                </c:pt>
                <c:pt idx="11">
                  <c:v>2.1658654446295063E-3</c:v>
                </c:pt>
                <c:pt idx="12">
                  <c:v>2.0207112229770128E-3</c:v>
                </c:pt>
                <c:pt idx="13">
                  <c:v>1.8884446433714054E-3</c:v>
                </c:pt>
                <c:pt idx="14">
                  <c:v>1.7676397810746783E-3</c:v>
                </c:pt>
                <c:pt idx="15">
                  <c:v>1.6570587123427086E-3</c:v>
                </c:pt>
                <c:pt idx="16">
                  <c:v>1.5556229650607702E-3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13-49DA-AA6C-E341EA5EAD4E}"/>
            </c:ext>
          </c:extLst>
        </c:ser>
        <c:ser>
          <c:idx val="12"/>
          <c:order val="12"/>
          <c:tx>
            <c:strRef>
              <c:f>'q=0'!$R$156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9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'q=0'!$R$157:$R$173</c:f>
              <c:numCache>
                <c:formatCode>General</c:formatCode>
                <c:ptCount val="17"/>
                <c:pt idx="0">
                  <c:v>4.4453675897363851E-3</c:v>
                </c:pt>
                <c:pt idx="1">
                  <c:v>4.0124087076406018E-3</c:v>
                </c:pt>
                <c:pt idx="2">
                  <c:v>3.6386194436541009E-3</c:v>
                </c:pt>
                <c:pt idx="3">
                  <c:v>3.3136418379448021E-3</c:v>
                </c:pt>
                <c:pt idx="4">
                  <c:v>3.029304725418804E-3</c:v>
                </c:pt>
                <c:pt idx="5">
                  <c:v>2.7790896477325028E-3</c:v>
                </c:pt>
                <c:pt idx="6">
                  <c:v>2.5577431854549035E-3</c:v>
                </c:pt>
                <c:pt idx="7">
                  <c:v>2.3609916687893102E-3</c:v>
                </c:pt>
                <c:pt idx="8">
                  <c:v>2.1853284987025409E-3</c:v>
                </c:pt>
                <c:pt idx="9">
                  <c:v>2.0278536748316403E-3</c:v>
                </c:pt>
                <c:pt idx="10">
                  <c:v>1.8861513492504586E-3</c:v>
                </c:pt>
                <c:pt idx="11">
                  <c:v>1.7581954164242323E-3</c:v>
                </c:pt>
                <c:pt idx="12">
                  <c:v>1.642276011148893E-3</c:v>
                </c:pt>
                <c:pt idx="13">
                  <c:v>1.5369417658325788E-3</c:v>
                </c:pt>
                <c:pt idx="14">
                  <c:v>1.4409540654072789E-3</c:v>
                </c:pt>
                <c:pt idx="15">
                  <c:v>1.3532505216783844E-3</c:v>
                </c:pt>
                <c:pt idx="16">
                  <c:v>1.2729155943916081E-3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513-49DA-AA6C-E341EA5EAD4E}"/>
            </c:ext>
          </c:extLst>
        </c:ser>
        <c:ser>
          <c:idx val="13"/>
          <c:order val="13"/>
          <c:tx>
            <c:strRef>
              <c:f>'q=0'!$S$156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0000"/>
                  <a:shade val="95000"/>
                </a:schemeClr>
              </a:contourClr>
            </a:sp3d>
          </c:spPr>
          <c:cat>
            <c:numRef>
              <c:f>'q=0'!$E$157:$E$173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'q=0'!$S$157:$S$173</c:f>
              <c:numCache>
                <c:formatCode>General</c:formatCode>
                <c:ptCount val="17"/>
                <c:pt idx="0">
                  <c:v>3.7706679299040532E-3</c:v>
                </c:pt>
                <c:pt idx="1">
                  <c:v>3.3903595472959398E-3</c:v>
                </c:pt>
                <c:pt idx="2">
                  <c:v>3.0653789008987294E-3</c:v>
                </c:pt>
                <c:pt idx="3">
                  <c:v>2.7852747442533334E-3</c:v>
                </c:pt>
                <c:pt idx="4">
                  <c:v>2.5419964458934245E-3</c:v>
                </c:pt>
                <c:pt idx="5">
                  <c:v>2.3292519494929123E-3</c:v>
                </c:pt>
                <c:pt idx="6">
                  <c:v>2.1420597247192564E-3</c:v>
                </c:pt>
                <c:pt idx="7">
                  <c:v>1.9764299224360521E-3</c:v>
                </c:pt>
                <c:pt idx="8">
                  <c:v>1.8291334743538701E-3</c:v>
                </c:pt>
                <c:pt idx="9">
                  <c:v>1.697532230431444E-3</c:v>
                </c:pt>
                <c:pt idx="10">
                  <c:v>1.579452209795883E-3</c:v>
                </c:pt>
                <c:pt idx="11">
                  <c:v>1.4730877927904098E-3</c:v>
                </c:pt>
                <c:pt idx="12">
                  <c:v>1.3769284422211071E-3</c:v>
                </c:pt>
                <c:pt idx="13">
                  <c:v>1.2897020473077189E-3</c:v>
                </c:pt>
                <c:pt idx="14">
                  <c:v>1.2103306821647387E-3</c:v>
                </c:pt>
                <c:pt idx="15">
                  <c:v>1.1378957402150721E-3</c:v>
                </c:pt>
                <c:pt idx="16">
                  <c:v>1.0716102231972905E-3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513-49DA-AA6C-E341EA5EAD4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20000"/>
                    <a:shade val="95000"/>
                  </a:schemeClr>
                </a:contourClr>
              </a:sp3d>
            </c:spPr>
          </c:bandFmt>
        </c:bandFmts>
        <c:axId val="2041192576"/>
        <c:axId val="2041189696"/>
        <c:axId val="271970176"/>
      </c:surface3DChart>
      <c:catAx>
        <c:axId val="2041192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89696"/>
        <c:crosses val="autoZero"/>
        <c:auto val="1"/>
        <c:lblAlgn val="ctr"/>
        <c:lblOffset val="100"/>
        <c:noMultiLvlLbl val="0"/>
      </c:catAx>
      <c:valAx>
        <c:axId val="2041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576"/>
        <c:crosses val="autoZero"/>
        <c:crossBetween val="midCat"/>
      </c:valAx>
      <c:serAx>
        <c:axId val="2719701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896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20%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'q=0'!$F$176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39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'q=0'!$F$177:$F$193</c:f>
              <c:numCache>
                <c:formatCode>General</c:formatCode>
                <c:ptCount val="17"/>
                <c:pt idx="0">
                  <c:v>7.5719207361531471E-14</c:v>
                </c:pt>
                <c:pt idx="1">
                  <c:v>9.5374791219906021E-10</c:v>
                </c:pt>
                <c:pt idx="2">
                  <c:v>1.4305070674681113E-6</c:v>
                </c:pt>
                <c:pt idx="3">
                  <c:v>3.770139897571843E-4</c:v>
                </c:pt>
                <c:pt idx="4">
                  <c:v>2.3609588828415677E-2</c:v>
                </c:pt>
                <c:pt idx="5">
                  <c:v>0.44558558892443634</c:v>
                </c:pt>
                <c:pt idx="6">
                  <c:v>3.0644533309865176</c:v>
                </c:pt>
                <c:pt idx="7">
                  <c:v>8.9541358039279739</c:v>
                </c:pt>
                <c:pt idx="8">
                  <c:v>12.60147797002052</c:v>
                </c:pt>
                <c:pt idx="9">
                  <c:v>9.4730567005775868</c:v>
                </c:pt>
                <c:pt idx="10">
                  <c:v>4.1459744625109494</c:v>
                </c:pt>
                <c:pt idx="11">
                  <c:v>1.1355073152064601</c:v>
                </c:pt>
                <c:pt idx="12">
                  <c:v>0.20685250757256843</c:v>
                </c:pt>
                <c:pt idx="13">
                  <c:v>2.6396322770578434E-2</c:v>
                </c:pt>
                <c:pt idx="14">
                  <c:v>2.4664615253611665E-3</c:v>
                </c:pt>
                <c:pt idx="15">
                  <c:v>1.7530109023145043E-4</c:v>
                </c:pt>
                <c:pt idx="16">
                  <c:v>9.7937749170318685E-6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4-4758-8A36-B90B29224AEF}"/>
            </c:ext>
          </c:extLst>
        </c:ser>
        <c:ser>
          <c:idx val="1"/>
          <c:order val="1"/>
          <c:tx>
            <c:strRef>
              <c:f>'q=0'!$G$176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8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'q=0'!$G$177:$G$193</c:f>
              <c:numCache>
                <c:formatCode>General</c:formatCode>
                <c:ptCount val="17"/>
                <c:pt idx="0">
                  <c:v>1.2945209838663301E-6</c:v>
                </c:pt>
                <c:pt idx="1">
                  <c:v>1.4674662728048757E-4</c:v>
                </c:pt>
                <c:pt idx="2">
                  <c:v>5.7361357105493501E-3</c:v>
                </c:pt>
                <c:pt idx="3">
                  <c:v>9.3928751471449773E-2</c:v>
                </c:pt>
                <c:pt idx="4">
                  <c:v>0.74932050826936913</c:v>
                </c:pt>
                <c:pt idx="5">
                  <c:v>3.2800471961839519</c:v>
                </c:pt>
                <c:pt idx="6">
                  <c:v>8.6635119422354219</c:v>
                </c:pt>
                <c:pt idx="7">
                  <c:v>14.909546983266303</c:v>
                </c:pt>
                <c:pt idx="8">
                  <c:v>17.80114349570453</c:v>
                </c:pt>
                <c:pt idx="9">
                  <c:v>15.52854945654148</c:v>
                </c:pt>
                <c:pt idx="10">
                  <c:v>10.332955422391688</c:v>
                </c:pt>
                <c:pt idx="11">
                  <c:v>5.4377515022381848</c:v>
                </c:pt>
                <c:pt idx="12">
                  <c:v>2.3332711412433973</c:v>
                </c:pt>
                <c:pt idx="13">
                  <c:v>0.83776579671249984</c:v>
                </c:pt>
                <c:pt idx="14">
                  <c:v>0.25734589818730602</c:v>
                </c:pt>
                <c:pt idx="15">
                  <c:v>6.8932049054116401E-2</c:v>
                </c:pt>
                <c:pt idx="16">
                  <c:v>1.6367344465552196E-2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E4-4758-8A36-B90B29224AEF}"/>
            </c:ext>
          </c:extLst>
        </c:ser>
        <c:ser>
          <c:idx val="2"/>
          <c:order val="2"/>
          <c:tx>
            <c:strRef>
              <c:f>'q=0'!$H$176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58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'q=0'!$H$177:$H$193</c:f>
              <c:numCache>
                <c:formatCode>General</c:formatCode>
                <c:ptCount val="17"/>
                <c:pt idx="0">
                  <c:v>3.6360095554575553E-4</c:v>
                </c:pt>
                <c:pt idx="1">
                  <c:v>8.57356044392623E-3</c:v>
                </c:pt>
                <c:pt idx="2">
                  <c:v>9.9359820227649887E-2</c:v>
                </c:pt>
                <c:pt idx="3">
                  <c:v>0.64440735249376058</c:v>
                </c:pt>
                <c:pt idx="4">
                  <c:v>2.5866773497556825</c:v>
                </c:pt>
                <c:pt idx="5">
                  <c:v>6.9568288790958288</c:v>
                </c:pt>
                <c:pt idx="6">
                  <c:v>13.356393635672964</c:v>
                </c:pt>
                <c:pt idx="7">
                  <c:v>19.267540519079148</c:v>
                </c:pt>
                <c:pt idx="8">
                  <c:v>21.777345900985232</c:v>
                </c:pt>
                <c:pt idx="9">
                  <c:v>19.963011175668893</c:v>
                </c:pt>
                <c:pt idx="10">
                  <c:v>15.274679608962337</c:v>
                </c:pt>
                <c:pt idx="11">
                  <c:v>9.9933417595957987</c:v>
                </c:pt>
                <c:pt idx="12">
                  <c:v>5.7053408088958326</c:v>
                </c:pt>
                <c:pt idx="13">
                  <c:v>2.89199319495635</c:v>
                </c:pt>
                <c:pt idx="14">
                  <c:v>1.3209299733984308</c:v>
                </c:pt>
                <c:pt idx="15">
                  <c:v>0.55061531676659159</c:v>
                </c:pt>
                <c:pt idx="16">
                  <c:v>0.21177230646577413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E4-4758-8A36-B90B29224AEF}"/>
            </c:ext>
          </c:extLst>
        </c:ser>
        <c:ser>
          <c:idx val="3"/>
          <c:order val="3"/>
          <c:tx>
            <c:strRef>
              <c:f>'q=0'!$I$176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7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'q=0'!$I$177:$I$193</c:f>
              <c:numCache>
                <c:formatCode>General</c:formatCode>
                <c:ptCount val="17"/>
                <c:pt idx="0">
                  <c:v>6.354556411051324E-3</c:v>
                </c:pt>
                <c:pt idx="1">
                  <c:v>6.8337646766849905E-2</c:v>
                </c:pt>
                <c:pt idx="2">
                  <c:v>0.43122978474392237</c:v>
                </c:pt>
                <c:pt idx="3">
                  <c:v>1.76012583898282</c:v>
                </c:pt>
                <c:pt idx="4">
                  <c:v>5.0116628118720126</c:v>
                </c:pt>
                <c:pt idx="5">
                  <c:v>10.565235887329337</c:v>
                </c:pt>
                <c:pt idx="6">
                  <c:v>17.293746502576173</c:v>
                </c:pt>
                <c:pt idx="7">
                  <c:v>22.840702670307461</c:v>
                </c:pt>
                <c:pt idx="8">
                  <c:v>25.118039341108513</c:v>
                </c:pt>
                <c:pt idx="9">
                  <c:v>23.603472101352114</c:v>
                </c:pt>
                <c:pt idx="10">
                  <c:v>19.366366629160026</c:v>
                </c:pt>
                <c:pt idx="11">
                  <c:v>14.127284601816148</c:v>
                </c:pt>
                <c:pt idx="12">
                  <c:v>9.3034075502440565</c:v>
                </c:pt>
                <c:pt idx="13">
                  <c:v>5.6032093638267746</c:v>
                </c:pt>
                <c:pt idx="14">
                  <c:v>3.1207812645797248</c:v>
                </c:pt>
                <c:pt idx="15">
                  <c:v>1.6227966445448345</c:v>
                </c:pt>
                <c:pt idx="16">
                  <c:v>0.79435914841497801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E4-4758-8A36-B90B29224AEF}"/>
            </c:ext>
          </c:extLst>
        </c:ser>
        <c:ser>
          <c:idx val="4"/>
          <c:order val="4"/>
          <c:tx>
            <c:strRef>
              <c:f>'q=0'!$J$176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'q=0'!$J$177:$J$193</c:f>
              <c:numCache>
                <c:formatCode>General</c:formatCode>
                <c:ptCount val="17"/>
                <c:pt idx="0">
                  <c:v>3.6252613967393155E-2</c:v>
                </c:pt>
                <c:pt idx="1">
                  <c:v>0.24340934965576377</c:v>
                </c:pt>
                <c:pt idx="2">
                  <c:v>1.0665604474636938</c:v>
                </c:pt>
                <c:pt idx="3">
                  <c:v>3.2972479768503962</c:v>
                </c:pt>
                <c:pt idx="4">
                  <c:v>7.6401792301498688</c:v>
                </c:pt>
                <c:pt idx="5">
                  <c:v>13.91675164727925</c:v>
                </c:pt>
                <c:pt idx="6">
                  <c:v>20.700792345453848</c:v>
                </c:pt>
                <c:pt idx="7">
                  <c:v>25.930883920219031</c:v>
                </c:pt>
                <c:pt idx="8">
                  <c:v>28.051246304186257</c:v>
                </c:pt>
                <c:pt idx="9">
                  <c:v>26.754925856393442</c:v>
                </c:pt>
                <c:pt idx="10">
                  <c:v>22.89136689728651</c:v>
                </c:pt>
                <c:pt idx="11">
                  <c:v>17.82565184338004</c:v>
                </c:pt>
                <c:pt idx="12">
                  <c:v>12.788990708238194</c:v>
                </c:pt>
                <c:pt idx="13">
                  <c:v>8.5419800594485498</c:v>
                </c:pt>
                <c:pt idx="14">
                  <c:v>5.3588475727461455</c:v>
                </c:pt>
                <c:pt idx="15">
                  <c:v>3.1819367439192567</c:v>
                </c:pt>
                <c:pt idx="16">
                  <c:v>1.8000455519786447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E4-4758-8A36-B90B29224AEF}"/>
            </c:ext>
          </c:extLst>
        </c:ser>
        <c:ser>
          <c:idx val="5"/>
          <c:order val="5"/>
          <c:tx>
            <c:strRef>
              <c:f>'q=0'!$K$176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86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'q=0'!$K$177:$K$193</c:f>
              <c:numCache>
                <c:formatCode>General</c:formatCode>
                <c:ptCount val="17"/>
                <c:pt idx="0">
                  <c:v>0.11766116464443557</c:v>
                </c:pt>
                <c:pt idx="1">
                  <c:v>0.57709392847973573</c:v>
                </c:pt>
                <c:pt idx="2">
                  <c:v>1.9828706392671893</c:v>
                </c:pt>
                <c:pt idx="3">
                  <c:v>5.0934802908825043</c:v>
                </c:pt>
                <c:pt idx="4">
                  <c:v>10.287482444006045</c:v>
                </c:pt>
                <c:pt idx="5">
                  <c:v>16.99944547238977</c:v>
                </c:pt>
                <c:pt idx="6">
                  <c:v>23.723384471393921</c:v>
                </c:pt>
                <c:pt idx="7">
                  <c:v>28.686682039024305</c:v>
                </c:pt>
                <c:pt idx="8">
                  <c:v>30.69405049619952</c:v>
                </c:pt>
                <c:pt idx="9">
                  <c:v>29.567419013929417</c:v>
                </c:pt>
                <c:pt idx="10">
                  <c:v>26.014283512817954</c:v>
                </c:pt>
                <c:pt idx="11">
                  <c:v>21.158960540408664</c:v>
                </c:pt>
                <c:pt idx="12">
                  <c:v>16.07274965988492</c:v>
                </c:pt>
                <c:pt idx="13">
                  <c:v>11.501755031066587</c:v>
                </c:pt>
                <c:pt idx="14">
                  <c:v>7.8115019427058492</c:v>
                </c:pt>
                <c:pt idx="15">
                  <c:v>5.0671947233936798</c:v>
                </c:pt>
                <c:pt idx="16">
                  <c:v>3.1568381504252203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E4-4758-8A36-B90B29224AEF}"/>
            </c:ext>
          </c:extLst>
        </c:ser>
        <c:ser>
          <c:idx val="6"/>
          <c:order val="6"/>
          <c:tx>
            <c:strRef>
              <c:f>'q=0'!$L$176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'q=0'!$L$177:$L$193</c:f>
              <c:numCache>
                <c:formatCode>General</c:formatCode>
                <c:ptCount val="17"/>
                <c:pt idx="0">
                  <c:v>0.27599282724645069</c:v>
                </c:pt>
                <c:pt idx="1">
                  <c:v>1.0816670734477618</c:v>
                </c:pt>
                <c:pt idx="2">
                  <c:v>3.1240118425491601</c:v>
                </c:pt>
                <c:pt idx="3">
                  <c:v>7.0302629740001565</c:v>
                </c:pt>
                <c:pt idx="4">
                  <c:v>12.872223646374943</c:v>
                </c:pt>
                <c:pt idx="5">
                  <c:v>19.84077978526323</c:v>
                </c:pt>
                <c:pt idx="6">
                  <c:v>26.455122246358705</c:v>
                </c:pt>
                <c:pt idx="7">
                  <c:v>31.193622839956397</c:v>
                </c:pt>
                <c:pt idx="8">
                  <c:v>33.116087146110289</c:v>
                </c:pt>
                <c:pt idx="9">
                  <c:v>32.127364650068394</c:v>
                </c:pt>
                <c:pt idx="10">
                  <c:v>28.836210247206257</c:v>
                </c:pt>
                <c:pt idx="11">
                  <c:v>24.195071188978151</c:v>
                </c:pt>
                <c:pt idx="12">
                  <c:v>19.144349454685667</c:v>
                </c:pt>
                <c:pt idx="13">
                  <c:v>14.391583547437294</c:v>
                </c:pt>
                <c:pt idx="14">
                  <c:v>10.344072895213412</c:v>
                </c:pt>
                <c:pt idx="15">
                  <c:v>7.1476357882319848</c:v>
                </c:pt>
                <c:pt idx="16">
                  <c:v>4.7705729750376964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E4-4758-8A36-B90B29224AEF}"/>
            </c:ext>
          </c:extLst>
        </c:ser>
        <c:ser>
          <c:idx val="7"/>
          <c:order val="7"/>
          <c:tx>
            <c:strRef>
              <c:f>'q=0'!$M$176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6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'q=0'!$M$177:$M$193</c:f>
              <c:numCache>
                <c:formatCode>General</c:formatCode>
                <c:ptCount val="17"/>
                <c:pt idx="0">
                  <c:v>0.52767323580423287</c:v>
                </c:pt>
                <c:pt idx="1">
                  <c:v>1.747824087361423</c:v>
                </c:pt>
                <c:pt idx="2">
                  <c:v>4.4314430319658937</c:v>
                </c:pt>
                <c:pt idx="3">
                  <c:v>9.0304222542602286</c:v>
                </c:pt>
                <c:pt idx="4">
                  <c:v>15.36139692301162</c:v>
                </c:pt>
                <c:pt idx="5">
                  <c:v>22.473489195639598</c:v>
                </c:pt>
                <c:pt idx="6">
                  <c:v>28.958655791598932</c:v>
                </c:pt>
                <c:pt idx="7">
                  <c:v>33.506087760385839</c:v>
                </c:pt>
                <c:pt idx="8">
                  <c:v>35.362780796997576</c:v>
                </c:pt>
                <c:pt idx="9">
                  <c:v>34.489758203526321</c:v>
                </c:pt>
                <c:pt idx="10">
                  <c:v>31.423293448931329</c:v>
                </c:pt>
                <c:pt idx="11">
                  <c:v>26.987963743602148</c:v>
                </c:pt>
                <c:pt idx="12">
                  <c:v>22.017713675499852</c:v>
                </c:pt>
                <c:pt idx="13">
                  <c:v>17.174563874605031</c:v>
                </c:pt>
                <c:pt idx="14">
                  <c:v>12.880363658795954</c:v>
                </c:pt>
                <c:pt idx="15">
                  <c:v>9.3320554875542943</c:v>
                </c:pt>
                <c:pt idx="16">
                  <c:v>6.5588544899120951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E4-4758-8A36-B90B29224AEF}"/>
            </c:ext>
          </c:extLst>
        </c:ser>
        <c:ser>
          <c:idx val="8"/>
          <c:order val="8"/>
          <c:tx>
            <c:strRef>
              <c:f>'q=0'!$N$176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86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'q=0'!$N$177:$N$193</c:f>
              <c:numCache>
                <c:formatCode>General</c:formatCode>
                <c:ptCount val="17"/>
                <c:pt idx="0">
                  <c:v>0.87942603690305721</c:v>
                </c:pt>
                <c:pt idx="1">
                  <c:v>2.5556717355709924</c:v>
                </c:pt>
                <c:pt idx="2">
                  <c:v>5.855343505406033</c:v>
                </c:pt>
                <c:pt idx="3">
                  <c:v>11.045773801093519</c:v>
                </c:pt>
                <c:pt idx="4">
                  <c:v>17.74440836712964</c:v>
                </c:pt>
                <c:pt idx="5">
                  <c:v>24.927154208382692</c:v>
                </c:pt>
                <c:pt idx="6">
                  <c:v>31.27778048750498</c:v>
                </c:pt>
                <c:pt idx="7">
                  <c:v>35.661132714949467</c:v>
                </c:pt>
                <c:pt idx="8">
                  <c:v>37.465720501521851</c:v>
                </c:pt>
                <c:pt idx="9">
                  <c:v>36.692108772311308</c:v>
                </c:pt>
                <c:pt idx="10">
                  <c:v>33.821167077407694</c:v>
                </c:pt>
                <c:pt idx="11">
                  <c:v>29.579147918734407</c:v>
                </c:pt>
                <c:pt idx="12">
                  <c:v>24.712869597243461</c:v>
                </c:pt>
                <c:pt idx="13">
                  <c:v>19.838851664708947</c:v>
                </c:pt>
                <c:pt idx="14">
                  <c:v>15.378580943041786</c:v>
                </c:pt>
                <c:pt idx="15">
                  <c:v>11.560345928134989</c:v>
                </c:pt>
                <c:pt idx="16">
                  <c:v>8.4581782621465393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E4-4758-8A36-B90B29224AEF}"/>
            </c:ext>
          </c:extLst>
        </c:ser>
        <c:ser>
          <c:idx val="9"/>
          <c:order val="9"/>
          <c:tx>
            <c:strRef>
              <c:f>'q=0'!$O$176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'q=0'!$O$177:$O$193</c:f>
              <c:numCache>
                <c:formatCode>General</c:formatCode>
                <c:ptCount val="17"/>
                <c:pt idx="0">
                  <c:v>1.3304138019690321</c:v>
                </c:pt>
                <c:pt idx="1">
                  <c:v>3.4820176623168373</c:v>
                </c:pt>
                <c:pt idx="2">
                  <c:v>7.3566173019582468</c:v>
                </c:pt>
                <c:pt idx="3">
                  <c:v>13.046879019121693</c:v>
                </c:pt>
                <c:pt idx="4">
                  <c:v>20.021019742744606</c:v>
                </c:pt>
                <c:pt idx="5">
                  <c:v>27.226666793458271</c:v>
                </c:pt>
                <c:pt idx="6">
                  <c:v>33.444289202725919</c:v>
                </c:pt>
                <c:pt idx="7">
                  <c:v>37.685326590063859</c:v>
                </c:pt>
                <c:pt idx="8">
                  <c:v>39.447933090788894</c:v>
                </c:pt>
                <c:pt idx="9">
                  <c:v>38.761333572648297</c:v>
                </c:pt>
                <c:pt idx="10">
                  <c:v>36.062690186445991</c:v>
                </c:pt>
                <c:pt idx="11">
                  <c:v>32.000599329500922</c:v>
                </c:pt>
                <c:pt idx="12">
                  <c:v>27.249840451049845</c:v>
                </c:pt>
                <c:pt idx="13">
                  <c:v>22.384180561821136</c:v>
                </c:pt>
                <c:pt idx="14">
                  <c:v>17.816680549913187</c:v>
                </c:pt>
                <c:pt idx="15">
                  <c:v>13.793855243276576</c:v>
                </c:pt>
                <c:pt idx="16">
                  <c:v>10.422116521119738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E4-4758-8A36-B90B29224AEF}"/>
            </c:ext>
          </c:extLst>
        </c:ser>
        <c:ser>
          <c:idx val="10"/>
          <c:order val="10"/>
          <c:tx>
            <c:strRef>
              <c:f>'q=0'!$P$176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8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'q=0'!$P$177:$P$193</c:f>
              <c:numCache>
                <c:formatCode>General</c:formatCode>
                <c:ptCount val="17"/>
                <c:pt idx="0">
                  <c:v>9.5039378692490786</c:v>
                </c:pt>
                <c:pt idx="1">
                  <c:v>15.529982480581037</c:v>
                </c:pt>
                <c:pt idx="2">
                  <c:v>22.783353493544929</c:v>
                </c:pt>
                <c:pt idx="3">
                  <c:v>30.603936130050933</c:v>
                </c:pt>
                <c:pt idx="4">
                  <c:v>38.218237653015329</c:v>
                </c:pt>
                <c:pt idx="5">
                  <c:v>44.907193585775431</c:v>
                </c:pt>
                <c:pt idx="6">
                  <c:v>50.128257699490845</c:v>
                </c:pt>
                <c:pt idx="7">
                  <c:v>53.572622142458144</c:v>
                </c:pt>
                <c:pt idx="8">
                  <c:v>55.163706332541196</c:v>
                </c:pt>
                <c:pt idx="9">
                  <c:v>55.016040235427909</c:v>
                </c:pt>
                <c:pt idx="10">
                  <c:v>53.375807389774842</c:v>
                </c:pt>
                <c:pt idx="11">
                  <c:v>50.560061959578547</c:v>
                </c:pt>
                <c:pt idx="12">
                  <c:v>46.905195347320522</c:v>
                </c:pt>
                <c:pt idx="13">
                  <c:v>42.729288686192149</c:v>
                </c:pt>
                <c:pt idx="14">
                  <c:v>38.308718744736652</c:v>
                </c:pt>
                <c:pt idx="15">
                  <c:v>33.866932678137182</c:v>
                </c:pt>
                <c:pt idx="16">
                  <c:v>29.572311895113685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E4-4758-8A36-B90B29224AEF}"/>
            </c:ext>
          </c:extLst>
        </c:ser>
        <c:ser>
          <c:idx val="11"/>
          <c:order val="11"/>
          <c:tx>
            <c:strRef>
              <c:f>'q=0'!$Q$176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58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'q=0'!$Q$177:$Q$193</c:f>
              <c:numCache>
                <c:formatCode>General</c:formatCode>
                <c:ptCount val="17"/>
                <c:pt idx="0">
                  <c:v>19.822539521715424</c:v>
                </c:pt>
                <c:pt idx="1">
                  <c:v>27.684353502761887</c:v>
                </c:pt>
                <c:pt idx="2">
                  <c:v>35.965069029119611</c:v>
                </c:pt>
                <c:pt idx="3">
                  <c:v>44.036986538728897</c:v>
                </c:pt>
                <c:pt idx="4">
                  <c:v>51.343117209127108</c:v>
                </c:pt>
                <c:pt idx="5">
                  <c:v>57.460996039653594</c:v>
                </c:pt>
                <c:pt idx="6">
                  <c:v>62.127838620556737</c:v>
                </c:pt>
                <c:pt idx="7">
                  <c:v>65.235380338435675</c:v>
                </c:pt>
                <c:pt idx="8">
                  <c:v>66.805659306916709</c:v>
                </c:pt>
                <c:pt idx="9">
                  <c:v>66.958074580380099</c:v>
                </c:pt>
                <c:pt idx="10">
                  <c:v>65.875408995911101</c:v>
                </c:pt>
                <c:pt idx="11">
                  <c:v>63.773587385453709</c:v>
                </c:pt>
                <c:pt idx="12">
                  <c:v>60.877484538879074</c:v>
                </c:pt>
                <c:pt idx="13">
                  <c:v>57.403350128173741</c:v>
                </c:pt>
                <c:pt idx="14">
                  <c:v>53.547351271025079</c:v>
                </c:pt>
                <c:pt idx="15">
                  <c:v>49.479201943433772</c:v>
                </c:pt>
                <c:pt idx="16">
                  <c:v>45.339683503257284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E4-4758-8A36-B90B29224AEF}"/>
            </c:ext>
          </c:extLst>
        </c:ser>
        <c:ser>
          <c:idx val="12"/>
          <c:order val="12"/>
          <c:tx>
            <c:strRef>
              <c:f>'q=0'!$R$176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9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'q=0'!$R$177:$R$193</c:f>
              <c:numCache>
                <c:formatCode>General</c:formatCode>
                <c:ptCount val="17"/>
                <c:pt idx="0">
                  <c:v>29.702348640212861</c:v>
                </c:pt>
                <c:pt idx="1">
                  <c:v>38.350386340459217</c:v>
                </c:pt>
                <c:pt idx="2">
                  <c:v>46.883083785060734</c:v>
                </c:pt>
                <c:pt idx="3">
                  <c:v>54.807676647351542</c:v>
                </c:pt>
                <c:pt idx="4">
                  <c:v>61.743560179207321</c:v>
                </c:pt>
                <c:pt idx="5">
                  <c:v>67.4381137049225</c:v>
                </c:pt>
                <c:pt idx="6">
                  <c:v>71.761533320686937</c:v>
                </c:pt>
                <c:pt idx="7">
                  <c:v>74.689059955632018</c:v>
                </c:pt>
                <c:pt idx="8">
                  <c:v>76.277563092104813</c:v>
                </c:pt>
                <c:pt idx="9">
                  <c:v>76.641397953105823</c:v>
                </c:pt>
                <c:pt idx="10">
                  <c:v>75.930525448770609</c:v>
                </c:pt>
                <c:pt idx="11">
                  <c:v>74.312371276717002</c:v>
                </c:pt>
                <c:pt idx="12">
                  <c:v>71.957857026067117</c:v>
                </c:pt>
                <c:pt idx="13">
                  <c:v>69.031398866778304</c:v>
                </c:pt>
                <c:pt idx="14">
                  <c:v>65.684337427013233</c:v>
                </c:pt>
                <c:pt idx="15">
                  <c:v>62.051137062691957</c:v>
                </c:pt>
                <c:pt idx="16">
                  <c:v>58.247693709726136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E4-4758-8A36-B90B29224AEF}"/>
            </c:ext>
          </c:extLst>
        </c:ser>
        <c:ser>
          <c:idx val="13"/>
          <c:order val="13"/>
          <c:tx>
            <c:strRef>
              <c:f>'q=0'!$S$176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0000"/>
                  <a:shade val="95000"/>
                </a:schemeClr>
              </a:contourClr>
            </a:sp3d>
          </c:spPr>
          <c:cat>
            <c:numRef>
              <c:f>'q=0'!$E$177:$E$193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'q=0'!$S$177:$S$193</c:f>
              <c:numCache>
                <c:formatCode>General</c:formatCode>
                <c:ptCount val="17"/>
                <c:pt idx="0">
                  <c:v>38.653493471867854</c:v>
                </c:pt>
                <c:pt idx="1">
                  <c:v>47.611297617669926</c:v>
                </c:pt>
                <c:pt idx="2">
                  <c:v>56.119836056730875</c:v>
                </c:pt>
                <c:pt idx="3">
                  <c:v>63.807941266216027</c:v>
                </c:pt>
                <c:pt idx="4">
                  <c:v>70.416816821210716</c:v>
                </c:pt>
                <c:pt idx="5">
                  <c:v>75.795571731518351</c:v>
                </c:pt>
                <c:pt idx="6">
                  <c:v>79.886620400360513</c:v>
                </c:pt>
                <c:pt idx="7">
                  <c:v>82.706631007195014</c:v>
                </c:pt>
                <c:pt idx="8">
                  <c:v>84.326874401380636</c:v>
                </c:pt>
                <c:pt idx="9">
                  <c:v>84.855257304543272</c:v>
                </c:pt>
                <c:pt idx="10">
                  <c:v>84.421159741338542</c:v>
                </c:pt>
                <c:pt idx="11">
                  <c:v>83.163420463033972</c:v>
                </c:pt>
                <c:pt idx="12">
                  <c:v>81.221348325030689</c:v>
                </c:pt>
                <c:pt idx="13">
                  <c:v>78.728394585688903</c:v>
                </c:pt>
                <c:pt idx="14">
                  <c:v>75.808024938338079</c:v>
                </c:pt>
                <c:pt idx="15">
                  <c:v>72.571322803396555</c:v>
                </c:pt>
                <c:pt idx="16">
                  <c:v>69.115896371880396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E4-4758-8A36-B90B29224AEF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</c:bandFmts>
        <c:axId val="2049537328"/>
        <c:axId val="2049534928"/>
        <c:axId val="472652656"/>
      </c:surface3DChart>
      <c:catAx>
        <c:axId val="20495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  <c:auto val="1"/>
        <c:lblAlgn val="ctr"/>
        <c:lblOffset val="100"/>
        <c:noMultiLvlLbl val="0"/>
      </c:catAx>
      <c:valAx>
        <c:axId val="204953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7328"/>
        <c:crosses val="autoZero"/>
        <c:crossBetween val="midCat"/>
      </c:valAx>
      <c:serAx>
        <c:axId val="4726526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'q=0'!$F$195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39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'q=0'!$F$196:$F$212</c:f>
              <c:numCache>
                <c:formatCode>General</c:formatCode>
                <c:ptCount val="17"/>
                <c:pt idx="0">
                  <c:v>1.6758285024227175E-225</c:v>
                </c:pt>
                <c:pt idx="1">
                  <c:v>3.6910883022247379E-160</c:v>
                </c:pt>
                <c:pt idx="2">
                  <c:v>1.3889027251453938E-109</c:v>
                </c:pt>
                <c:pt idx="3">
                  <c:v>4.4856665054077815E-71</c:v>
                </c:pt>
                <c:pt idx="4">
                  <c:v>1.5463467374724984E-42</c:v>
                </c:pt>
                <c:pt idx="5">
                  <c:v>2.542864661968201E-22</c:v>
                </c:pt>
                <c:pt idx="6">
                  <c:v>4.1485504275927693E-9</c:v>
                </c:pt>
                <c:pt idx="7">
                  <c:v>7.8076222991990796E-2</c:v>
                </c:pt>
                <c:pt idx="8">
                  <c:v>12.583769595744091</c:v>
                </c:pt>
                <c:pt idx="9">
                  <c:v>9.0779847878896092E-2</c:v>
                </c:pt>
                <c:pt idx="10">
                  <c:v>1.1605071748502548E-7</c:v>
                </c:pt>
                <c:pt idx="11">
                  <c:v>8.3343586440516167E-17</c:v>
                </c:pt>
                <c:pt idx="12">
                  <c:v>8.9080018831279969E-29</c:v>
                </c:pt>
                <c:pt idx="13">
                  <c:v>3.2429241531838134E-43</c:v>
                </c:pt>
                <c:pt idx="14">
                  <c:v>8.1598351874678694E-60</c:v>
                </c:pt>
                <c:pt idx="15">
                  <c:v>2.6068594388526021E-78</c:v>
                </c:pt>
                <c:pt idx="16">
                  <c:v>1.7877576190838229E-98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C-4BBF-950F-8008CF4F2C8A}"/>
            </c:ext>
          </c:extLst>
        </c:ser>
        <c:ser>
          <c:idx val="1"/>
          <c:order val="1"/>
          <c:tx>
            <c:strRef>
              <c:f>'q=0'!$G$195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8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'q=0'!$G$196:$G$212</c:f>
              <c:numCache>
                <c:formatCode>General</c:formatCode>
                <c:ptCount val="17"/>
                <c:pt idx="0">
                  <c:v>5.0080789535908853E-112</c:v>
                </c:pt>
                <c:pt idx="1">
                  <c:v>2.0431484016888389E-79</c:v>
                </c:pt>
                <c:pt idx="2">
                  <c:v>3.4812516140435754E-54</c:v>
                </c:pt>
                <c:pt idx="3">
                  <c:v>5.5446910078570444E-35</c:v>
                </c:pt>
                <c:pt idx="4">
                  <c:v>9.1953239259466592E-21</c:v>
                </c:pt>
                <c:pt idx="5">
                  <c:v>1.0604728935673611E-10</c:v>
                </c:pt>
                <c:pt idx="6">
                  <c:v>3.875652802050222E-4</c:v>
                </c:pt>
                <c:pt idx="7">
                  <c:v>1.5295516875513984</c:v>
                </c:pt>
                <c:pt idx="8">
                  <c:v>17.751148118577877</c:v>
                </c:pt>
                <c:pt idx="9">
                  <c:v>1.3843137123646259</c:v>
                </c:pt>
                <c:pt idx="10">
                  <c:v>1.4428054853244728E-3</c:v>
                </c:pt>
                <c:pt idx="11">
                  <c:v>3.5771400260211815E-8</c:v>
                </c:pt>
                <c:pt idx="12">
                  <c:v>3.4327647221119464E-14</c:v>
                </c:pt>
                <c:pt idx="13">
                  <c:v>1.9283991961946362E-21</c:v>
                </c:pt>
                <c:pt idx="14">
                  <c:v>9.0315209945902246E-30</c:v>
                </c:pt>
                <c:pt idx="15">
                  <c:v>4.7785461139436766E-39</c:v>
                </c:pt>
                <c:pt idx="16">
                  <c:v>3.7132255085658019E-49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AC-4BBF-950F-8008CF4F2C8A}"/>
            </c:ext>
          </c:extLst>
        </c:ser>
        <c:ser>
          <c:idx val="2"/>
          <c:order val="2"/>
          <c:tx>
            <c:strRef>
              <c:f>'q=0'!$H$195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58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'q=0'!$H$196:$H$212</c:f>
              <c:numCache>
                <c:formatCode>General</c:formatCode>
                <c:ptCount val="17"/>
                <c:pt idx="0">
                  <c:v>3.6471989721026085E-74</c:v>
                </c:pt>
                <c:pt idx="1">
                  <c:v>1.8273545951070782E-52</c:v>
                </c:pt>
                <c:pt idx="2">
                  <c:v>1.1097650246374005E-35</c:v>
                </c:pt>
                <c:pt idx="3">
                  <c:v>6.4818935766595219E-23</c:v>
                </c:pt>
                <c:pt idx="4">
                  <c:v>1.8146582241494638E-13</c:v>
                </c:pt>
                <c:pt idx="5">
                  <c:v>8.6304367148573047E-7</c:v>
                </c:pt>
                <c:pt idx="6">
                  <c:v>1.9155880507848232E-2</c:v>
                </c:pt>
                <c:pt idx="7">
                  <c:v>4.491454830130003</c:v>
                </c:pt>
                <c:pt idx="8">
                  <c:v>21.685666245713325</c:v>
                </c:pt>
                <c:pt idx="9">
                  <c:v>3.739302809863184</c:v>
                </c:pt>
                <c:pt idx="10">
                  <c:v>3.6408450370398845E-2</c:v>
                </c:pt>
                <c:pt idx="11">
                  <c:v>2.9392167754754243E-5</c:v>
                </c:pt>
                <c:pt idx="12">
                  <c:v>2.7210699699800464E-9</c:v>
                </c:pt>
                <c:pt idx="13">
                  <c:v>3.80561412409142E-14</c:v>
                </c:pt>
                <c:pt idx="14">
                  <c:v>1.0176423146099769E-19</c:v>
                </c:pt>
                <c:pt idx="15">
                  <c:v>6.370344639803828E-26</c:v>
                </c:pt>
                <c:pt idx="16">
                  <c:v>1.1118340736315355E-32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AC-4BBF-950F-8008CF4F2C8A}"/>
            </c:ext>
          </c:extLst>
        </c:ser>
        <c:ser>
          <c:idx val="3"/>
          <c:order val="3"/>
          <c:tx>
            <c:strRef>
              <c:f>'q=0'!$I$195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7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'q=0'!$I$196:$I$212</c:f>
              <c:numCache>
                <c:formatCode>General</c:formatCode>
                <c:ptCount val="17"/>
                <c:pt idx="0">
                  <c:v>3.243399917098495E-55</c:v>
                </c:pt>
                <c:pt idx="1">
                  <c:v>5.6948355562841784E-39</c:v>
                </c:pt>
                <c:pt idx="2">
                  <c:v>2.0647893089183854E-26</c:v>
                </c:pt>
                <c:pt idx="3">
                  <c:v>7.3031642726999336E-17</c:v>
                </c:pt>
                <c:pt idx="4">
                  <c:v>8.4005098448923495E-10</c:v>
                </c:pt>
                <c:pt idx="5">
                  <c:v>8.1132764072720318E-5</c:v>
                </c:pt>
                <c:pt idx="6">
                  <c:v>0.14033876374550142</c:v>
                </c:pt>
                <c:pt idx="7">
                  <c:v>8.0203879428807294</c:v>
                </c:pt>
                <c:pt idx="8">
                  <c:v>24.977147001014572</c:v>
                </c:pt>
                <c:pt idx="9">
                  <c:v>6.4042104214703297</c:v>
                </c:pt>
                <c:pt idx="10">
                  <c:v>0.19058832765640238</c:v>
                </c:pt>
                <c:pt idx="11">
                  <c:v>8.7796328686734764E-4</c:v>
                </c:pt>
                <c:pt idx="12">
                  <c:v>7.9833366699794244E-7</c:v>
                </c:pt>
                <c:pt idx="13">
                  <c:v>1.7617146022235449E-10</c:v>
                </c:pt>
                <c:pt idx="14">
                  <c:v>1.1256650632768226E-14</c:v>
                </c:pt>
                <c:pt idx="15">
                  <c:v>2.4237811397899738E-19</c:v>
                </c:pt>
                <c:pt idx="16">
                  <c:v>2.0048468666146725E-24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AC-4BBF-950F-8008CF4F2C8A}"/>
            </c:ext>
          </c:extLst>
        </c:ser>
        <c:ser>
          <c:idx val="4"/>
          <c:order val="4"/>
          <c:tx>
            <c:strRef>
              <c:f>'q=0'!$J$195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'q=0'!$J$196:$J$212</c:f>
              <c:numCache>
                <c:formatCode>General</c:formatCode>
                <c:ptCount val="17"/>
                <c:pt idx="0">
                  <c:v>7.7796272758718338E-44</c:v>
                </c:pt>
                <c:pt idx="1">
                  <c:v>7.281315764758989E-31</c:v>
                </c:pt>
                <c:pt idx="2">
                  <c:v>7.7125187140437827E-21</c:v>
                </c:pt>
                <c:pt idx="3">
                  <c:v>3.1998545349573048E-13</c:v>
                </c:pt>
                <c:pt idx="4">
                  <c:v>1.3619017871160354E-7</c:v>
                </c:pt>
                <c:pt idx="5">
                  <c:v>1.269486345996779E-3</c:v>
                </c:pt>
                <c:pt idx="6">
                  <c:v>0.47493767856929103</c:v>
                </c:pt>
                <c:pt idx="7">
                  <c:v>11.636276737342145</c:v>
                </c:pt>
                <c:pt idx="8">
                  <c:v>27.854702761735147</c:v>
                </c:pt>
                <c:pt idx="9">
                  <c:v>9.0615862729007937</c:v>
                </c:pt>
                <c:pt idx="10">
                  <c:v>0.52718910249272966</c:v>
                </c:pt>
                <c:pt idx="11">
                  <c:v>6.904891535181347E-3</c:v>
                </c:pt>
                <c:pt idx="12">
                  <c:v>2.4727769737659739E-5</c:v>
                </c:pt>
                <c:pt idx="13">
                  <c:v>2.856115056653951E-8</c:v>
                </c:pt>
                <c:pt idx="14">
                  <c:v>1.2252684979437271E-11</c:v>
                </c:pt>
                <c:pt idx="15">
                  <c:v>2.2040698208149509E-15</c:v>
                </c:pt>
                <c:pt idx="16">
                  <c:v>1.846033612980739E-19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AC-4BBF-950F-8008CF4F2C8A}"/>
            </c:ext>
          </c:extLst>
        </c:ser>
        <c:ser>
          <c:idx val="5"/>
          <c:order val="5"/>
          <c:tx>
            <c:strRef>
              <c:f>'q=0'!$K$195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86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'q=0'!$K$196:$K$212</c:f>
              <c:numCache>
                <c:formatCode>General</c:formatCode>
                <c:ptCount val="17"/>
                <c:pt idx="0">
                  <c:v>3.0515360086045999E-36</c:v>
                </c:pt>
                <c:pt idx="1">
                  <c:v>1.8776580327831571E-25</c:v>
                </c:pt>
                <c:pt idx="2">
                  <c:v>4.0644090110118705E-17</c:v>
                </c:pt>
                <c:pt idx="3">
                  <c:v>8.7055696809093667E-11</c:v>
                </c:pt>
                <c:pt idx="4">
                  <c:v>4.1142758098627221E-6</c:v>
                </c:pt>
                <c:pt idx="5">
                  <c:v>8.0693160357619559E-3</c:v>
                </c:pt>
                <c:pt idx="6">
                  <c:v>1.0877525923178075</c:v>
                </c:pt>
                <c:pt idx="7">
                  <c:v>15.152373528230443</c:v>
                </c:pt>
                <c:pt idx="8">
                  <c:v>30.436158955047052</c:v>
                </c:pt>
                <c:pt idx="9">
                  <c:v>11.604261404181489</c:v>
                </c:pt>
                <c:pt idx="10">
                  <c:v>1.055522164151004</c:v>
                </c:pt>
                <c:pt idx="11">
                  <c:v>2.7745850831021743E-2</c:v>
                </c:pt>
                <c:pt idx="12">
                  <c:v>2.4780275645177387E-4</c:v>
                </c:pt>
                <c:pt idx="13">
                  <c:v>8.6282617432051758E-7</c:v>
                </c:pt>
                <c:pt idx="14">
                  <c:v>1.3173469517374212E-9</c:v>
                </c:pt>
                <c:pt idx="15">
                  <c:v>9.7566523011236604E-13</c:v>
                </c:pt>
                <c:pt idx="16">
                  <c:v>3.824717703966796E-16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AC-4BBF-950F-8008CF4F2C8A}"/>
            </c:ext>
          </c:extLst>
        </c:ser>
        <c:ser>
          <c:idx val="6"/>
          <c:order val="6"/>
          <c:tx>
            <c:strRef>
              <c:f>'q=0'!$L$195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'q=0'!$L$196:$L$212</c:f>
              <c:numCache>
                <c:formatCode>General</c:formatCode>
                <c:ptCount val="17"/>
                <c:pt idx="0">
                  <c:v>8.1916240049173676E-31</c:v>
                </c:pt>
                <c:pt idx="1">
                  <c:v>1.3924744749363558E-21</c:v>
                </c:pt>
                <c:pt idx="2">
                  <c:v>1.8720054399945065E-14</c:v>
                </c:pt>
                <c:pt idx="3">
                  <c:v>4.8275337111327862E-9</c:v>
                </c:pt>
                <c:pt idx="4">
                  <c:v>4.7470301194505783E-5</c:v>
                </c:pt>
                <c:pt idx="5">
                  <c:v>3.0580001955184455E-2</c:v>
                </c:pt>
                <c:pt idx="6">
                  <c:v>1.9882784452336804</c:v>
                </c:pt>
                <c:pt idx="7">
                  <c:v>18.504003054306274</c:v>
                </c:pt>
                <c:pt idx="8">
                  <c:v>32.791699876266655</c:v>
                </c:pt>
                <c:pt idx="9">
                  <c:v>14.003015218411743</c:v>
                </c:pt>
                <c:pt idx="10">
                  <c:v>1.7526914040661699</c:v>
                </c:pt>
                <c:pt idx="11">
                  <c:v>7.5776811550986659E-2</c:v>
                </c:pt>
                <c:pt idx="12">
                  <c:v>1.2999604123168618E-3</c:v>
                </c:pt>
                <c:pt idx="13">
                  <c:v>9.9552437090659424E-6</c:v>
                </c:pt>
                <c:pt idx="14">
                  <c:v>3.7638272109399166E-8</c:v>
                </c:pt>
                <c:pt idx="15">
                  <c:v>7.6601104748179995E-11</c:v>
                </c:pt>
                <c:pt idx="16">
                  <c:v>9.0429075730335159E-14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AC-4BBF-950F-8008CF4F2C8A}"/>
            </c:ext>
          </c:extLst>
        </c:ser>
        <c:ser>
          <c:idx val="7"/>
          <c:order val="7"/>
          <c:tx>
            <c:strRef>
              <c:f>'q=0'!$M$195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6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'q=0'!$M$196:$M$212</c:f>
              <c:numCache>
                <c:formatCode>General</c:formatCode>
                <c:ptCount val="17"/>
                <c:pt idx="0">
                  <c:v>9.741475522216334E-27</c:v>
                </c:pt>
                <c:pt idx="1">
                  <c:v>1.1220995829990245E-18</c:v>
                </c:pt>
                <c:pt idx="2">
                  <c:v>1.8767459292303803E-12</c:v>
                </c:pt>
                <c:pt idx="3">
                  <c:v>9.8920773801048045E-8</c:v>
                </c:pt>
                <c:pt idx="4">
                  <c:v>2.9966396836252204E-4</c:v>
                </c:pt>
                <c:pt idx="5">
                  <c:v>8.3753737625620578E-2</c:v>
                </c:pt>
                <c:pt idx="6">
                  <c:v>3.1517634355565787</c:v>
                </c:pt>
                <c:pt idx="7">
                  <c:v>21.675571632215441</c:v>
                </c:pt>
                <c:pt idx="8">
                  <c:v>34.967178945798814</c:v>
                </c:pt>
                <c:pt idx="9">
                  <c:v>16.257011174434581</c:v>
                </c:pt>
                <c:pt idx="10">
                  <c:v>2.5852356238396914</c:v>
                </c:pt>
                <c:pt idx="11">
                  <c:v>0.16233274719119511</c:v>
                </c:pt>
                <c:pt idx="12">
                  <c:v>4.5437478512025771E-3</c:v>
                </c:pt>
                <c:pt idx="13">
                  <c:v>6.2844089057939622E-5</c:v>
                </c:pt>
                <c:pt idx="14">
                  <c:v>4.6902166951920453E-7</c:v>
                </c:pt>
                <c:pt idx="15">
                  <c:v>2.0372849978770295E-9</c:v>
                </c:pt>
                <c:pt idx="16">
                  <c:v>5.498012485516911E-12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AC-4BBF-950F-8008CF4F2C8A}"/>
            </c:ext>
          </c:extLst>
        </c:ser>
        <c:ser>
          <c:idx val="8"/>
          <c:order val="8"/>
          <c:tx>
            <c:strRef>
              <c:f>'q=0'!$N$195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86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'q=0'!$N$196:$N$212</c:f>
              <c:numCache>
                <c:formatCode>General</c:formatCode>
                <c:ptCount val="17"/>
                <c:pt idx="0">
                  <c:v>1.4489281862988281E-23</c:v>
                </c:pt>
                <c:pt idx="1">
                  <c:v>2.0569468529196661E-16</c:v>
                </c:pt>
                <c:pt idx="2">
                  <c:v>6.8013461312950428E-11</c:v>
                </c:pt>
                <c:pt idx="3">
                  <c:v>1.0427278593322643E-6</c:v>
                </c:pt>
                <c:pt idx="4">
                  <c:v>1.2641587169712571E-3</c:v>
                </c:pt>
                <c:pt idx="5">
                  <c:v>0.18454971987628174</c:v>
                </c:pt>
                <c:pt idx="6">
                  <c:v>4.5388741792401737</c:v>
                </c:pt>
                <c:pt idx="7">
                  <c:v>24.671026854396466</c:v>
                </c:pt>
                <c:pt idx="8">
                  <c:v>36.994532999413366</c:v>
                </c:pt>
                <c:pt idx="9">
                  <c:v>18.375329707630932</c:v>
                </c:pt>
                <c:pt idx="10">
                  <c:v>3.5201763898980003</c:v>
                </c:pt>
                <c:pt idx="11">
                  <c:v>0.29548053132976237</c:v>
                </c:pt>
                <c:pt idx="12">
                  <c:v>1.2103295089623489E-2</c:v>
                </c:pt>
                <c:pt idx="13">
                  <c:v>2.6511329816136954E-4</c:v>
                </c:pt>
                <c:pt idx="14">
                  <c:v>3.3579729228798111E-6</c:v>
                </c:pt>
                <c:pt idx="15">
                  <c:v>2.6304021000805093E-8</c:v>
                </c:pt>
                <c:pt idx="16">
                  <c:v>1.3503961863238726E-10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AC-4BBF-950F-8008CF4F2C8A}"/>
            </c:ext>
          </c:extLst>
        </c:ser>
        <c:ser>
          <c:idx val="9"/>
          <c:order val="9"/>
          <c:tx>
            <c:strRef>
              <c:f>'q=0'!$O$195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'q=0'!$O$196:$O$212</c:f>
              <c:numCache>
                <c:formatCode>General</c:formatCode>
                <c:ptCount val="17"/>
                <c:pt idx="0">
                  <c:v>5.0255364760857769E-21</c:v>
                </c:pt>
                <c:pt idx="1">
                  <c:v>1.3365163655468683E-14</c:v>
                </c:pt>
                <c:pt idx="2">
                  <c:v>1.2082151244066603E-9</c:v>
                </c:pt>
                <c:pt idx="3">
                  <c:v>6.897244626095667E-6</c:v>
                </c:pt>
                <c:pt idx="4">
                  <c:v>4.0191400536374895E-3</c:v>
                </c:pt>
                <c:pt idx="5">
                  <c:v>0.34897845821574625</c:v>
                </c:pt>
                <c:pt idx="6">
                  <c:v>6.1074742355621803</c:v>
                </c:pt>
                <c:pt idx="7">
                  <c:v>27.501629935949268</c:v>
                </c:pt>
                <c:pt idx="8">
                  <c:v>38.897078803674944</c:v>
                </c:pt>
                <c:pt idx="9">
                  <c:v>20.369884380527246</c:v>
                </c:pt>
                <c:pt idx="10">
                  <c:v>4.5291190419256946</c:v>
                </c:pt>
                <c:pt idx="11">
                  <c:v>0.47954010314112577</c:v>
                </c:pt>
                <c:pt idx="12">
                  <c:v>2.6637472595560204E-2</c:v>
                </c:pt>
                <c:pt idx="13">
                  <c:v>8.4287476017658896E-4</c:v>
                </c:pt>
                <c:pt idx="14">
                  <c:v>1.6299808042309724E-5</c:v>
                </c:pt>
                <c:pt idx="15">
                  <c:v>2.0464272098651119E-7</c:v>
                </c:pt>
                <c:pt idx="16">
                  <c:v>1.7573710279176087E-9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AC-4BBF-950F-8008CF4F2C8A}"/>
            </c:ext>
          </c:extLst>
        </c:ser>
        <c:ser>
          <c:idx val="10"/>
          <c:order val="10"/>
          <c:tx>
            <c:strRef>
              <c:f>'q=0'!$P$195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8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'q=0'!$P$196:$P$212</c:f>
              <c:numCache>
                <c:formatCode>General</c:formatCode>
                <c:ptCount val="17"/>
                <c:pt idx="0">
                  <c:v>1.4904140594479708E-9</c:v>
                </c:pt>
                <c:pt idx="1">
                  <c:v>2.1128524945174249E-6</c:v>
                </c:pt>
                <c:pt idx="2">
                  <c:v>5.5799585913203303E-4</c:v>
                </c:pt>
                <c:pt idx="3">
                  <c:v>3.7364658381935957E-2</c:v>
                </c:pt>
                <c:pt idx="4">
                  <c:v>0.80563718810285745</c:v>
                </c:pt>
                <c:pt idx="5">
                  <c:v>6.7514429458556355</c:v>
                </c:pt>
                <c:pt idx="6">
                  <c:v>25.555644752535152</c:v>
                </c:pt>
                <c:pt idx="7">
                  <c:v>49.333658116012764</c:v>
                </c:pt>
                <c:pt idx="8">
                  <c:v>53.633841658164215</c:v>
                </c:pt>
                <c:pt idx="9">
                  <c:v>35.636366826184464</c:v>
                </c:pt>
                <c:pt idx="10">
                  <c:v>15.489952320090662</c:v>
                </c:pt>
                <c:pt idx="11">
                  <c:v>4.6630670230696962</c:v>
                </c:pt>
                <c:pt idx="12">
                  <c:v>1.0201399126024495</c:v>
                </c:pt>
                <c:pt idx="13">
                  <c:v>0.16895436403042813</c:v>
                </c:pt>
                <c:pt idx="14">
                  <c:v>2.1936674468501369E-2</c:v>
                </c:pt>
                <c:pt idx="15">
                  <c:v>2.3008826437961086E-3</c:v>
                </c:pt>
                <c:pt idx="16">
                  <c:v>2.0007281417499151E-4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AC-4BBF-950F-8008CF4F2C8A}"/>
            </c:ext>
          </c:extLst>
        </c:ser>
        <c:ser>
          <c:idx val="11"/>
          <c:order val="11"/>
          <c:tx>
            <c:strRef>
              <c:f>'q=0'!$Q$195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58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'q=0'!$Q$196:$Q$212</c:f>
              <c:numCache>
                <c:formatCode>General</c:formatCode>
                <c:ptCount val="17"/>
                <c:pt idx="0">
                  <c:v>1.0663350535882621E-5</c:v>
                </c:pt>
                <c:pt idx="1">
                  <c:v>1.225686460073706E-3</c:v>
                </c:pt>
                <c:pt idx="2">
                  <c:v>4.6274150669306527E-2</c:v>
                </c:pt>
                <c:pt idx="3">
                  <c:v>0.70404657314405472</c:v>
                </c:pt>
                <c:pt idx="4">
                  <c:v>5.058481943778407</c:v>
                </c:pt>
                <c:pt idx="5">
                  <c:v>19.444995198611231</c:v>
                </c:pt>
                <c:pt idx="6">
                  <c:v>44.181503026914179</c:v>
                </c:pt>
                <c:pt idx="7">
                  <c:v>64.310742831003296</c:v>
                </c:pt>
                <c:pt idx="8">
                  <c:v>64.045918145093665</c:v>
                </c:pt>
                <c:pt idx="9">
                  <c:v>46.068805371153758</c:v>
                </c:pt>
                <c:pt idx="10">
                  <c:v>25.03844998721366</c:v>
                </c:pt>
                <c:pt idx="11">
                  <c:v>10.678226870343947</c:v>
                </c:pt>
                <c:pt idx="12">
                  <c:v>3.6891577386402061</c:v>
                </c:pt>
                <c:pt idx="13">
                  <c:v>1.0608405525358762</c:v>
                </c:pt>
                <c:pt idx="14">
                  <c:v>0.2598436660700279</c:v>
                </c:pt>
                <c:pt idx="15">
                  <c:v>5.530177884580529E-2</c:v>
                </c:pt>
                <c:pt idx="16">
                  <c:v>1.0403389641721808E-2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AC-4BBF-950F-8008CF4F2C8A}"/>
            </c:ext>
          </c:extLst>
        </c:ser>
        <c:ser>
          <c:idx val="12"/>
          <c:order val="12"/>
          <c:tx>
            <c:strRef>
              <c:f>'q=0'!$R$195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9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'q=0'!$R$196:$R$212</c:f>
              <c:numCache>
                <c:formatCode>General</c:formatCode>
                <c:ptCount val="17"/>
                <c:pt idx="0">
                  <c:v>9.2925963685156052E-4</c:v>
                </c:pt>
                <c:pt idx="1">
                  <c:v>3.0414767965473582E-2</c:v>
                </c:pt>
                <c:pt idx="2">
                  <c:v>0.43415240429441454</c:v>
                </c:pt>
                <c:pt idx="3">
                  <c:v>3.148629712907304</c:v>
                </c:pt>
                <c:pt idx="4">
                  <c:v>13.059019419386818</c:v>
                </c:pt>
                <c:pt idx="5">
                  <c:v>33.998790971782277</c:v>
                </c:pt>
                <c:pt idx="6">
                  <c:v>59.850436497075336</c:v>
                </c:pt>
                <c:pt idx="7">
                  <c:v>75.649078664943588</c:v>
                </c:pt>
                <c:pt idx="8">
                  <c:v>72.105392492329585</c:v>
                </c:pt>
                <c:pt idx="9">
                  <c:v>53.965192357993644</c:v>
                </c:pt>
                <c:pt idx="10">
                  <c:v>32.797152097068526</c:v>
                </c:pt>
                <c:pt idx="11">
                  <c:v>16.648031949459131</c:v>
                </c:pt>
                <c:pt idx="12">
                  <c:v>7.2278807985848665</c:v>
                </c:pt>
                <c:pt idx="13">
                  <c:v>2.7386748693405898</c:v>
                </c:pt>
                <c:pt idx="14">
                  <c:v>0.92136735602963216</c:v>
                </c:pt>
                <c:pt idx="15">
                  <c:v>0.27932604462905736</c:v>
                </c:pt>
                <c:pt idx="16">
                  <c:v>7.7289103610339777E-2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1AC-4BBF-950F-8008CF4F2C8A}"/>
            </c:ext>
          </c:extLst>
        </c:ser>
        <c:ser>
          <c:idx val="13"/>
          <c:order val="13"/>
          <c:tx>
            <c:strRef>
              <c:f>'q=0'!$S$195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0000"/>
                  <a:shade val="95000"/>
                </a:schemeClr>
              </a:contourClr>
            </a:sp3d>
          </c:spPr>
          <c:cat>
            <c:numRef>
              <c:f>'q=0'!$E$196:$E$212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'q=0'!$S$196:$S$212</c:f>
              <c:numCache>
                <c:formatCode>General</c:formatCode>
                <c:ptCount val="17"/>
                <c:pt idx="0">
                  <c:v>1.3767632349989062E-2</c:v>
                </c:pt>
                <c:pt idx="1">
                  <c:v>0.21207219569305982</c:v>
                </c:pt>
                <c:pt idx="2">
                  <c:v>1.6888870934693978</c:v>
                </c:pt>
                <c:pt idx="3">
                  <c:v>7.852534690418997</c:v>
                </c:pt>
                <c:pt idx="4">
                  <c:v>23.421836216512464</c:v>
                </c:pt>
                <c:pt idx="5">
                  <c:v>48.265077423782344</c:v>
                </c:pt>
                <c:pt idx="6">
                  <c:v>72.902022594885224</c:v>
                </c:pt>
                <c:pt idx="7">
                  <c:v>84.662651787363259</c:v>
                </c:pt>
                <c:pt idx="8">
                  <c:v>78.601289802415735</c:v>
                </c:pt>
                <c:pt idx="9">
                  <c:v>60.244020920976652</c:v>
                </c:pt>
                <c:pt idx="10">
                  <c:v>39.151599007727796</c:v>
                </c:pt>
                <c:pt idx="11">
                  <c:v>22.062631372315426</c:v>
                </c:pt>
                <c:pt idx="12">
                  <c:v>10.985944217961466</c:v>
                </c:pt>
                <c:pt idx="13">
                  <c:v>4.9119150665131581</c:v>
                </c:pt>
                <c:pt idx="14">
                  <c:v>1.9991316126219516</c:v>
                </c:pt>
                <c:pt idx="15">
                  <c:v>0.74939533249316148</c:v>
                </c:pt>
                <c:pt idx="16">
                  <c:v>0.26137284664069321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1AC-4BBF-950F-8008CF4F2C8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</c:bandFmts>
        <c:axId val="2099551968"/>
        <c:axId val="2099552928"/>
        <c:axId val="271853760"/>
      </c:surface3DChart>
      <c:catAx>
        <c:axId val="209955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9552928"/>
        <c:crosses val="autoZero"/>
        <c:auto val="1"/>
        <c:lblAlgn val="ctr"/>
        <c:lblOffset val="100"/>
        <c:noMultiLvlLbl val="0"/>
      </c:catAx>
      <c:valAx>
        <c:axId val="209955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9551968"/>
        <c:crosses val="autoZero"/>
        <c:crossBetween val="midCat"/>
      </c:valAx>
      <c:serAx>
        <c:axId val="27185376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95529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70%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'q=0'!$F$214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39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'q=0'!$F$215:$F$231</c:f>
              <c:numCache>
                <c:formatCode>General</c:formatCode>
                <c:ptCount val="17"/>
                <c:pt idx="0">
                  <c:v>0.68429531174739167</c:v>
                </c:pt>
                <c:pt idx="1">
                  <c:v>1.5343279928956448</c:v>
                </c:pt>
                <c:pt idx="2">
                  <c:v>2.8838110427972352</c:v>
                </c:pt>
                <c:pt idx="3">
                  <c:v>4.6918838975680917</c:v>
                </c:pt>
                <c:pt idx="4">
                  <c:v>6.7746911961870806</c:v>
                </c:pt>
                <c:pt idx="5">
                  <c:v>8.8538008344186832</c:v>
                </c:pt>
                <c:pt idx="6">
                  <c:v>10.638718119750292</c:v>
                </c:pt>
                <c:pt idx="7">
                  <c:v>11.903793100297138</c:v>
                </c:pt>
                <c:pt idx="8">
                  <c:v>12.532232209018206</c:v>
                </c:pt>
                <c:pt idx="9">
                  <c:v>12.521067845227742</c:v>
                </c:pt>
                <c:pt idx="10">
                  <c:v>11.957033694466926</c:v>
                </c:pt>
                <c:pt idx="11">
                  <c:v>10.979305417674309</c:v>
                </c:pt>
                <c:pt idx="12">
                  <c:v>9.742993619945425</c:v>
                </c:pt>
                <c:pt idx="13">
                  <c:v>8.3915851600833538</c:v>
                </c:pt>
                <c:pt idx="14">
                  <c:v>7.0408832808624151</c:v>
                </c:pt>
                <c:pt idx="15">
                  <c:v>5.7731842674237228</c:v>
                </c:pt>
                <c:pt idx="16">
                  <c:v>4.6386935802635083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48-4169-87A0-60DC96F76B28}"/>
            </c:ext>
          </c:extLst>
        </c:ser>
        <c:ser>
          <c:idx val="1"/>
          <c:order val="1"/>
          <c:tx>
            <c:strRef>
              <c:f>'q=0'!$G$214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8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'q=0'!$G$215:$G$231</c:f>
              <c:numCache>
                <c:formatCode>General</c:formatCode>
                <c:ptCount val="17"/>
                <c:pt idx="0">
                  <c:v>3.6397448448310561</c:v>
                </c:pt>
                <c:pt idx="1">
                  <c:v>5.5557676262465732</c:v>
                </c:pt>
                <c:pt idx="2">
                  <c:v>7.7532917151449814</c:v>
                </c:pt>
                <c:pt idx="3">
                  <c:v>10.054521596244205</c:v>
                </c:pt>
                <c:pt idx="4">
                  <c:v>12.270258392686884</c:v>
                </c:pt>
                <c:pt idx="5">
                  <c:v>14.232703516610266</c:v>
                </c:pt>
                <c:pt idx="6">
                  <c:v>15.816841898831074</c:v>
                </c:pt>
                <c:pt idx="7">
                  <c:v>16.949171664700572</c:v>
                </c:pt>
                <c:pt idx="8">
                  <c:v>17.606044637682018</c:v>
                </c:pt>
                <c:pt idx="9">
                  <c:v>17.8053032108512</c:v>
                </c:pt>
                <c:pt idx="10">
                  <c:v>17.594831230886026</c:v>
                </c:pt>
                <c:pt idx="11">
                  <c:v>17.040805105044697</c:v>
                </c:pt>
                <c:pt idx="12">
                  <c:v>16.217396340493519</c:v>
                </c:pt>
                <c:pt idx="13">
                  <c:v>15.198761870712445</c:v>
                </c:pt>
                <c:pt idx="14">
                  <c:v>14.053493762129586</c:v>
                </c:pt>
                <c:pt idx="15">
                  <c:v>12.841294242118861</c:v>
                </c:pt>
                <c:pt idx="16">
                  <c:v>11.611446648342634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48-4169-87A0-60DC96F76B28}"/>
            </c:ext>
          </c:extLst>
        </c:ser>
        <c:ser>
          <c:idx val="2"/>
          <c:order val="2"/>
          <c:tx>
            <c:strRef>
              <c:f>'q=0'!$H$214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58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'q=0'!$H$215:$H$231</c:f>
              <c:numCache>
                <c:formatCode>General</c:formatCode>
                <c:ptCount val="17"/>
                <c:pt idx="0">
                  <c:v>6.9018620266618083</c:v>
                </c:pt>
                <c:pt idx="1">
                  <c:v>9.2677057420348348</c:v>
                </c:pt>
                <c:pt idx="2">
                  <c:v>11.711488807492504</c:v>
                </c:pt>
                <c:pt idx="3">
                  <c:v>14.081610841359094</c:v>
                </c:pt>
                <c:pt idx="4">
                  <c:v>16.247803263125057</c:v>
                </c:pt>
                <c:pt idx="5">
                  <c:v>18.111711675519782</c:v>
                </c:pt>
                <c:pt idx="6">
                  <c:v>19.610235354345711</c:v>
                </c:pt>
                <c:pt idx="7">
                  <c:v>20.713606569885599</c:v>
                </c:pt>
                <c:pt idx="8">
                  <c:v>21.420312163559078</c:v>
                </c:pt>
                <c:pt idx="9">
                  <c:v>21.750617146171912</c:v>
                </c:pt>
                <c:pt idx="10">
                  <c:v>21.739949527966502</c:v>
                </c:pt>
                <c:pt idx="11">
                  <c:v>21.432922772554079</c:v>
                </c:pt>
                <c:pt idx="12">
                  <c:v>20.878385398702481</c:v>
                </c:pt>
                <c:pt idx="13">
                  <c:v>20.125614703077758</c:v>
                </c:pt>
                <c:pt idx="14">
                  <c:v>19.221601410518993</c:v>
                </c:pt>
                <c:pt idx="15">
                  <c:v>18.209281031904371</c:v>
                </c:pt>
                <c:pt idx="16">
                  <c:v>17.126531654488254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48-4169-87A0-60DC96F76B28}"/>
            </c:ext>
          </c:extLst>
        </c:ser>
        <c:ser>
          <c:idx val="3"/>
          <c:order val="3"/>
          <c:tx>
            <c:strRef>
              <c:f>'q=0'!$I$214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7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'q=0'!$I$215:$I$231</c:f>
              <c:numCache>
                <c:formatCode>General</c:formatCode>
                <c:ptCount val="17"/>
                <c:pt idx="0">
                  <c:v>9.8837027868981338</c:v>
                </c:pt>
                <c:pt idx="1">
                  <c:v>12.447784327132567</c:v>
                </c:pt>
                <c:pt idx="2">
                  <c:v>14.968588058170175</c:v>
                </c:pt>
                <c:pt idx="3">
                  <c:v>17.330198560120618</c:v>
                </c:pt>
                <c:pt idx="4">
                  <c:v>19.443339557253548</c:v>
                </c:pt>
                <c:pt idx="5">
                  <c:v>21.247179155846791</c:v>
                </c:pt>
                <c:pt idx="6">
                  <c:v>22.707538510902584</c:v>
                </c:pt>
                <c:pt idx="7">
                  <c:v>23.813053229002669</c:v>
                </c:pt>
                <c:pt idx="8">
                  <c:v>24.570473812122259</c:v>
                </c:pt>
                <c:pt idx="9">
                  <c:v>24.999908918508016</c:v>
                </c:pt>
                <c:pt idx="10">
                  <c:v>25.130491454194321</c:v>
                </c:pt>
                <c:pt idx="11">
                  <c:v>24.996705939324286</c:v>
                </c:pt>
                <c:pt idx="12">
                  <c:v>24.635452120428095</c:v>
                </c:pt>
                <c:pt idx="13">
                  <c:v>24.083819463673894</c:v>
                </c:pt>
                <c:pt idx="14">
                  <c:v>23.377492994725657</c:v>
                </c:pt>
                <c:pt idx="15">
                  <c:v>22.549687958639215</c:v>
                </c:pt>
                <c:pt idx="16">
                  <c:v>21.630507254024636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48-4169-87A0-60DC96F76B28}"/>
            </c:ext>
          </c:extLst>
        </c:ser>
        <c:ser>
          <c:idx val="4"/>
          <c:order val="4"/>
          <c:tx>
            <c:strRef>
              <c:f>'q=0'!$J$214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'q=0'!$J$215:$J$231</c:f>
              <c:numCache>
                <c:formatCode>General</c:formatCode>
                <c:ptCount val="17"/>
                <c:pt idx="0">
                  <c:v>12.540430689740118</c:v>
                </c:pt>
                <c:pt idx="1">
                  <c:v>15.197938365303534</c:v>
                </c:pt>
                <c:pt idx="2">
                  <c:v>17.739558478453521</c:v>
                </c:pt>
                <c:pt idx="3">
                  <c:v>20.077747655479406</c:v>
                </c:pt>
                <c:pt idx="4">
                  <c:v>22.150183000171619</c:v>
                </c:pt>
                <c:pt idx="5">
                  <c:v>23.918122329254142</c:v>
                </c:pt>
                <c:pt idx="6">
                  <c:v>25.36314730392759</c:v>
                </c:pt>
                <c:pt idx="7">
                  <c:v>26.483259195362759</c:v>
                </c:pt>
                <c:pt idx="8">
                  <c:v>27.288955014272481</c:v>
                </c:pt>
                <c:pt idx="9">
                  <c:v>27.799645917938147</c:v>
                </c:pt>
                <c:pt idx="10">
                  <c:v>28.040592396742046</c:v>
                </c:pt>
                <c:pt idx="11">
                  <c:v>28.040408934155536</c:v>
                </c:pt>
                <c:pt idx="12">
                  <c:v>27.829118222576422</c:v>
                </c:pt>
                <c:pt idx="13">
                  <c:v>27.436696607217264</c:v>
                </c:pt>
                <c:pt idx="14">
                  <c:v>26.892036312437781</c:v>
                </c:pt>
                <c:pt idx="15">
                  <c:v>26.222247474498374</c:v>
                </c:pt>
                <c:pt idx="16">
                  <c:v>25.452228070899576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48-4169-87A0-60DC96F76B28}"/>
            </c:ext>
          </c:extLst>
        </c:ser>
        <c:ser>
          <c:idx val="5"/>
          <c:order val="5"/>
          <c:tx>
            <c:strRef>
              <c:f>'q=0'!$K$214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86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'q=0'!$K$215:$K$231</c:f>
              <c:numCache>
                <c:formatCode>General</c:formatCode>
                <c:ptCount val="17"/>
                <c:pt idx="0">
                  <c:v>14.913092444971891</c:v>
                </c:pt>
                <c:pt idx="1">
                  <c:v>17.615967592756242</c:v>
                </c:pt>
                <c:pt idx="2">
                  <c:v>20.15784930403856</c:v>
                </c:pt>
                <c:pt idx="3">
                  <c:v>22.472395419122776</c:v>
                </c:pt>
                <c:pt idx="4">
                  <c:v>24.5155532416277</c:v>
                </c:pt>
                <c:pt idx="5">
                  <c:v>26.262598394219712</c:v>
                </c:pt>
                <c:pt idx="6">
                  <c:v>27.704603661630856</c:v>
                </c:pt>
                <c:pt idx="7">
                  <c:v>28.844902220041885</c:v>
                </c:pt>
                <c:pt idx="8">
                  <c:v>29.695859235557471</c:v>
                </c:pt>
                <c:pt idx="9">
                  <c:v>30.276097665526613</c:v>
                </c:pt>
                <c:pt idx="10">
                  <c:v>30.608219051702584</c:v>
                </c:pt>
                <c:pt idx="11">
                  <c:v>30.716999596365167</c:v>
                </c:pt>
                <c:pt idx="12">
                  <c:v>30.628010882425016</c:v>
                </c:pt>
                <c:pt idx="13">
                  <c:v>30.366602228225808</c:v>
                </c:pt>
                <c:pt idx="14">
                  <c:v>29.957180248286541</c:v>
                </c:pt>
                <c:pt idx="15">
                  <c:v>29.422725708573562</c:v>
                </c:pt>
                <c:pt idx="16">
                  <c:v>28.78449505779335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48-4169-87A0-60DC96F76B28}"/>
            </c:ext>
          </c:extLst>
        </c:ser>
        <c:ser>
          <c:idx val="6"/>
          <c:order val="6"/>
          <c:tx>
            <c:strRef>
              <c:f>'q=0'!$L$214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'q=0'!$L$215:$L$231</c:f>
              <c:numCache>
                <c:formatCode>General</c:formatCode>
                <c:ptCount val="17"/>
                <c:pt idx="0">
                  <c:v>17.048749136723824</c:v>
                </c:pt>
                <c:pt idx="1">
                  <c:v>19.773286552627589</c:v>
                </c:pt>
                <c:pt idx="2">
                  <c:v>22.307920975811399</c:v>
                </c:pt>
                <c:pt idx="3">
                  <c:v>24.602177574193345</c:v>
                </c:pt>
                <c:pt idx="4">
                  <c:v>26.624858611481891</c:v>
                </c:pt>
                <c:pt idx="5">
                  <c:v>28.360659499505097</c:v>
                </c:pt>
                <c:pt idx="6">
                  <c:v>29.806775369121372</c:v>
                </c:pt>
                <c:pt idx="7">
                  <c:v>30.969802815722204</c:v>
                </c:pt>
                <c:pt idx="8">
                  <c:v>31.863072973844929</c:v>
                </c:pt>
                <c:pt idx="9">
                  <c:v>32.504450845561195</c:v>
                </c:pt>
                <c:pt idx="10">
                  <c:v>32.914579636329364</c:v>
                </c:pt>
                <c:pt idx="11">
                  <c:v>33.115521305388278</c:v>
                </c:pt>
                <c:pt idx="12">
                  <c:v>33.129734273448264</c:v>
                </c:pt>
                <c:pt idx="13">
                  <c:v>32.979328790539775</c:v>
                </c:pt>
                <c:pt idx="14">
                  <c:v>32.685545140427458</c:v>
                </c:pt>
                <c:pt idx="15">
                  <c:v>32.26840678499277</c:v>
                </c:pt>
                <c:pt idx="16">
                  <c:v>31.746508075611086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48-4169-87A0-60DC96F76B28}"/>
            </c:ext>
          </c:extLst>
        </c:ser>
        <c:ser>
          <c:idx val="7"/>
          <c:order val="7"/>
          <c:tx>
            <c:strRef>
              <c:f>'q=0'!$M$214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6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'q=0'!$M$215:$M$231</c:f>
              <c:numCache>
                <c:formatCode>General</c:formatCode>
                <c:ptCount val="17"/>
                <c:pt idx="0">
                  <c:v>18.987012986179124</c:v>
                </c:pt>
                <c:pt idx="1">
                  <c:v>21.72094157929493</c:v>
                </c:pt>
                <c:pt idx="2">
                  <c:v>24.246038698936822</c:v>
                </c:pt>
                <c:pt idx="3">
                  <c:v>26.523889118605833</c:v>
                </c:pt>
                <c:pt idx="4">
                  <c:v>28.532645346468477</c:v>
                </c:pt>
                <c:pt idx="5">
                  <c:v>30.263616146190643</c:v>
                </c:pt>
                <c:pt idx="6">
                  <c:v>31.718146718263604</c:v>
                </c:pt>
                <c:pt idx="7">
                  <c:v>32.904931140997654</c:v>
                </c:pt>
                <c:pt idx="8">
                  <c:v>33.837790649565513</c:v>
                </c:pt>
                <c:pt idx="9">
                  <c:v>34.533894196562727</c:v>
                </c:pt>
                <c:pt idx="10">
                  <c:v>35.012370966649435</c:v>
                </c:pt>
                <c:pt idx="11">
                  <c:v>35.293255360813959</c:v>
                </c:pt>
                <c:pt idx="12">
                  <c:v>35.396705422951172</c:v>
                </c:pt>
                <c:pt idx="13">
                  <c:v>35.342440907432668</c:v>
                </c:pt>
                <c:pt idx="14">
                  <c:v>35.149354354410441</c:v>
                </c:pt>
                <c:pt idx="15">
                  <c:v>34.835256077674792</c:v>
                </c:pt>
                <c:pt idx="16">
                  <c:v>34.4167210648882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48-4169-87A0-60DC96F76B28}"/>
            </c:ext>
          </c:extLst>
        </c:ser>
        <c:ser>
          <c:idx val="8"/>
          <c:order val="8"/>
          <c:tx>
            <c:strRef>
              <c:f>'q=0'!$N$214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86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'q=0'!$N$215:$N$231</c:f>
              <c:numCache>
                <c:formatCode>General</c:formatCode>
                <c:ptCount val="17"/>
                <c:pt idx="0">
                  <c:v>20.759276853350684</c:v>
                </c:pt>
                <c:pt idx="1">
                  <c:v>23.49607339259035</c:v>
                </c:pt>
                <c:pt idx="2">
                  <c:v>26.011511435643389</c:v>
                </c:pt>
                <c:pt idx="3">
                  <c:v>28.276505907828554</c:v>
                </c:pt>
                <c:pt idx="4">
                  <c:v>30.276203278918111</c:v>
                </c:pt>
                <c:pt idx="5">
                  <c:v>32.006716512763944</c:v>
                </c:pt>
                <c:pt idx="6">
                  <c:v>33.472310023527854</c:v>
                </c:pt>
                <c:pt idx="7">
                  <c:v>34.683071588229829</c:v>
                </c:pt>
                <c:pt idx="8">
                  <c:v>35.653045045005278</c:v>
                </c:pt>
                <c:pt idx="9">
                  <c:v>36.398769372254343</c:v>
                </c:pt>
                <c:pt idx="10">
                  <c:v>36.938160931535393</c:v>
                </c:pt>
                <c:pt idx="11">
                  <c:v>37.289676997358065</c:v>
                </c:pt>
                <c:pt idx="12">
                  <c:v>37.471704809392229</c:v>
                </c:pt>
                <c:pt idx="13">
                  <c:v>37.502128256713576</c:v>
                </c:pt>
                <c:pt idx="14">
                  <c:v>37.398032339012218</c:v>
                </c:pt>
                <c:pt idx="15">
                  <c:v>37.175512963628734</c:v>
                </c:pt>
                <c:pt idx="16">
                  <c:v>36.849566107900657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48-4169-87A0-60DC96F76B28}"/>
            </c:ext>
          </c:extLst>
        </c:ser>
        <c:ser>
          <c:idx val="9"/>
          <c:order val="9"/>
          <c:tx>
            <c:strRef>
              <c:f>'q=0'!$O$214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'q=0'!$O$215:$O$231</c:f>
              <c:numCache>
                <c:formatCode>General</c:formatCode>
                <c:ptCount val="17"/>
                <c:pt idx="0">
                  <c:v>22.390206004103685</c:v>
                </c:pt>
                <c:pt idx="1">
                  <c:v>25.126385228544546</c:v>
                </c:pt>
                <c:pt idx="2">
                  <c:v>27.632923416716366</c:v>
                </c:pt>
                <c:pt idx="3">
                  <c:v>29.888077771719601</c:v>
                </c:pt>
                <c:pt idx="4">
                  <c:v>31.882349749076184</c:v>
                </c:pt>
                <c:pt idx="5">
                  <c:v>33.615438109760717</c:v>
                </c:pt>
                <c:pt idx="6">
                  <c:v>35.093719497419094</c:v>
                </c:pt>
                <c:pt idx="7">
                  <c:v>36.32822802922653</c:v>
                </c:pt>
                <c:pt idx="8">
                  <c:v>37.333073096271022</c:v>
                </c:pt>
                <c:pt idx="9">
                  <c:v>38.124225313265832</c:v>
                </c:pt>
                <c:pt idx="10">
                  <c:v>38.718602814057931</c:v>
                </c:pt>
                <c:pt idx="11">
                  <c:v>39.133397454399912</c:v>
                </c:pt>
                <c:pt idx="12">
                  <c:v>39.385589527811277</c:v>
                </c:pt>
                <c:pt idx="13">
                  <c:v>39.491608587785272</c:v>
                </c:pt>
                <c:pt idx="14">
                  <c:v>39.467106104339777</c:v>
                </c:pt>
                <c:pt idx="15">
                  <c:v>39.326812675652675</c:v>
                </c:pt>
                <c:pt idx="16">
                  <c:v>39.084458336862355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48-4169-87A0-60DC96F76B28}"/>
            </c:ext>
          </c:extLst>
        </c:ser>
        <c:ser>
          <c:idx val="10"/>
          <c:order val="10"/>
          <c:tx>
            <c:strRef>
              <c:f>'q=0'!$P$214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8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'q=0'!$P$215:$P$231</c:f>
              <c:numCache>
                <c:formatCode>General</c:formatCode>
                <c:ptCount val="17"/>
                <c:pt idx="0">
                  <c:v>33.851363239935999</c:v>
                </c:pt>
                <c:pt idx="1">
                  <c:v>36.555096647434844</c:v>
                </c:pt>
                <c:pt idx="2">
                  <c:v>39.022411281278337</c:v>
                </c:pt>
                <c:pt idx="3">
                  <c:v>41.260523721323118</c:v>
                </c:pt>
                <c:pt idx="4">
                  <c:v>43.279484396525945</c:v>
                </c:pt>
                <c:pt idx="5">
                  <c:v>45.091001079567462</c:v>
                </c:pt>
                <c:pt idx="6">
                  <c:v>46.707624889744359</c:v>
                </c:pt>
                <c:pt idx="7">
                  <c:v>48.14219214448066</c:v>
                </c:pt>
                <c:pt idx="8">
                  <c:v>49.407446980755509</c:v>
                </c:pt>
                <c:pt idx="9">
                  <c:v>50.515791744284769</c:v>
                </c:pt>
                <c:pt idx="10">
                  <c:v>51.479127602602837</c:v>
                </c:pt>
                <c:pt idx="11">
                  <c:v>52.308758699246923</c:v>
                </c:pt>
                <c:pt idx="12">
                  <c:v>53.015340829618069</c:v>
                </c:pt>
                <c:pt idx="13">
                  <c:v>53.60886105072251</c:v>
                </c:pt>
                <c:pt idx="14">
                  <c:v>54.098638504054165</c:v>
                </c:pt>
                <c:pt idx="15">
                  <c:v>54.493339495611259</c:v>
                </c:pt>
                <c:pt idx="16">
                  <c:v>54.801001861123062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48-4169-87A0-60DC96F76B28}"/>
            </c:ext>
          </c:extLst>
        </c:ser>
        <c:ser>
          <c:idx val="11"/>
          <c:order val="11"/>
          <c:tx>
            <c:strRef>
              <c:f>'q=0'!$Q$214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58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'q=0'!$Q$215:$Q$231</c:f>
              <c:numCache>
                <c:formatCode>General</c:formatCode>
                <c:ptCount val="17"/>
                <c:pt idx="0">
                  <c:v>40.558193324391084</c:v>
                </c:pt>
                <c:pt idx="1">
                  <c:v>43.239798100426647</c:v>
                </c:pt>
                <c:pt idx="2">
                  <c:v>45.70246290949359</c:v>
                </c:pt>
                <c:pt idx="3">
                  <c:v>47.959730444184778</c:v>
                </c:pt>
                <c:pt idx="4">
                  <c:v>50.025228058335564</c:v>
                </c:pt>
                <c:pt idx="5">
                  <c:v>51.912266573588411</c:v>
                </c:pt>
                <c:pt idx="6">
                  <c:v>53.633605297296235</c:v>
                </c:pt>
                <c:pt idx="7">
                  <c:v>55.201323571758117</c:v>
                </c:pt>
                <c:pt idx="8">
                  <c:v>56.62676054761571</c:v>
                </c:pt>
                <c:pt idx="9">
                  <c:v>57.920498341427745</c:v>
                </c:pt>
                <c:pt idx="10">
                  <c:v>59.09237234880154</c:v>
                </c:pt>
                <c:pt idx="11">
                  <c:v>60.151498060972962</c:v>
                </c:pt>
                <c:pt idx="12">
                  <c:v>61.106307382824859</c:v>
                </c:pt>
                <c:pt idx="13">
                  <c:v>61.96458986062423</c:v>
                </c:pt>
                <c:pt idx="14">
                  <c:v>62.73353583034033</c:v>
                </c:pt>
                <c:pt idx="15">
                  <c:v>63.419779568136306</c:v>
                </c:pt>
                <c:pt idx="16">
                  <c:v>64.029441241901296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48-4169-87A0-60DC96F76B28}"/>
            </c:ext>
          </c:extLst>
        </c:ser>
        <c:ser>
          <c:idx val="12"/>
          <c:order val="12"/>
          <c:tx>
            <c:strRef>
              <c:f>'q=0'!$R$214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9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'q=0'!$R$215:$R$231</c:f>
              <c:numCache>
                <c:formatCode>General</c:formatCode>
                <c:ptCount val="17"/>
                <c:pt idx="0">
                  <c:v>44.809305304542761</c:v>
                </c:pt>
                <c:pt idx="1">
                  <c:v>47.466795011388314</c:v>
                </c:pt>
                <c:pt idx="2">
                  <c:v>49.921858766934264</c:v>
                </c:pt>
                <c:pt idx="3">
                  <c:v>52.189858947630633</c:v>
                </c:pt>
                <c:pt idx="4">
                  <c:v>54.285140679504963</c:v>
                </c:pt>
                <c:pt idx="5">
                  <c:v>56.220983573628523</c:v>
                </c:pt>
                <c:pt idx="6">
                  <c:v>58.009615446117202</c:v>
                </c:pt>
                <c:pt idx="7">
                  <c:v>59.66225947030587</c:v>
                </c:pt>
                <c:pt idx="8">
                  <c:v>61.189197963671148</c:v>
                </c:pt>
                <c:pt idx="9">
                  <c:v>62.599842942052739</c:v>
                </c:pt>
                <c:pt idx="10">
                  <c:v>63.902807712605544</c:v>
                </c:pt>
                <c:pt idx="11">
                  <c:v>65.105976270189316</c:v>
                </c:pt>
                <c:pt idx="12">
                  <c:v>66.216568769523363</c:v>
                </c:pt>
                <c:pt idx="13">
                  <c:v>67.241202255175324</c:v>
                </c:pt>
                <c:pt idx="14">
                  <c:v>68.185946375072433</c:v>
                </c:pt>
                <c:pt idx="15">
                  <c:v>69.056374121247956</c:v>
                </c:pt>
                <c:pt idx="16">
                  <c:v>69.857607820211456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48-4169-87A0-60DC96F76B28}"/>
            </c:ext>
          </c:extLst>
        </c:ser>
        <c:ser>
          <c:idx val="13"/>
          <c:order val="13"/>
          <c:tx>
            <c:strRef>
              <c:f>'q=0'!$S$214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0000"/>
                  <a:shade val="95000"/>
                </a:schemeClr>
              </a:contourClr>
            </a:sp3d>
          </c:spPr>
          <c:cat>
            <c:numRef>
              <c:f>'q=0'!$E$215:$E$231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'q=0'!$S$215:$S$231</c:f>
              <c:numCache>
                <c:formatCode>General</c:formatCode>
                <c:ptCount val="17"/>
                <c:pt idx="0">
                  <c:v>47.510415916791075</c:v>
                </c:pt>
                <c:pt idx="1">
                  <c:v>50.134941805638718</c:v>
                </c:pt>
                <c:pt idx="2">
                  <c:v>52.571248150413219</c:v>
                </c:pt>
                <c:pt idx="3">
                  <c:v>54.835096527487508</c:v>
                </c:pt>
                <c:pt idx="4">
                  <c:v>56.940720388012714</c:v>
                </c:pt>
                <c:pt idx="5">
                  <c:v>58.90095867280202</c:v>
                </c:pt>
                <c:pt idx="6">
                  <c:v>60.72739319579091</c:v>
                </c:pt>
                <c:pt idx="7">
                  <c:v>62.430480174948805</c:v>
                </c:pt>
                <c:pt idx="8">
                  <c:v>64.019671602385458</c:v>
                </c:pt>
                <c:pt idx="9">
                  <c:v>65.503524941773364</c:v>
                </c:pt>
                <c:pt idx="10">
                  <c:v>66.889801084855648</c:v>
                </c:pt>
                <c:pt idx="11">
                  <c:v>68.185551208786094</c:v>
                </c:pt>
                <c:pt idx="12">
                  <c:v>69.397193487943809</c:v>
                </c:pt>
                <c:pt idx="13">
                  <c:v>70.530580712140889</c:v>
                </c:pt>
                <c:pt idx="14">
                  <c:v>71.591059850044303</c:v>
                </c:pt>
                <c:pt idx="15">
                  <c:v>72.583524528968923</c:v>
                </c:pt>
                <c:pt idx="16">
                  <c:v>73.512461311334135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48-4169-87A0-60DC96F76B2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2041188256"/>
        <c:axId val="104014048"/>
        <c:axId val="264750352"/>
      </c:surface3DChart>
      <c:catAx>
        <c:axId val="204118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  <c:auto val="1"/>
        <c:lblAlgn val="ctr"/>
        <c:lblOffset val="100"/>
        <c:noMultiLvlLbl val="0"/>
      </c:catAx>
      <c:valAx>
        <c:axId val="10401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88256"/>
        <c:crosses val="autoZero"/>
        <c:crossBetween val="midCat"/>
      </c:valAx>
      <c:serAx>
        <c:axId val="26475035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20%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'q=0'!$F$234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39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'q=0'!$F$235:$F$251</c:f>
              <c:numCache>
                <c:formatCode>General</c:formatCode>
                <c:ptCount val="17"/>
                <c:pt idx="0">
                  <c:v>2.9155373317769776E-15</c:v>
                </c:pt>
                <c:pt idx="1">
                  <c:v>4.3284662987202277E-11</c:v>
                </c:pt>
                <c:pt idx="2">
                  <c:v>7.7692467200589755E-8</c:v>
                </c:pt>
                <c:pt idx="3">
                  <c:v>2.5013539023405381E-5</c:v>
                </c:pt>
                <c:pt idx="4">
                  <c:v>1.9684019476440403E-3</c:v>
                </c:pt>
                <c:pt idx="5">
                  <c:v>4.8575796157643812E-2</c:v>
                </c:pt>
                <c:pt idx="6">
                  <c:v>0.46266505291057552</c:v>
                </c:pt>
                <c:pt idx="7">
                  <c:v>2.0396276517295933</c:v>
                </c:pt>
                <c:pt idx="8">
                  <c:v>4.9319898584384116</c:v>
                </c:pt>
                <c:pt idx="9">
                  <c:v>7.7428944428213189</c:v>
                </c:pt>
                <c:pt idx="10">
                  <c:v>9.3111062933054907</c:v>
                </c:pt>
                <c:pt idx="11">
                  <c:v>9.8489758625579285</c:v>
                </c:pt>
                <c:pt idx="12">
                  <c:v>9.9693029945287854</c:v>
                </c:pt>
                <c:pt idx="13">
                  <c:v>9.9877868050641503</c:v>
                </c:pt>
                <c:pt idx="14">
                  <c:v>9.989825783141761</c:v>
                </c:pt>
                <c:pt idx="15">
                  <c:v>9.9899937425487071</c:v>
                </c:pt>
                <c:pt idx="16">
                  <c:v>9.9900044333117659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0-4CE9-8C94-0E62059EACBC}"/>
            </c:ext>
          </c:extLst>
        </c:ser>
        <c:ser>
          <c:idx val="1"/>
          <c:order val="1"/>
          <c:tx>
            <c:strRef>
              <c:f>'q=0'!$G$234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8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'q=0'!$G$235:$G$251</c:f>
              <c:numCache>
                <c:formatCode>General</c:formatCode>
                <c:ptCount val="17"/>
                <c:pt idx="0">
                  <c:v>9.8144996773923596E-8</c:v>
                </c:pt>
                <c:pt idx="1">
                  <c:v>1.3045620291245922E-5</c:v>
                </c:pt>
                <c:pt idx="2">
                  <c:v>6.0569776566511083E-4</c:v>
                </c:pt>
                <c:pt idx="3">
                  <c:v>1.1981739309242229E-2</c:v>
                </c:pt>
                <c:pt idx="4">
                  <c:v>0.11806153679816468</c:v>
                </c:pt>
                <c:pt idx="5">
                  <c:v>0.65728086131009644</c:v>
                </c:pt>
                <c:pt idx="6">
                  <c:v>2.2955278113909654</c:v>
                </c:pt>
                <c:pt idx="7">
                  <c:v>5.5018256030450017</c:v>
                </c:pt>
                <c:pt idx="8">
                  <c:v>9.8019788801767227</c:v>
                </c:pt>
                <c:pt idx="9">
                  <c:v>13.963207315360485</c:v>
                </c:pt>
                <c:pt idx="10">
                  <c:v>16.997597069863819</c:v>
                </c:pt>
                <c:pt idx="11">
                  <c:v>18.727453260072849</c:v>
                </c:pt>
                <c:pt idx="12">
                  <c:v>19.522974084010123</c:v>
                </c:pt>
                <c:pt idx="13">
                  <c:v>19.826121374631196</c:v>
                </c:pt>
                <c:pt idx="14">
                  <c:v>19.924080062887658</c:v>
                </c:pt>
                <c:pt idx="15">
                  <c:v>19.95146289139338</c:v>
                </c:pt>
                <c:pt idx="16">
                  <c:v>19.958199888181856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0-4CE9-8C94-0E62059EACBC}"/>
            </c:ext>
          </c:extLst>
        </c:ser>
        <c:ser>
          <c:idx val="2"/>
          <c:order val="2"/>
          <c:tx>
            <c:strRef>
              <c:f>'q=0'!$H$234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58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'q=0'!$H$235:$H$251</c:f>
              <c:numCache>
                <c:formatCode>General</c:formatCode>
                <c:ptCount val="17"/>
                <c:pt idx="0">
                  <c:v>4.0745379654174123E-5</c:v>
                </c:pt>
                <c:pt idx="1">
                  <c:v>1.1214508890306986E-3</c:v>
                </c:pt>
                <c:pt idx="2">
                  <c:v>1.5340110803905882E-2</c:v>
                </c:pt>
                <c:pt idx="3">
                  <c:v>0.11911631216126904</c:v>
                </c:pt>
                <c:pt idx="4">
                  <c:v>0.58294742224800944</c:v>
                </c:pt>
                <c:pt idx="5">
                  <c:v>1.9560484482833904</c:v>
                </c:pt>
                <c:pt idx="6">
                  <c:v>4.8240469025865851</c:v>
                </c:pt>
                <c:pt idx="7">
                  <c:v>9.2744913252504038</c:v>
                </c:pt>
                <c:pt idx="8">
                  <c:v>14.628325566737619</c:v>
                </c:pt>
                <c:pt idx="9">
                  <c:v>19.801355879149483</c:v>
                </c:pt>
                <c:pt idx="10">
                  <c:v>23.936909463006028</c:v>
                </c:pt>
                <c:pt idx="11">
                  <c:v>26.741714753531923</c:v>
                </c:pt>
                <c:pt idx="12">
                  <c:v>28.39016422301777</c:v>
                </c:pt>
                <c:pt idx="13">
                  <c:v>29.245072006046918</c:v>
                </c:pt>
                <c:pt idx="14">
                  <c:v>29.642425234579132</c:v>
                </c:pt>
                <c:pt idx="15">
                  <c:v>29.81017221563636</c:v>
                </c:pt>
                <c:pt idx="16">
                  <c:v>29.875241343482667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0-4CE9-8C94-0E62059EACBC}"/>
            </c:ext>
          </c:extLst>
        </c:ser>
        <c:ser>
          <c:idx val="3"/>
          <c:order val="3"/>
          <c:tx>
            <c:strRef>
              <c:f>'q=0'!$I$234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7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'q=0'!$I$235:$I$251</c:f>
              <c:numCache>
                <c:formatCode>General</c:formatCode>
                <c:ptCount val="17"/>
                <c:pt idx="0">
                  <c:v>9.3629247971002423E-4</c:v>
                </c:pt>
                <c:pt idx="1">
                  <c:v>1.1705675325644333E-2</c:v>
                </c:pt>
                <c:pt idx="2">
                  <c:v>8.6710702538517648E-2</c:v>
                </c:pt>
                <c:pt idx="3">
                  <c:v>0.42058365657656555</c:v>
                </c:pt>
                <c:pt idx="4">
                  <c:v>1.4449660567580991</c:v>
                </c:pt>
                <c:pt idx="5">
                  <c:v>3.7454643863001102</c:v>
                </c:pt>
                <c:pt idx="6">
                  <c:v>7.7145681524544099</c:v>
                </c:pt>
                <c:pt idx="7">
                  <c:v>13.187458778736866</c:v>
                </c:pt>
                <c:pt idx="8">
                  <c:v>19.417631512966548</c:v>
                </c:pt>
                <c:pt idx="9">
                  <c:v>25.432746553601696</c:v>
                </c:pt>
                <c:pt idx="10">
                  <c:v>30.470390561626747</c:v>
                </c:pt>
                <c:pt idx="11">
                  <c:v>34.200126589648207</c:v>
                </c:pt>
                <c:pt idx="12">
                  <c:v>36.680746478076991</c:v>
                </c:pt>
                <c:pt idx="13">
                  <c:v>38.183205335550987</c:v>
                </c:pt>
                <c:pt idx="14">
                  <c:v>39.021658405667154</c:v>
                </c:pt>
                <c:pt idx="15">
                  <c:v>39.457121776080648</c:v>
                </c:pt>
                <c:pt idx="16">
                  <c:v>39.669441320637574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90-4CE9-8C94-0E62059EACBC}"/>
            </c:ext>
          </c:extLst>
        </c:ser>
        <c:ser>
          <c:idx val="4"/>
          <c:order val="4"/>
          <c:tx>
            <c:strRef>
              <c:f>'q=0'!$J$234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'q=0'!$J$235:$J$251</c:f>
              <c:numCache>
                <c:formatCode>General</c:formatCode>
                <c:ptCount val="17"/>
                <c:pt idx="0">
                  <c:v>6.5886799235162479E-3</c:v>
                </c:pt>
                <c:pt idx="1">
                  <c:v>5.1241821470043636E-2</c:v>
                </c:pt>
                <c:pt idx="2">
                  <c:v>0.2623085939603807</c:v>
                </c:pt>
                <c:pt idx="3">
                  <c:v>0.95750502791312742</c:v>
                </c:pt>
                <c:pt idx="4">
                  <c:v>2.6541221761137002</c:v>
                </c:pt>
                <c:pt idx="5">
                  <c:v>5.8755556011287497</c:v>
                </c:pt>
                <c:pt idx="6">
                  <c:v>10.82511559814913</c:v>
                </c:pt>
                <c:pt idx="7">
                  <c:v>17.178656648502809</c:v>
                </c:pt>
                <c:pt idx="8">
                  <c:v>24.173738548666901</c:v>
                </c:pt>
                <c:pt idx="9">
                  <c:v>30.924184743469105</c:v>
                </c:pt>
                <c:pt idx="10">
                  <c:v>36.738595144398111</c:v>
                </c:pt>
                <c:pt idx="11">
                  <c:v>41.277215823472964</c:v>
                </c:pt>
                <c:pt idx="12">
                  <c:v>44.52940714583994</c:v>
                </c:pt>
                <c:pt idx="13">
                  <c:v>46.692198548977835</c:v>
                </c:pt>
                <c:pt idx="14">
                  <c:v>48.039616695751533</c:v>
                </c:pt>
                <c:pt idx="15">
                  <c:v>48.832355634235022</c:v>
                </c:pt>
                <c:pt idx="16">
                  <c:v>49.275873716227721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0-4CE9-8C94-0E62059EACBC}"/>
            </c:ext>
          </c:extLst>
        </c:ser>
        <c:ser>
          <c:idx val="5"/>
          <c:order val="5"/>
          <c:tx>
            <c:strRef>
              <c:f>'q=0'!$K$234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86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'q=0'!$K$235:$K$251</c:f>
              <c:numCache>
                <c:formatCode>General</c:formatCode>
                <c:ptCount val="17"/>
                <c:pt idx="0">
                  <c:v>2.5336754690401989E-2</c:v>
                </c:pt>
                <c:pt idx="1">
                  <c:v>0.1434674536858371</c:v>
                </c:pt>
                <c:pt idx="2">
                  <c:v>0.5734265004042175</c:v>
                </c:pt>
                <c:pt idx="3">
                  <c:v>1.7295450873604514</c:v>
                </c:pt>
                <c:pt idx="4">
                  <c:v>4.1483206002554978</c:v>
                </c:pt>
                <c:pt idx="5">
                  <c:v>8.2510457333700931</c:v>
                </c:pt>
                <c:pt idx="6">
                  <c:v>14.082638092999993</c:v>
                </c:pt>
                <c:pt idx="7">
                  <c:v>21.217661617090137</c:v>
                </c:pt>
                <c:pt idx="8">
                  <c:v>28.899256857821801</c:v>
                </c:pt>
                <c:pt idx="9">
                  <c:v>36.309866980005239</c:v>
                </c:pt>
                <c:pt idx="10">
                  <c:v>42.813919395874585</c:v>
                </c:pt>
                <c:pt idx="11">
                  <c:v>48.073652121744175</c:v>
                </c:pt>
                <c:pt idx="12">
                  <c:v>52.035124616342841</c:v>
                </c:pt>
                <c:pt idx="13">
                  <c:v>54.839430840815325</c:v>
                </c:pt>
                <c:pt idx="14">
                  <c:v>56.719853041525752</c:v>
                </c:pt>
                <c:pt idx="15">
                  <c:v>57.922265459566475</c:v>
                </c:pt>
                <c:pt idx="16">
                  <c:v>58.659707295076835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90-4CE9-8C94-0E62059EACBC}"/>
            </c:ext>
          </c:extLst>
        </c:ser>
        <c:ser>
          <c:idx val="6"/>
          <c:order val="6"/>
          <c:tx>
            <c:strRef>
              <c:f>'q=0'!$L$234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'q=0'!$L$235:$L$251</c:f>
              <c:numCache>
                <c:formatCode>General</c:formatCode>
                <c:ptCount val="17"/>
                <c:pt idx="0">
                  <c:v>6.8496313647904108E-2</c:v>
                </c:pt>
                <c:pt idx="1">
                  <c:v>0.30898154554743779</c:v>
                </c:pt>
                <c:pt idx="2">
                  <c:v>1.0340638105047844</c:v>
                </c:pt>
                <c:pt idx="3">
                  <c:v>2.7188766452768531</c:v>
                </c:pt>
                <c:pt idx="4">
                  <c:v>5.8743138124230585</c:v>
                </c:pt>
                <c:pt idx="5">
                  <c:v>10.810010394461257</c:v>
                </c:pt>
                <c:pt idx="6">
                  <c:v>17.44442247907995</c:v>
                </c:pt>
                <c:pt idx="7">
                  <c:v>25.287075576346904</c:v>
                </c:pt>
                <c:pt idx="8">
                  <c:v>33.596116095735589</c:v>
                </c:pt>
                <c:pt idx="9">
                  <c:v>41.610220083116076</c:v>
                </c:pt>
                <c:pt idx="10">
                  <c:v>48.739182226438395</c:v>
                </c:pt>
                <c:pt idx="11">
                  <c:v>54.652113577166304</c:v>
                </c:pt>
                <c:pt idx="12">
                  <c:v>59.267237553388959</c:v>
                </c:pt>
                <c:pt idx="13">
                  <c:v>62.68359645053561</c:v>
                </c:pt>
                <c:pt idx="14">
                  <c:v>65.098182663181063</c:v>
                </c:pt>
                <c:pt idx="15">
                  <c:v>66.73692184392155</c:v>
                </c:pt>
                <c:pt idx="16">
                  <c:v>67.810197543662682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90-4CE9-8C94-0E62059EACBC}"/>
            </c:ext>
          </c:extLst>
        </c:ser>
        <c:ser>
          <c:idx val="7"/>
          <c:order val="7"/>
          <c:tx>
            <c:strRef>
              <c:f>'q=0'!$M$234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6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'q=0'!$M$235:$M$251</c:f>
              <c:numCache>
                <c:formatCode>General</c:formatCode>
                <c:ptCount val="17"/>
                <c:pt idx="0">
                  <c:v>0.1479229983212314</c:v>
                </c:pt>
                <c:pt idx="1">
                  <c:v>0.56236751489784886</c:v>
                </c:pt>
                <c:pt idx="2">
                  <c:v>1.6463949579291828</c:v>
                </c:pt>
                <c:pt idx="3">
                  <c:v>3.902596571002467</c:v>
                </c:pt>
                <c:pt idx="4">
                  <c:v>7.7898920427139711</c:v>
                </c:pt>
                <c:pt idx="5">
                  <c:v>13.510429218050067</c:v>
                </c:pt>
                <c:pt idx="6">
                  <c:v>20.883210534016246</c:v>
                </c:pt>
                <c:pt idx="7">
                  <c:v>29.375944234947266</c:v>
                </c:pt>
                <c:pt idx="8">
                  <c:v>38.265821976803807</c:v>
                </c:pt>
                <c:pt idx="9">
                  <c:v>46.838682825452466</c:v>
                </c:pt>
                <c:pt idx="10">
                  <c:v>54.542150099630135</c:v>
                </c:pt>
                <c:pt idx="11">
                  <c:v>61.054291488019338</c:v>
                </c:pt>
                <c:pt idx="12">
                  <c:v>66.275083755870497</c:v>
                </c:pt>
                <c:pt idx="13">
                  <c:v>70.271704194040638</c:v>
                </c:pt>
                <c:pt idx="14">
                  <c:v>73.210216289147127</c:v>
                </c:pt>
                <c:pt idx="15">
                  <c:v>75.2957374231259</c:v>
                </c:pt>
                <c:pt idx="16">
                  <c:v>76.730661853179058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90-4CE9-8C94-0E62059EACBC}"/>
            </c:ext>
          </c:extLst>
        </c:ser>
        <c:ser>
          <c:idx val="8"/>
          <c:order val="8"/>
          <c:tx>
            <c:strRef>
              <c:f>'q=0'!$N$234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86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'q=0'!$N$235:$N$251</c:f>
              <c:numCache>
                <c:formatCode>General</c:formatCode>
                <c:ptCount val="17"/>
                <c:pt idx="0">
                  <c:v>0.2742313900181243</c:v>
                </c:pt>
                <c:pt idx="1">
                  <c:v>0.91231525678742365</c:v>
                </c:pt>
                <c:pt idx="2">
                  <c:v>2.405785146566469</c:v>
                </c:pt>
                <c:pt idx="3">
                  <c:v>5.2579361449743294</c:v>
                </c:pt>
                <c:pt idx="4">
                  <c:v>9.8621140558167983</c:v>
                </c:pt>
                <c:pt idx="5">
                  <c:v>16.322605204399807</c:v>
                </c:pt>
                <c:pt idx="6">
                  <c:v>24.380474754909542</c:v>
                </c:pt>
                <c:pt idx="7">
                  <c:v>33.476899762460484</c:v>
                </c:pt>
                <c:pt idx="8">
                  <c:v>42.909594584950781</c:v>
                </c:pt>
                <c:pt idx="9">
                  <c:v>52.004704799454153</c:v>
                </c:pt>
                <c:pt idx="10">
                  <c:v>60.242046033683735</c:v>
                </c:pt>
                <c:pt idx="11">
                  <c:v>67.309416261096175</c:v>
                </c:pt>
                <c:pt idx="12">
                  <c:v>73.094735333031409</c:v>
                </c:pt>
                <c:pt idx="13">
                  <c:v>77.640758146235598</c:v>
                </c:pt>
                <c:pt idx="14">
                  <c:v>81.087590504535044</c:v>
                </c:pt>
                <c:pt idx="15">
                  <c:v>83.62051674627169</c:v>
                </c:pt>
                <c:pt idx="16">
                  <c:v>85.431448147951741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90-4CE9-8C94-0E62059EACBC}"/>
            </c:ext>
          </c:extLst>
        </c:ser>
        <c:ser>
          <c:idx val="9"/>
          <c:order val="9"/>
          <c:tx>
            <c:strRef>
              <c:f>'q=0'!$O$234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'q=0'!$O$235:$O$251</c:f>
              <c:numCache>
                <c:formatCode>General</c:formatCode>
                <c:ptCount val="17"/>
                <c:pt idx="0">
                  <c:v>0.45595912570109309</c:v>
                </c:pt>
                <c:pt idx="1">
                  <c:v>1.3628210187071796</c:v>
                </c:pt>
                <c:pt idx="2">
                  <c:v>3.3041361033821035</c:v>
                </c:pt>
                <c:pt idx="3">
                  <c:v>6.7641543932963435</c:v>
                </c:pt>
                <c:pt idx="4">
                  <c:v>12.065171933845738</c:v>
                </c:pt>
                <c:pt idx="5">
                  <c:v>19.224806199408722</c:v>
                </c:pt>
                <c:pt idx="6">
                  <c:v>27.923010462044491</c:v>
                </c:pt>
                <c:pt idx="7">
                  <c:v>37.584742260070186</c:v>
                </c:pt>
                <c:pt idx="8">
                  <c:v>47.528450546914641</c:v>
                </c:pt>
                <c:pt idx="9">
                  <c:v>57.1152625744216</c:v>
                </c:pt>
                <c:pt idx="10">
                  <c:v>65.852844532273394</c:v>
                </c:pt>
                <c:pt idx="11">
                  <c:v>73.43885824101524</c:v>
                </c:pt>
                <c:pt idx="12">
                  <c:v>79.753296736124057</c:v>
                </c:pt>
                <c:pt idx="13">
                  <c:v>84.819982584634872</c:v>
                </c:pt>
                <c:pt idx="14">
                  <c:v>88.757319713568378</c:v>
                </c:pt>
                <c:pt idx="15">
                  <c:v>91.732436651684779</c:v>
                </c:pt>
                <c:pt idx="16">
                  <c:v>93.925858365570519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90-4CE9-8C94-0E62059EACBC}"/>
            </c:ext>
          </c:extLst>
        </c:ser>
        <c:ser>
          <c:idx val="10"/>
          <c:order val="10"/>
          <c:tx>
            <c:strRef>
              <c:f>'q=0'!$P$234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8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'q=0'!$P$235:$P$251</c:f>
              <c:numCache>
                <c:formatCode>General</c:formatCode>
                <c:ptCount val="17"/>
                <c:pt idx="0">
                  <c:v>5.9353081456012937</c:v>
                </c:pt>
                <c:pt idx="1">
                  <c:v>10.87924313868019</c:v>
                </c:pt>
                <c:pt idx="2">
                  <c:v>17.932080685197075</c:v>
                </c:pt>
                <c:pt idx="3">
                  <c:v>27.119588189475021</c:v>
                </c:pt>
                <c:pt idx="4">
                  <c:v>38.22640213674083</c:v>
                </c:pt>
                <c:pt idx="5">
                  <c:v>50.84600116043957</c:v>
                </c:pt>
                <c:pt idx="6">
                  <c:v>64.458771564347103</c:v>
                </c:pt>
                <c:pt idx="7">
                  <c:v>78.513403617493836</c:v>
                </c:pt>
                <c:pt idx="8">
                  <c:v>92.494293545844172</c:v>
                </c:pt>
                <c:pt idx="9">
                  <c:v>105.96687970369521</c:v>
                </c:pt>
                <c:pt idx="10">
                  <c:v>118.60034685036835</c:v>
                </c:pt>
                <c:pt idx="11">
                  <c:v>130.1716483822899</c:v>
                </c:pt>
                <c:pt idx="12">
                  <c:v>140.55657274099252</c:v>
                </c:pt>
                <c:pt idx="13">
                  <c:v>149.71347861958171</c:v>
                </c:pt>
                <c:pt idx="14">
                  <c:v>157.6642413734192</c:v>
                </c:pt>
                <c:pt idx="15">
                  <c:v>164.47556479755494</c:v>
                </c:pt>
                <c:pt idx="16">
                  <c:v>170.24252108865093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90-4CE9-8C94-0E62059EACBC}"/>
            </c:ext>
          </c:extLst>
        </c:ser>
        <c:ser>
          <c:idx val="11"/>
          <c:order val="11"/>
          <c:tx>
            <c:strRef>
              <c:f>'q=0'!$Q$234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58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'q=0'!$Q$235:$Q$251</c:f>
              <c:numCache>
                <c:formatCode>General</c:formatCode>
                <c:ptCount val="17"/>
                <c:pt idx="0">
                  <c:v>17.245259544138367</c:v>
                </c:pt>
                <c:pt idx="1">
                  <c:v>26.706226544028677</c:v>
                </c:pt>
                <c:pt idx="2">
                  <c:v>38.476487533043752</c:v>
                </c:pt>
                <c:pt idx="3">
                  <c:v>52.273981099216769</c:v>
                </c:pt>
                <c:pt idx="4">
                  <c:v>67.677547849775834</c:v>
                </c:pt>
                <c:pt idx="5">
                  <c:v>84.192775036698535</c:v>
                </c:pt>
                <c:pt idx="6">
                  <c:v>101.3116673800278</c:v>
                </c:pt>
                <c:pt idx="7">
                  <c:v>118.55867137549208</c:v>
                </c:pt>
                <c:pt idx="8">
                  <c:v>135.52089139551933</c:v>
                </c:pt>
                <c:pt idx="9">
                  <c:v>151.86376940705389</c:v>
                </c:pt>
                <c:pt idx="10">
                  <c:v>167.33520389609637</c:v>
                </c:pt>
                <c:pt idx="11">
                  <c:v>181.76154213669028</c:v>
                </c:pt>
                <c:pt idx="12">
                  <c:v>195.03860096125629</c:v>
                </c:pt>
                <c:pt idx="13">
                  <c:v>207.12025200276011</c:v>
                </c:pt>
                <c:pt idx="14">
                  <c:v>218.00640774968917</c:v>
                </c:pt>
                <c:pt idx="15">
                  <c:v>227.73160793645627</c:v>
                </c:pt>
                <c:pt idx="16">
                  <c:v>236.35489328260059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90-4CE9-8C94-0E62059EACBC}"/>
            </c:ext>
          </c:extLst>
        </c:ser>
        <c:ser>
          <c:idx val="12"/>
          <c:order val="12"/>
          <c:tx>
            <c:strRef>
              <c:f>'q=0'!$R$234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9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'q=0'!$R$235:$R$251</c:f>
              <c:numCache>
                <c:formatCode>General</c:formatCode>
                <c:ptCount val="17"/>
                <c:pt idx="0">
                  <c:v>32.377152020462432</c:v>
                </c:pt>
                <c:pt idx="1">
                  <c:v>45.966579050016662</c:v>
                </c:pt>
                <c:pt idx="2">
                  <c:v>61.749948584880109</c:v>
                </c:pt>
                <c:pt idx="3">
                  <c:v>79.297672467890536</c:v>
                </c:pt>
                <c:pt idx="4">
                  <c:v>98.121354844747444</c:v>
                </c:pt>
                <c:pt idx="5">
                  <c:v>117.72513441976243</c:v>
                </c:pt>
                <c:pt idx="6">
                  <c:v>137.64368253482542</c:v>
                </c:pt>
                <c:pt idx="7">
                  <c:v>157.46664906933412</c:v>
                </c:pt>
                <c:pt idx="8">
                  <c:v>176.85142165444597</c:v>
                </c:pt>
                <c:pt idx="9">
                  <c:v>195.52688246325391</c:v>
                </c:pt>
                <c:pt idx="10">
                  <c:v>213.29088821197067</c:v>
                </c:pt>
                <c:pt idx="11">
                  <c:v>230.00383938445142</c:v>
                </c:pt>
                <c:pt idx="12">
                  <c:v>245.58019526519712</c:v>
                </c:pt>
                <c:pt idx="13">
                  <c:v>259.97927799092872</c:v>
                </c:pt>
                <c:pt idx="14">
                  <c:v>273.19626305478522</c:v>
                </c:pt>
                <c:pt idx="15">
                  <c:v>285.25390074635311</c:v>
                </c:pt>
                <c:pt idx="16">
                  <c:v>296.19525249901477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90-4CE9-8C94-0E62059EACBC}"/>
            </c:ext>
          </c:extLst>
        </c:ser>
        <c:ser>
          <c:idx val="13"/>
          <c:order val="13"/>
          <c:tx>
            <c:strRef>
              <c:f>'q=0'!$S$234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0000"/>
                  <a:shade val="95000"/>
                </a:schemeClr>
              </a:contourClr>
            </a:sp3d>
          </c:spPr>
          <c:cat>
            <c:numRef>
              <c:f>'q=0'!$E$235:$E$251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'q=0'!$S$235:$S$251</c:f>
              <c:numCache>
                <c:formatCode>General</c:formatCode>
                <c:ptCount val="17"/>
                <c:pt idx="0">
                  <c:v>49.898150544272639</c:v>
                </c:pt>
                <c:pt idx="1">
                  <c:v>67.144050131601475</c:v>
                </c:pt>
                <c:pt idx="2">
                  <c:v>86.363051145805372</c:v>
                </c:pt>
                <c:pt idx="3">
                  <c:v>107.06109558869031</c:v>
                </c:pt>
                <c:pt idx="4">
                  <c:v>128.73783982233832</c:v>
                </c:pt>
                <c:pt idx="5">
                  <c:v>150.92196539513881</c:v>
                </c:pt>
                <c:pt idx="6">
                  <c:v>173.19351169097621</c:v>
                </c:pt>
                <c:pt idx="7">
                  <c:v>195.1955064989242</c:v>
                </c:pt>
                <c:pt idx="8">
                  <c:v>216.63757703673949</c:v>
                </c:pt>
                <c:pt idx="9">
                  <c:v>237.29405021947213</c:v>
                </c:pt>
                <c:pt idx="10">
                  <c:v>256.9986224415502</c:v>
                </c:pt>
                <c:pt idx="11">
                  <c:v>275.63718801831254</c:v>
                </c:pt>
                <c:pt idx="12">
                  <c:v>293.13996071778939</c:v>
                </c:pt>
                <c:pt idx="13">
                  <c:v>309.47364560622196</c:v>
                </c:pt>
                <c:pt idx="14">
                  <c:v>324.63412741759055</c:v>
                </c:pt>
                <c:pt idx="15">
                  <c:v>338.63992954318462</c:v>
                </c:pt>
                <c:pt idx="16">
                  <c:v>351.52655093388364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90-4CE9-8C94-0E62059EACB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20000"/>
                    <a:shade val="95000"/>
                  </a:schemeClr>
                </a:contourClr>
              </a:sp3d>
            </c:spPr>
          </c:bandFmt>
        </c:bandFmts>
        <c:axId val="102552592"/>
        <c:axId val="102549712"/>
        <c:axId val="707534880"/>
      </c:surface3DChart>
      <c:catAx>
        <c:axId val="102552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  <c:auto val="1"/>
        <c:lblAlgn val="ctr"/>
        <c:lblOffset val="100"/>
        <c:noMultiLvlLbl val="0"/>
      </c:catAx>
      <c:valAx>
        <c:axId val="1025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52592"/>
        <c:crosses val="autoZero"/>
        <c:crossBetween val="midCat"/>
      </c:valAx>
      <c:serAx>
        <c:axId val="7075348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'q=0'!$F$253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39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'q=0'!$F$254:$F$270</c:f>
              <c:numCache>
                <c:formatCode>General</c:formatCode>
                <c:ptCount val="17"/>
                <c:pt idx="0">
                  <c:v>1.641553105978537E-227</c:v>
                </c:pt>
                <c:pt idx="1">
                  <c:v>4.2870990463147753E-162</c:v>
                </c:pt>
                <c:pt idx="2">
                  <c:v>1.9479710477541845E-111</c:v>
                </c:pt>
                <c:pt idx="3">
                  <c:v>7.7964536356685973E-73</c:v>
                </c:pt>
                <c:pt idx="4">
                  <c:v>3.4612128025015702E-44</c:v>
                </c:pt>
                <c:pt idx="5">
                  <c:v>7.7924409638598548E-24</c:v>
                </c:pt>
                <c:pt idx="6">
                  <c:v>1.9425799510435276E-10</c:v>
                </c:pt>
                <c:pt idx="7">
                  <c:v>7.1377505166024839E-3</c:v>
                </c:pt>
                <c:pt idx="8">
                  <c:v>5.2154434086455765</c:v>
                </c:pt>
                <c:pt idx="9">
                  <c:v>9.9815977047491025</c:v>
                </c:pt>
                <c:pt idx="10">
                  <c:v>9.990004992452393</c:v>
                </c:pt>
                <c:pt idx="11">
                  <c:v>9.9900049983337507</c:v>
                </c:pt>
                <c:pt idx="12">
                  <c:v>9.9900049983337507</c:v>
                </c:pt>
                <c:pt idx="13">
                  <c:v>9.9900049983337507</c:v>
                </c:pt>
                <c:pt idx="14">
                  <c:v>9.9900049983337507</c:v>
                </c:pt>
                <c:pt idx="15">
                  <c:v>9.9900049983337507</c:v>
                </c:pt>
                <c:pt idx="16">
                  <c:v>9.9900049983337507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0-43E6-8D39-408CEC4FFFB9}"/>
            </c:ext>
          </c:extLst>
        </c:ser>
        <c:ser>
          <c:idx val="1"/>
          <c:order val="1"/>
          <c:tx>
            <c:strRef>
              <c:f>'q=0'!$G$253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8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'q=0'!$G$254:$G$270</c:f>
              <c:numCache>
                <c:formatCode>General</c:formatCode>
                <c:ptCount val="17"/>
                <c:pt idx="0">
                  <c:v>9.8187222103124457E-114</c:v>
                </c:pt>
                <c:pt idx="1">
                  <c:v>4.749386362570978E-81</c:v>
                </c:pt>
                <c:pt idx="2">
                  <c:v>9.7699399138549059E-56</c:v>
                </c:pt>
                <c:pt idx="3">
                  <c:v>1.9275156264027636E-36</c:v>
                </c:pt>
                <c:pt idx="4">
                  <c:v>4.1122501988925371E-22</c:v>
                </c:pt>
                <c:pt idx="5">
                  <c:v>6.4754236949085947E-12</c:v>
                </c:pt>
                <c:pt idx="6">
                  <c:v>3.5863762698205365E-5</c:v>
                </c:pt>
                <c:pt idx="7">
                  <c:v>0.26662550009934899</c:v>
                </c:pt>
                <c:pt idx="8">
                  <c:v>10.602580193516067</c:v>
                </c:pt>
                <c:pt idx="9">
                  <c:v>19.722442652470058</c:v>
                </c:pt>
                <c:pt idx="10">
                  <c:v>19.959898203851797</c:v>
                </c:pt>
                <c:pt idx="11">
                  <c:v>19.960039970877752</c:v>
                </c:pt>
                <c:pt idx="12">
                  <c:v>19.960039973346657</c:v>
                </c:pt>
                <c:pt idx="13">
                  <c:v>19.96003997334666</c:v>
                </c:pt>
                <c:pt idx="14">
                  <c:v>19.96003997334666</c:v>
                </c:pt>
                <c:pt idx="15">
                  <c:v>19.96003997334666</c:v>
                </c:pt>
                <c:pt idx="16">
                  <c:v>19.96003997334666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0-43E6-8D39-408CEC4FFFB9}"/>
            </c:ext>
          </c:extLst>
        </c:ser>
        <c:ser>
          <c:idx val="2"/>
          <c:order val="2"/>
          <c:tx>
            <c:strRef>
              <c:f>'q=0'!$H$253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58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'q=0'!$H$254:$H$270</c:f>
              <c:numCache>
                <c:formatCode>General</c:formatCode>
                <c:ptCount val="17"/>
                <c:pt idx="0">
                  <c:v>1.0734044095925279E-75</c:v>
                </c:pt>
                <c:pt idx="1">
                  <c:v>6.376041443341769E-54</c:v>
                </c:pt>
                <c:pt idx="2">
                  <c:v>4.6740899589510587E-37</c:v>
                </c:pt>
                <c:pt idx="3">
                  <c:v>3.38019203838595E-24</c:v>
                </c:pt>
                <c:pt idx="4">
                  <c:v>1.216139323962606E-14</c:v>
                </c:pt>
                <c:pt idx="5">
                  <c:v>7.8772273592130144E-8</c:v>
                </c:pt>
                <c:pt idx="6">
                  <c:v>2.6301551441708345E-3</c:v>
                </c:pt>
                <c:pt idx="7">
                  <c:v>1.1298455673281689</c:v>
                </c:pt>
                <c:pt idx="8">
                  <c:v>16.097057974110687</c:v>
                </c:pt>
                <c:pt idx="9">
                  <c:v>29.005935745471149</c:v>
                </c:pt>
                <c:pt idx="10">
                  <c:v>29.904918905011474</c:v>
                </c:pt>
                <c:pt idx="11">
                  <c:v>29.910131872453039</c:v>
                </c:pt>
                <c:pt idx="12">
                  <c:v>29.910134864885052</c:v>
                </c:pt>
                <c:pt idx="13">
                  <c:v>29.910134865101188</c:v>
                </c:pt>
                <c:pt idx="14">
                  <c:v>29.910134865101192</c:v>
                </c:pt>
                <c:pt idx="15">
                  <c:v>29.910134865101192</c:v>
                </c:pt>
                <c:pt idx="16">
                  <c:v>29.910134865101192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0-43E6-8D39-408CEC4FFFB9}"/>
            </c:ext>
          </c:extLst>
        </c:ser>
        <c:ser>
          <c:idx val="3"/>
          <c:order val="3"/>
          <c:tx>
            <c:strRef>
              <c:f>'q=0'!$I$253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7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'q=0'!$I$254:$I$270</c:f>
              <c:numCache>
                <c:formatCode>General</c:formatCode>
                <c:ptCount val="17"/>
                <c:pt idx="0">
                  <c:v>1.2737154348439875E-56</c:v>
                </c:pt>
                <c:pt idx="1">
                  <c:v>2.651237331352813E-40</c:v>
                </c:pt>
                <c:pt idx="2">
                  <c:v>1.1601154770210566E-27</c:v>
                </c:pt>
                <c:pt idx="3">
                  <c:v>5.0783645010191762E-18</c:v>
                </c:pt>
                <c:pt idx="4">
                  <c:v>7.4996289002319333E-11</c:v>
                </c:pt>
                <c:pt idx="5">
                  <c:v>9.8409990815638587E-6</c:v>
                </c:pt>
                <c:pt idx="6">
                  <c:v>2.5436866319320899E-2</c:v>
                </c:pt>
                <c:pt idx="7">
                  <c:v>2.6035171220958411</c:v>
                </c:pt>
                <c:pt idx="8">
                  <c:v>21.675716900074672</c:v>
                </c:pt>
                <c:pt idx="9">
                  <c:v>37.883823051454236</c:v>
                </c:pt>
                <c:pt idx="10">
                  <c:v>39.804858626215072</c:v>
                </c:pt>
                <c:pt idx="11">
                  <c:v>39.840202266473987</c:v>
                </c:pt>
                <c:pt idx="12">
                  <c:v>39.840319490133353</c:v>
                </c:pt>
                <c:pt idx="13">
                  <c:v>39.840319573744395</c:v>
                </c:pt>
                <c:pt idx="14">
                  <c:v>39.840319573759658</c:v>
                </c:pt>
                <c:pt idx="15">
                  <c:v>39.840319573759658</c:v>
                </c:pt>
                <c:pt idx="16">
                  <c:v>39.840319573759658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0-43E6-8D39-408CEC4FFFB9}"/>
            </c:ext>
          </c:extLst>
        </c:ser>
        <c:ser>
          <c:idx val="4"/>
          <c:order val="4"/>
          <c:tx>
            <c:strRef>
              <c:f>'q=0'!$J$253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'q=0'!$J$254:$J$270</c:f>
              <c:numCache>
                <c:formatCode>General</c:formatCode>
                <c:ptCount val="17"/>
                <c:pt idx="0">
                  <c:v>3.8218212172732768E-45</c:v>
                </c:pt>
                <c:pt idx="1">
                  <c:v>4.2402219182879647E-32</c:v>
                </c:pt>
                <c:pt idx="2">
                  <c:v>5.4194445715484974E-22</c:v>
                </c:pt>
                <c:pt idx="3">
                  <c:v>2.7815974982913545E-14</c:v>
                </c:pt>
                <c:pt idx="4">
                  <c:v>1.5185100802461255E-8</c:v>
                </c:pt>
                <c:pt idx="5">
                  <c:v>1.9187547588819985E-4</c:v>
                </c:pt>
                <c:pt idx="6">
                  <c:v>0.10661748329831354</c:v>
                </c:pt>
                <c:pt idx="7">
                  <c:v>4.5893015604682583</c:v>
                </c:pt>
                <c:pt idx="8">
                  <c:v>27.325076969888265</c:v>
                </c:pt>
                <c:pt idx="9">
                  <c:v>46.450942177652628</c:v>
                </c:pt>
                <c:pt idx="10">
                  <c:v>49.630985812514382</c:v>
                </c:pt>
                <c:pt idx="11">
                  <c:v>49.749488200400314</c:v>
                </c:pt>
                <c:pt idx="12">
                  <c:v>49.750620756232365</c:v>
                </c:pt>
                <c:pt idx="13">
                  <c:v>49.750623956566649</c:v>
                </c:pt>
                <c:pt idx="14">
                  <c:v>49.750623959632989</c:v>
                </c:pt>
                <c:pt idx="15">
                  <c:v>49.750623959634119</c:v>
                </c:pt>
                <c:pt idx="16">
                  <c:v>49.750623959634119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60-43E6-8D39-408CEC4FFFB9}"/>
            </c:ext>
          </c:extLst>
        </c:ser>
        <c:ser>
          <c:idx val="5"/>
          <c:order val="5"/>
          <c:tx>
            <c:strRef>
              <c:f>'q=0'!$K$253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86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'q=0'!$K$254:$K$270</c:f>
              <c:numCache>
                <c:formatCode>General</c:formatCode>
                <c:ptCount val="17"/>
                <c:pt idx="0">
                  <c:v>1.8002854398516442E-37</c:v>
                </c:pt>
                <c:pt idx="1">
                  <c:v>1.3130420996139901E-26</c:v>
                </c:pt>
                <c:pt idx="2">
                  <c:v>3.4289609961322741E-18</c:v>
                </c:pt>
                <c:pt idx="3">
                  <c:v>9.0821805958350692E-12</c:v>
                </c:pt>
                <c:pt idx="4">
                  <c:v>5.5003958274819494E-7</c:v>
                </c:pt>
                <c:pt idx="5">
                  <c:v>1.4592045191005507E-3</c:v>
                </c:pt>
                <c:pt idx="6">
                  <c:v>0.29052218057866946</c:v>
                </c:pt>
                <c:pt idx="7">
                  <c:v>6.9930800372694062</c:v>
                </c:pt>
                <c:pt idx="8">
                  <c:v>33.035981991228653</c:v>
                </c:pt>
                <c:pt idx="9">
                  <c:v>54.782654073780755</c:v>
                </c:pt>
                <c:pt idx="10">
                  <c:v>59.360192582529834</c:v>
                </c:pt>
                <c:pt idx="11">
                  <c:v>59.635681069861462</c:v>
                </c:pt>
                <c:pt idx="12">
                  <c:v>59.641039719506949</c:v>
                </c:pt>
                <c:pt idx="13">
                  <c:v>59.641077732913743</c:v>
                </c:pt>
                <c:pt idx="14">
                  <c:v>59.64107784309136</c:v>
                </c:pt>
                <c:pt idx="15">
                  <c:v>59.641077843236026</c:v>
                </c:pt>
                <c:pt idx="16">
                  <c:v>59.641077843236118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60-43E6-8D39-408CEC4FFFB9}"/>
            </c:ext>
          </c:extLst>
        </c:ser>
        <c:ser>
          <c:idx val="6"/>
          <c:order val="6"/>
          <c:tx>
            <c:strRef>
              <c:f>'q=0'!$L$253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'q=0'!$L$254:$L$270</c:f>
              <c:numCache>
                <c:formatCode>General</c:formatCode>
                <c:ptCount val="17"/>
                <c:pt idx="0">
                  <c:v>5.6424810108498467E-32</c:v>
                </c:pt>
                <c:pt idx="1">
                  <c:v>1.1368397402833347E-22</c:v>
                </c:pt>
                <c:pt idx="2">
                  <c:v>1.8435147293688629E-15</c:v>
                </c:pt>
                <c:pt idx="3">
                  <c:v>5.8765014628742159E-10</c:v>
                </c:pt>
                <c:pt idx="4">
                  <c:v>7.3983574723071071E-6</c:v>
                </c:pt>
                <c:pt idx="5">
                  <c:v>6.4332888455462135E-3</c:v>
                </c:pt>
                <c:pt idx="6">
                  <c:v>0.61460001246215368</c:v>
                </c:pt>
                <c:pt idx="7">
                  <c:v>9.7407798347422521</c:v>
                </c:pt>
                <c:pt idx="8">
                  <c:v>38.80166687938042</c:v>
                </c:pt>
                <c:pt idx="9">
                  <c:v>62.933257045068579</c:v>
                </c:pt>
                <c:pt idx="10">
                  <c:v>68.97930980124481</c:v>
                </c:pt>
                <c:pt idx="11">
                  <c:v>69.494756917450118</c:v>
                </c:pt>
                <c:pt idx="12">
                  <c:v>69.511480031699364</c:v>
                </c:pt>
                <c:pt idx="13">
                  <c:v>69.511709531797067</c:v>
                </c:pt>
                <c:pt idx="14">
                  <c:v>69.511711000531321</c:v>
                </c:pt>
                <c:pt idx="15">
                  <c:v>69.511711005317864</c:v>
                </c:pt>
                <c:pt idx="16">
                  <c:v>69.511711005326447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60-43E6-8D39-408CEC4FFFB9}"/>
            </c:ext>
          </c:extLst>
        </c:ser>
        <c:ser>
          <c:idx val="7"/>
          <c:order val="7"/>
          <c:tx>
            <c:strRef>
              <c:f>'q=0'!$M$253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6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'q=0'!$M$254:$M$270</c:f>
              <c:numCache>
                <c:formatCode>General</c:formatCode>
                <c:ptCount val="17"/>
                <c:pt idx="0">
                  <c:v>7.6744561436066302E-28</c:v>
                </c:pt>
                <c:pt idx="1">
                  <c:v>1.0477056316338999E-19</c:v>
                </c:pt>
                <c:pt idx="2">
                  <c:v>2.1133269277831091E-13</c:v>
                </c:pt>
                <c:pt idx="3">
                  <c:v>1.3763622037866506E-8</c:v>
                </c:pt>
                <c:pt idx="4">
                  <c:v>5.3336363868796739E-5</c:v>
                </c:pt>
                <c:pt idx="5">
                  <c:v>2.0082539124395789E-2</c:v>
                </c:pt>
                <c:pt idx="6">
                  <c:v>1.1050808875887035</c:v>
                </c:pt>
                <c:pt idx="7">
                  <c:v>12.775977503387372</c:v>
                </c:pt>
                <c:pt idx="8">
                  <c:v>44.616857372460707</c:v>
                </c:pt>
                <c:pt idx="9">
                  <c:v>70.941709196962876</c:v>
                </c:pt>
                <c:pt idx="10">
                  <c:v>78.483472793431645</c:v>
                </c:pt>
                <c:pt idx="11">
                  <c:v>79.321608262959501</c:v>
                </c:pt>
                <c:pt idx="12">
                  <c:v>79.361639617438144</c:v>
                </c:pt>
                <c:pt idx="13">
                  <c:v>79.362542637149119</c:v>
                </c:pt>
                <c:pt idx="14">
                  <c:v>79.362553119095708</c:v>
                </c:pt>
                <c:pt idx="15">
                  <c:v>79.362553186704801</c:v>
                </c:pt>
                <c:pt idx="16">
                  <c:v>79.36255318696422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60-43E6-8D39-408CEC4FFFB9}"/>
            </c:ext>
          </c:extLst>
        </c:ser>
        <c:ser>
          <c:idx val="8"/>
          <c:order val="8"/>
          <c:tx>
            <c:strRef>
              <c:f>'q=0'!$N$253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86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'q=0'!$N$254:$N$270</c:f>
              <c:numCache>
                <c:formatCode>General</c:formatCode>
                <c:ptCount val="17"/>
                <c:pt idx="0">
                  <c:v>1.2851489079788704E-24</c:v>
                </c:pt>
                <c:pt idx="1">
                  <c:v>2.1621620814411144E-17</c:v>
                </c:pt>
                <c:pt idx="2">
                  <c:v>8.6206592479276146E-12</c:v>
                </c:pt>
                <c:pt idx="3">
                  <c:v>1.6324287130996327E-7</c:v>
                </c:pt>
                <c:pt idx="4">
                  <c:v>2.5295504128369301E-4</c:v>
                </c:pt>
                <c:pt idx="5">
                  <c:v>4.965472680548666E-2</c:v>
                </c:pt>
                <c:pt idx="6">
                  <c:v>1.7777224724965428</c:v>
                </c:pt>
                <c:pt idx="7">
                  <c:v>16.055487746950433</c:v>
                </c:pt>
                <c:pt idx="8">
                  <c:v>50.47728449952892</c:v>
                </c:pt>
                <c:pt idx="9">
                  <c:v>78.836434145986033</c:v>
                </c:pt>
                <c:pt idx="10">
                  <c:v>87.873343001175186</c:v>
                </c:pt>
                <c:pt idx="11">
                  <c:v>89.110891324820571</c:v>
                </c:pt>
                <c:pt idx="12">
                  <c:v>89.190922732291682</c:v>
                </c:pt>
                <c:pt idx="13">
                  <c:v>89.193584395471191</c:v>
                </c:pt>
                <c:pt idx="14">
                  <c:v>89.193633546231695</c:v>
                </c:pt>
                <c:pt idx="15">
                  <c:v>89.193634085801492</c:v>
                </c:pt>
                <c:pt idx="16">
                  <c:v>89.193634089542201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60-43E6-8D39-408CEC4FFFB9}"/>
            </c:ext>
          </c:extLst>
        </c:ser>
        <c:ser>
          <c:idx val="9"/>
          <c:order val="9"/>
          <c:tx>
            <c:strRef>
              <c:f>'q=0'!$O$253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'q=0'!$O$254:$O$270</c:f>
              <c:numCache>
                <c:formatCode>General</c:formatCode>
                <c:ptCount val="17"/>
                <c:pt idx="0">
                  <c:v>4.9565340175784387E-22</c:v>
                </c:pt>
                <c:pt idx="1">
                  <c:v>1.5620774385176444E-15</c:v>
                </c:pt>
                <c:pt idx="2">
                  <c:v>1.7024772121921013E-10</c:v>
                </c:pt>
                <c:pt idx="3">
                  <c:v>1.1999617605265421E-6</c:v>
                </c:pt>
                <c:pt idx="4">
                  <c:v>8.9299415502144114E-4</c:v>
                </c:pt>
                <c:pt idx="5">
                  <c:v>0.10407181245529616</c:v>
                </c:pt>
                <c:pt idx="6">
                  <c:v>2.6401437529876723</c:v>
                </c:pt>
                <c:pt idx="7">
                  <c:v>19.545754699748962</c:v>
                </c:pt>
                <c:pt idx="8">
                  <c:v>56.37939597115281</c:v>
                </c:pt>
                <c:pt idx="9">
                  <c:v>86.638608819868125</c:v>
                </c:pt>
                <c:pt idx="10">
                  <c:v>97.152834057768871</c:v>
                </c:pt>
                <c:pt idx="11">
                  <c:v>98.857679656492337</c:v>
                </c:pt>
                <c:pt idx="12">
                  <c:v>98.998415410794919</c:v>
                </c:pt>
                <c:pt idx="13">
                  <c:v>99.004809118065594</c:v>
                </c:pt>
                <c:pt idx="14">
                  <c:v>99.004980462097549</c:v>
                </c:pt>
                <c:pt idx="15">
                  <c:v>99.004983342595096</c:v>
                </c:pt>
                <c:pt idx="16">
                  <c:v>99.004983374667319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60-43E6-8D39-408CEC4FFFB9}"/>
            </c:ext>
          </c:extLst>
        </c:ser>
        <c:ser>
          <c:idx val="10"/>
          <c:order val="10"/>
          <c:tx>
            <c:strRef>
              <c:f>'q=0'!$P$253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8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'q=0'!$P$254:$P$270</c:f>
              <c:numCache>
                <c:formatCode>General</c:formatCode>
                <c:ptCount val="17"/>
                <c:pt idx="0">
                  <c:v>2.9625681881726952E-10</c:v>
                </c:pt>
                <c:pt idx="1">
                  <c:v>4.9742406600242002E-7</c:v>
                </c:pt>
                <c:pt idx="2">
                  <c:v>1.5814002213361178E-4</c:v>
                </c:pt>
                <c:pt idx="3">
                  <c:v>1.3030544475483807E-2</c:v>
                </c:pt>
                <c:pt idx="4">
                  <c:v>0.35627324847219083</c:v>
                </c:pt>
                <c:pt idx="5">
                  <c:v>3.9481315095357599</c:v>
                </c:pt>
                <c:pt idx="6">
                  <c:v>20.980085575820251</c:v>
                </c:pt>
                <c:pt idx="7">
                  <c:v>62.018613359043243</c:v>
                </c:pt>
                <c:pt idx="8">
                  <c:v>117.17970668275383</c:v>
                </c:pt>
                <c:pt idx="9">
                  <c:v>161.87888979227972</c:v>
                </c:pt>
                <c:pt idx="10">
                  <c:v>185.19599406842477</c:v>
                </c:pt>
                <c:pt idx="11">
                  <c:v>193.47679765716148</c:v>
                </c:pt>
                <c:pt idx="12">
                  <c:v>195.57759591312399</c:v>
                </c:pt>
                <c:pt idx="13">
                  <c:v>195.9744552338023</c:v>
                </c:pt>
                <c:pt idx="14">
                  <c:v>196.03232255192489</c:v>
                </c:pt>
                <c:pt idx="15">
                  <c:v>196.03904178146894</c:v>
                </c:pt>
                <c:pt idx="16">
                  <c:v>196.0396801673327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60-43E6-8D39-408CEC4FFFB9}"/>
            </c:ext>
          </c:extLst>
        </c:ser>
        <c:ser>
          <c:idx val="11"/>
          <c:order val="11"/>
          <c:tx>
            <c:strRef>
              <c:f>'q=0'!$Q$253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58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'q=0'!$Q$254:$Q$270</c:f>
              <c:numCache>
                <c:formatCode>General</c:formatCode>
                <c:ptCount val="17"/>
                <c:pt idx="0">
                  <c:v>3.2041744077805241E-6</c:v>
                </c:pt>
                <c:pt idx="1">
                  <c:v>4.3601226285741351E-4</c:v>
                </c:pt>
                <c:pt idx="2">
                  <c:v>1.9790140158374096E-2</c:v>
                </c:pt>
                <c:pt idx="3">
                  <c:v>0.36946835976141862</c:v>
                </c:pt>
                <c:pt idx="4">
                  <c:v>3.3471937335324244</c:v>
                </c:pt>
                <c:pt idx="5">
                  <c:v>16.828040360966277</c:v>
                </c:pt>
                <c:pt idx="6">
                  <c:v>52.547460630123489</c:v>
                </c:pt>
                <c:pt idx="7">
                  <c:v>112.44272228148991</c:v>
                </c:pt>
                <c:pt idx="8">
                  <c:v>180.23984767739293</c:v>
                </c:pt>
                <c:pt idx="9">
                  <c:v>234.91255400973751</c:v>
                </c:pt>
                <c:pt idx="10">
                  <c:v>267.7816405895245</c:v>
                </c:pt>
                <c:pt idx="11">
                  <c:v>283.09175446033976</c:v>
                </c:pt>
                <c:pt idx="12">
                  <c:v>288.80115110315461</c:v>
                </c:pt>
                <c:pt idx="13">
                  <c:v>290.55431530802588</c:v>
                </c:pt>
                <c:pt idx="14">
                  <c:v>291.008430195247</c:v>
                </c:pt>
                <c:pt idx="15">
                  <c:v>291.10974557725348</c:v>
                </c:pt>
                <c:pt idx="16">
                  <c:v>291.12956988437332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260-43E6-8D39-408CEC4FFFB9}"/>
            </c:ext>
          </c:extLst>
        </c:ser>
        <c:ser>
          <c:idx val="12"/>
          <c:order val="12"/>
          <c:tx>
            <c:strRef>
              <c:f>'q=0'!$R$253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9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'q=0'!$R$254:$R$270</c:f>
              <c:numCache>
                <c:formatCode>General</c:formatCode>
                <c:ptCount val="17"/>
                <c:pt idx="0">
                  <c:v>3.7523154783471798E-4</c:v>
                </c:pt>
                <c:pt idx="1">
                  <c:v>1.4533673597427381E-2</c:v>
                </c:pt>
                <c:pt idx="2">
                  <c:v>0.24913611060470042</c:v>
                </c:pt>
                <c:pt idx="3">
                  <c:v>2.2117419063969725</c:v>
                </c:pt>
                <c:pt idx="4">
                  <c:v>11.512697843671857</c:v>
                </c:pt>
                <c:pt idx="5">
                  <c:v>38.86244347527866</c:v>
                </c:pt>
                <c:pt idx="6">
                  <c:v>92.558361445530593</c:v>
                </c:pt>
                <c:pt idx="7">
                  <c:v>167.28712913649767</c:v>
                </c:pt>
                <c:pt idx="8">
                  <c:v>244.74406567121272</c:v>
                </c:pt>
                <c:pt idx="9">
                  <c:v>307.05178942131579</c:v>
                </c:pt>
                <c:pt idx="10">
                  <c:v>347.31769404379759</c:v>
                </c:pt>
                <c:pt idx="11">
                  <c:v>368.84131062808984</c:v>
                </c:pt>
                <c:pt idx="12">
                  <c:v>378.59636972134138</c:v>
                </c:pt>
                <c:pt idx="13">
                  <c:v>382.42512706458473</c:v>
                </c:pt>
                <c:pt idx="14">
                  <c:v>383.75027885188655</c:v>
                </c:pt>
                <c:pt idx="15">
                  <c:v>384.16107520637604</c:v>
                </c:pt>
                <c:pt idx="16">
                  <c:v>384.27668557419531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260-43E6-8D39-408CEC4FFFB9}"/>
            </c:ext>
          </c:extLst>
        </c:ser>
        <c:ser>
          <c:idx val="13"/>
          <c:order val="13"/>
          <c:tx>
            <c:strRef>
              <c:f>'q=0'!$S$253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0000"/>
                  <a:shade val="95000"/>
                </a:schemeClr>
              </a:contourClr>
            </a:sp3d>
          </c:spPr>
          <c:cat>
            <c:numRef>
              <c:f>'q=0'!$E$254:$E$270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'q=0'!$S$254:$S$270</c:f>
              <c:numCache>
                <c:formatCode>General</c:formatCode>
                <c:ptCount val="17"/>
                <c:pt idx="0">
                  <c:v>7.0042501896429724E-3</c:v>
                </c:pt>
                <c:pt idx="1">
                  <c:v>0.12763596624669782</c:v>
                </c:pt>
                <c:pt idx="2">
                  <c:v>1.2194588133343358</c:v>
                </c:pt>
                <c:pt idx="3">
                  <c:v>6.9260635640923374</c:v>
                </c:pt>
                <c:pt idx="4">
                  <c:v>25.824461383109348</c:v>
                </c:pt>
                <c:pt idx="5">
                  <c:v>68.512011157963101</c:v>
                </c:pt>
                <c:pt idx="6">
                  <c:v>138.30678902103335</c:v>
                </c:pt>
                <c:pt idx="7">
                  <c:v>225.01525145546884</c:v>
                </c:pt>
                <c:pt idx="8">
                  <c:v>310.20383271045563</c:v>
                </c:pt>
                <c:pt idx="9">
                  <c:v>378.62785195483758</c:v>
                </c:pt>
                <c:pt idx="10">
                  <c:v>424.82474377270159</c:v>
                </c:pt>
                <c:pt idx="11">
                  <c:v>451.66313314685397</c:v>
                </c:pt>
                <c:pt idx="12">
                  <c:v>465.34817532852253</c:v>
                </c:pt>
                <c:pt idx="13">
                  <c:v>471.57705067491599</c:v>
                </c:pt>
                <c:pt idx="14">
                  <c:v>474.14459045318819</c:v>
                </c:pt>
                <c:pt idx="15">
                  <c:v>475.11500881269768</c:v>
                </c:pt>
                <c:pt idx="16">
                  <c:v>475.45493841704553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60-43E6-8D39-408CEC4FFFB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0"/>
                    <a:shade val="95000"/>
                  </a:schemeClr>
                </a:contourClr>
              </a:sp3d>
            </c:spPr>
          </c:bandFmt>
        </c:bandFmts>
        <c:axId val="475156736"/>
        <c:axId val="475157216"/>
        <c:axId val="714291168"/>
      </c:surface3DChart>
      <c:catAx>
        <c:axId val="475156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5157216"/>
        <c:crosses val="autoZero"/>
        <c:auto val="1"/>
        <c:lblAlgn val="ctr"/>
        <c:lblOffset val="100"/>
        <c:noMultiLvlLbl val="0"/>
      </c:catAx>
      <c:valAx>
        <c:axId val="47515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5156736"/>
        <c:crosses val="autoZero"/>
        <c:crossBetween val="midCat"/>
      </c:valAx>
      <c:serAx>
        <c:axId val="714291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515721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70%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'q=0'!$F$272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39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'q=0'!$F$273:$F$289</c:f>
              <c:numCache>
                <c:formatCode>General</c:formatCode>
                <c:ptCount val="17"/>
                <c:pt idx="0">
                  <c:v>7.8848698337824E-2</c:v>
                </c:pt>
                <c:pt idx="1">
                  <c:v>0.20053059097119499</c:v>
                </c:pt>
                <c:pt idx="2">
                  <c:v>0.42905078089390242</c:v>
                </c:pt>
                <c:pt idx="3">
                  <c:v>0.79815275893770843</c:v>
                </c:pt>
                <c:pt idx="4">
                  <c:v>1.3245945642229431</c:v>
                </c:pt>
                <c:pt idx="5">
                  <c:v>2.0015642932106616</c:v>
                </c:pt>
                <c:pt idx="6">
                  <c:v>2.7995862869429593</c:v>
                </c:pt>
                <c:pt idx="7">
                  <c:v>3.6735864096645057</c:v>
                </c:pt>
                <c:pt idx="8">
                  <c:v>4.5726934116265587</c:v>
                </c:pt>
                <c:pt idx="9">
                  <c:v>5.4493471306727219</c:v>
                </c:pt>
                <c:pt idx="10">
                  <c:v>6.265575346159638</c:v>
                </c:pt>
                <c:pt idx="11">
                  <c:v>6.9958421097670866</c:v>
                </c:pt>
                <c:pt idx="12">
                  <c:v>7.6269875334723949</c:v>
                </c:pt>
                <c:pt idx="13">
                  <c:v>8.1562833898178528</c:v>
                </c:pt>
                <c:pt idx="14">
                  <c:v>8.5886439510280397</c:v>
                </c:pt>
                <c:pt idx="15">
                  <c:v>8.9337823875208997</c:v>
                </c:pt>
                <c:pt idx="16">
                  <c:v>9.2037830790934709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44-405D-A788-CB1A9B314B30}"/>
            </c:ext>
          </c:extLst>
        </c:ser>
        <c:ser>
          <c:idx val="1"/>
          <c:order val="1"/>
          <c:tx>
            <c:strRef>
              <c:f>'q=0'!$G$272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8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'q=0'!$G$273:$G$289</c:f>
              <c:numCache>
                <c:formatCode>General</c:formatCode>
                <c:ptCount val="17"/>
                <c:pt idx="0">
                  <c:v>0.74614760349878029</c:v>
                </c:pt>
                <c:pt idx="1">
                  <c:v>1.2670104484419791</c:v>
                </c:pt>
                <c:pt idx="2">
                  <c:v>1.9683292905381609</c:v>
                </c:pt>
                <c:pt idx="3">
                  <c:v>2.8445393420064375</c:v>
                </c:pt>
                <c:pt idx="4">
                  <c:v>3.8739383761510222</c:v>
                </c:pt>
                <c:pt idx="5">
                  <c:v>5.023089186370906</c:v>
                </c:pt>
                <c:pt idx="6">
                  <c:v>6.2522080141618313</c:v>
                </c:pt>
                <c:pt idx="7">
                  <c:v>7.5202580272342248</c:v>
                </c:pt>
                <c:pt idx="8">
                  <c:v>8.7889776917006763</c:v>
                </c:pt>
                <c:pt idx="9">
                  <c:v>10.025555362783129</c:v>
                </c:pt>
                <c:pt idx="10">
                  <c:v>11.204004811943674</c:v>
                </c:pt>
                <c:pt idx="11">
                  <c:v>12.305485544371027</c:v>
                </c:pt>
                <c:pt idx="12">
                  <c:v>13.317877399434112</c:v>
                </c:pt>
                <c:pt idx="13">
                  <c:v>14.234905096795366</c:v>
                </c:pt>
                <c:pt idx="14">
                  <c:v>15.055054279654044</c:v>
                </c:pt>
                <c:pt idx="15">
                  <c:v>15.780454043089298</c:v>
                </c:pt>
                <c:pt idx="16">
                  <c:v>16.415838361530223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44-405D-A788-CB1A9B314B30}"/>
            </c:ext>
          </c:extLst>
        </c:ser>
        <c:ser>
          <c:idx val="2"/>
          <c:order val="2"/>
          <c:tx>
            <c:strRef>
              <c:f>'q=0'!$H$272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58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'q=0'!$H$273:$H$289</c:f>
              <c:numCache>
                <c:formatCode>General</c:formatCode>
                <c:ptCount val="17"/>
                <c:pt idx="0">
                  <c:v>1.9361576177690814</c:v>
                </c:pt>
                <c:pt idx="1">
                  <c:v>2.8573271033642325</c:v>
                </c:pt>
                <c:pt idx="2">
                  <c:v>3.9662492423125206</c:v>
                </c:pt>
                <c:pt idx="3">
                  <c:v>5.2371874424224361</c:v>
                </c:pt>
                <c:pt idx="4">
                  <c:v>6.6362600639307114</c:v>
                </c:pt>
                <c:pt idx="5">
                  <c:v>8.1257801159640444</c:v>
                </c:pt>
                <c:pt idx="6">
                  <c:v>9.6679138510541627</c:v>
                </c:pt>
                <c:pt idx="7">
                  <c:v>11.227391955753525</c:v>
                </c:pt>
                <c:pt idx="8">
                  <c:v>12.773256772937067</c:v>
                </c:pt>
                <c:pt idx="9">
                  <c:v>14.27977126747426</c:v>
                </c:pt>
                <c:pt idx="10">
                  <c:v>15.726675346433295</c:v>
                </c:pt>
                <c:pt idx="11">
                  <c:v>17.098981792999101</c:v>
                </c:pt>
                <c:pt idx="12">
                  <c:v>18.386481738273588</c:v>
                </c:pt>
                <c:pt idx="13">
                  <c:v>19.583095288250583</c:v>
                </c:pt>
                <c:pt idx="14">
                  <c:v>20.686167047609985</c:v>
                </c:pt>
                <c:pt idx="15">
                  <c:v>21.695774297526011</c:v>
                </c:pt>
                <c:pt idx="16">
                  <c:v>22.614089699400331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44-405D-A788-CB1A9B314B30}"/>
            </c:ext>
          </c:extLst>
        </c:ser>
        <c:ser>
          <c:idx val="3"/>
          <c:order val="3"/>
          <c:tx>
            <c:strRef>
              <c:f>'q=0'!$I$272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7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'q=0'!$I$273:$I$289</c:f>
              <c:numCache>
                <c:formatCode>General</c:formatCode>
                <c:ptCount val="17"/>
                <c:pt idx="0">
                  <c:v>3.4240399291339108</c:v>
                </c:pt>
                <c:pt idx="1">
                  <c:v>4.6986407174876534</c:v>
                </c:pt>
                <c:pt idx="2">
                  <c:v>6.1491893731128888</c:v>
                </c:pt>
                <c:pt idx="3">
                  <c:v>7.7412714369603366</c:v>
                </c:pt>
                <c:pt idx="4">
                  <c:v>9.4376264733781898</c:v>
                </c:pt>
                <c:pt idx="5">
                  <c:v>11.201259254743762</c:v>
                </c:pt>
                <c:pt idx="6">
                  <c:v>12.997651023175871</c:v>
                </c:pt>
                <c:pt idx="7">
                  <c:v>14.796146279493332</c:v>
                </c:pt>
                <c:pt idx="8">
                  <c:v>16.570664486289598</c:v>
                </c:pt>
                <c:pt idx="9">
                  <c:v>18.299904381168947</c:v>
                </c:pt>
                <c:pt idx="10">
                  <c:v>19.967196299018099</c:v>
                </c:pt>
                <c:pt idx="11">
                  <c:v>21.560131951026467</c:v>
                </c:pt>
                <c:pt idx="12">
                  <c:v>23.070071713161305</c:v>
                </c:pt>
                <c:pt idx="13">
                  <c:v>24.49160205945125</c:v>
                </c:pt>
                <c:pt idx="14">
                  <c:v>25.82199270405842</c:v>
                </c:pt>
                <c:pt idx="15">
                  <c:v>27.060684890117962</c:v>
                </c:pt>
                <c:pt idx="16">
                  <c:v>28.208828766766189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44-405D-A788-CB1A9B314B30}"/>
            </c:ext>
          </c:extLst>
        </c:ser>
        <c:ser>
          <c:idx val="4"/>
          <c:order val="4"/>
          <c:tx>
            <c:strRef>
              <c:f>'q=0'!$J$272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'q=0'!$J$273:$J$289</c:f>
              <c:numCache>
                <c:formatCode>General</c:formatCode>
                <c:ptCount val="17"/>
                <c:pt idx="0">
                  <c:v>5.08190349256658</c:v>
                </c:pt>
                <c:pt idx="1">
                  <c:v>6.6663829324987276</c:v>
                </c:pt>
                <c:pt idx="2">
                  <c:v>8.4096918909291034</c:v>
                </c:pt>
                <c:pt idx="3">
                  <c:v>10.27399074617704</c:v>
                </c:pt>
                <c:pt idx="4">
                  <c:v>12.221847438423127</c:v>
                </c:pt>
                <c:pt idx="5">
                  <c:v>14.218271694061071</c:v>
                </c:pt>
                <c:pt idx="6">
                  <c:v>16.23195952584193</c:v>
                </c:pt>
                <c:pt idx="7">
                  <c:v>18.235919043017915</c:v>
                </c:pt>
                <c:pt idx="8">
                  <c:v>20.20764544779022</c:v>
                </c:pt>
                <c:pt idx="9">
                  <c:v>22.128989827205015</c:v>
                </c:pt>
                <c:pt idx="10">
                  <c:v>23.985836689539273</c:v>
                </c:pt>
                <c:pt idx="11">
                  <c:v>25.767676330131088</c:v>
                </c:pt>
                <c:pt idx="12">
                  <c:v>27.46713323992061</c:v>
                </c:pt>
                <c:pt idx="13">
                  <c:v>29.079491847984695</c:v>
                </c:pt>
                <c:pt idx="14">
                  <c:v>30.602245739510529</c:v>
                </c:pt>
                <c:pt idx="15">
                  <c:v>32.034685446650627</c:v>
                </c:pt>
                <c:pt idx="16">
                  <c:v>33.377532167740945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44-405D-A788-CB1A9B314B30}"/>
            </c:ext>
          </c:extLst>
        </c:ser>
        <c:ser>
          <c:idx val="5"/>
          <c:order val="5"/>
          <c:tx>
            <c:strRef>
              <c:f>'q=0'!$K$272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86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'q=0'!$K$273:$K$289</c:f>
              <c:numCache>
                <c:formatCode>General</c:formatCode>
                <c:ptCount val="17"/>
                <c:pt idx="0">
                  <c:v>6.83803980462321</c:v>
                </c:pt>
                <c:pt idx="1">
                  <c:v>8.6969192610218737</c:v>
                </c:pt>
                <c:pt idx="2">
                  <c:v>10.696536660100842</c:v>
                </c:pt>
                <c:pt idx="3">
                  <c:v>12.798149182333342</c:v>
                </c:pt>
                <c:pt idx="4">
                  <c:v>14.965435327465926</c:v>
                </c:pt>
                <c:pt idx="5">
                  <c:v>17.165720072380644</c:v>
                </c:pt>
                <c:pt idx="6">
                  <c:v>19.370579170822623</c:v>
                </c:pt>
                <c:pt idx="7">
                  <c:v>21.556003771217657</c:v>
                </c:pt>
                <c:pt idx="8">
                  <c:v>23.702273139255801</c:v>
                </c:pt>
                <c:pt idx="9">
                  <c:v>25.793648396515209</c:v>
                </c:pt>
                <c:pt idx="10">
                  <c:v>27.817969308751401</c:v>
                </c:pt>
                <c:pt idx="11">
                  <c:v>29.766211090686422</c:v>
                </c:pt>
                <c:pt idx="12">
                  <c:v>31.632038949082116</c:v>
                </c:pt>
                <c:pt idx="13">
                  <c:v>33.411383910228807</c:v>
                </c:pt>
                <c:pt idx="14">
                  <c:v>35.102053395334487</c:v>
                </c:pt>
                <c:pt idx="15">
                  <c:v>36.703383072571974</c:v>
                </c:pt>
                <c:pt idx="16">
                  <c:v>38.2159319167151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44-405D-A788-CB1A9B314B30}"/>
            </c:ext>
          </c:extLst>
        </c:ser>
        <c:ser>
          <c:idx val="6"/>
          <c:order val="6"/>
          <c:tx>
            <c:strRef>
              <c:f>'q=0'!$L$272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'q=0'!$L$273:$L$289</c:f>
              <c:numCache>
                <c:formatCode>General</c:formatCode>
                <c:ptCount val="17"/>
                <c:pt idx="0">
                  <c:v>8.6496973179832182</c:v>
                </c:pt>
                <c:pt idx="1">
                  <c:v>10.754362172719512</c:v>
                </c:pt>
                <c:pt idx="2">
                  <c:v>12.982173902682737</c:v>
                </c:pt>
                <c:pt idx="3">
                  <c:v>15.29476114907699</c:v>
                </c:pt>
                <c:pt idx="4">
                  <c:v>17.657435377715125</c:v>
                </c:pt>
                <c:pt idx="5">
                  <c:v>20.039825103371282</c:v>
                </c:pt>
                <c:pt idx="6">
                  <c:v>22.416048566631435</c:v>
                </c:pt>
                <c:pt idx="7">
                  <c:v>24.764587143476923</c:v>
                </c:pt>
                <c:pt idx="8">
                  <c:v>27.067979144855325</c:v>
                </c:pt>
                <c:pt idx="9">
                  <c:v>29.312418412897678</c:v>
                </c:pt>
                <c:pt idx="10">
                  <c:v>31.487314865504295</c:v>
                </c:pt>
                <c:pt idx="11">
                  <c:v>33.584853996011248</c:v>
                </c:pt>
                <c:pt idx="12">
                  <c:v>35.599577949676515</c:v>
                </c:pt>
                <c:pt idx="13">
                  <c:v>37.528000831757829</c:v>
                </c:pt>
                <c:pt idx="14">
                  <c:v>39.368264200870847</c:v>
                </c:pt>
                <c:pt idx="15">
                  <c:v>41.119834348114566</c:v>
                </c:pt>
                <c:pt idx="16">
                  <c:v>42.783240258040586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44-405D-A788-CB1A9B314B30}"/>
            </c:ext>
          </c:extLst>
        </c:ser>
        <c:ser>
          <c:idx val="7"/>
          <c:order val="7"/>
          <c:tx>
            <c:strRef>
              <c:f>'q=0'!$M$272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6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'q=0'!$M$273:$M$289</c:f>
              <c:numCache>
                <c:formatCode>General</c:formatCode>
                <c:ptCount val="17"/>
                <c:pt idx="0">
                  <c:v>10.489919546237894</c:v>
                </c:pt>
                <c:pt idx="1">
                  <c:v>12.816993573514528</c:v>
                </c:pt>
                <c:pt idx="2">
                  <c:v>15.250611824202377</c:v>
                </c:pt>
                <c:pt idx="3">
                  <c:v>17.753437033997947</c:v>
                </c:pt>
                <c:pt idx="4">
                  <c:v>20.292605861246088</c:v>
                </c:pt>
                <c:pt idx="5">
                  <c:v>22.83993188664768</c:v>
                </c:pt>
                <c:pt idx="6">
                  <c:v>25.371781799277056</c:v>
                </c:pt>
                <c:pt idx="7">
                  <c:v>27.868759832719427</c:v>
                </c:pt>
                <c:pt idx="8">
                  <c:v>30.315292980256306</c:v>
                </c:pt>
                <c:pt idx="9">
                  <c:v>32.699178006209102</c:v>
                </c:pt>
                <c:pt idx="10">
                  <c:v>35.011128792061939</c:v>
                </c:pt>
                <c:pt idx="11">
                  <c:v>37.24434698986191</c:v>
                </c:pt>
                <c:pt idx="12">
                  <c:v>39.3941284610816</c:v>
                </c:pt>
                <c:pt idx="13">
                  <c:v>41.457511099340373</c:v>
                </c:pt>
                <c:pt idx="14">
                  <c:v>43.43296527393111</c:v>
                </c:pt>
                <c:pt idx="15">
                  <c:v>45.320125489851364</c:v>
                </c:pt>
                <c:pt idx="16">
                  <c:v>47.119560371028975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44-405D-A788-CB1A9B314B30}"/>
            </c:ext>
          </c:extLst>
        </c:ser>
        <c:ser>
          <c:idx val="8"/>
          <c:order val="8"/>
          <c:tx>
            <c:strRef>
              <c:f>'q=0'!$N$272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86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'q=0'!$N$273:$N$289</c:f>
              <c:numCache>
                <c:formatCode>General</c:formatCode>
                <c:ptCount val="17"/>
                <c:pt idx="0">
                  <c:v>12.340941914572896</c:v>
                </c:pt>
                <c:pt idx="1">
                  <c:v>14.871001133314559</c:v>
                </c:pt>
                <c:pt idx="2">
                  <c:v>17.492110673958443</c:v>
                </c:pt>
                <c:pt idx="3">
                  <c:v>20.168310934141424</c:v>
                </c:pt>
                <c:pt idx="4">
                  <c:v>22.868603734151179</c:v>
                </c:pt>
                <c:pt idx="5">
                  <c:v>25.566838932096445</c:v>
                </c:pt>
                <c:pt idx="6">
                  <c:v>28.241384068164201</c:v>
                </c:pt>
                <c:pt idx="7">
                  <c:v>30.874684350710879</c:v>
                </c:pt>
                <c:pt idx="8">
                  <c:v>33.452781834166728</c:v>
                </c:pt>
                <c:pt idx="9">
                  <c:v>35.964836130361554</c:v>
                </c:pt>
                <c:pt idx="10">
                  <c:v>38.402671196310934</c:v>
                </c:pt>
                <c:pt idx="11">
                  <c:v>40.760361079300786</c:v>
                </c:pt>
                <c:pt idx="12">
                  <c:v>43.033860060424495</c:v>
                </c:pt>
                <c:pt idx="13">
                  <c:v>45.220678049520814</c:v>
                </c:pt>
                <c:pt idx="14">
                  <c:v>47.319599389092645</c:v>
                </c:pt>
                <c:pt idx="15">
                  <c:v>49.330441763489233</c:v>
                </c:pt>
                <c:pt idx="16">
                  <c:v>51.253851235907469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44-405D-A788-CB1A9B314B30}"/>
            </c:ext>
          </c:extLst>
        </c:ser>
        <c:ser>
          <c:idx val="9"/>
          <c:order val="9"/>
          <c:tx>
            <c:strRef>
              <c:f>'q=0'!$O$272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'q=0'!$O$273:$O$289</c:f>
              <c:numCache>
                <c:formatCode>General</c:formatCode>
                <c:ptCount val="17"/>
                <c:pt idx="0">
                  <c:v>14.190655342240106</c:v>
                </c:pt>
                <c:pt idx="1">
                  <c:v>16.907291349624085</c:v>
                </c:pt>
                <c:pt idx="2">
                  <c:v>19.700571753215964</c:v>
                </c:pt>
                <c:pt idx="3">
                  <c:v>22.536083963775909</c:v>
                </c:pt>
                <c:pt idx="4">
                  <c:v>25.384662917763606</c:v>
                </c:pt>
                <c:pt idx="5">
                  <c:v>28.222044305936027</c:v>
                </c:pt>
                <c:pt idx="6">
                  <c:v>31.028389198248284</c:v>
                </c:pt>
                <c:pt idx="7">
                  <c:v>33.78776190598218</c:v>
                </c:pt>
                <c:pt idx="8">
                  <c:v>36.48761002291878</c:v>
                </c:pt>
                <c:pt idx="9">
                  <c:v>39.118274184144269</c:v>
                </c:pt>
                <c:pt idx="10">
                  <c:v>41.672541468251289</c:v>
                </c:pt>
                <c:pt idx="11">
                  <c:v>44.145247933843102</c:v>
                </c:pt>
                <c:pt idx="12">
                  <c:v>46.532930733962495</c:v>
                </c:pt>
                <c:pt idx="13">
                  <c:v>48.833527387550049</c:v>
                </c:pt>
                <c:pt idx="14">
                  <c:v>51.046118305165173</c:v>
                </c:pt>
                <c:pt idx="15">
                  <c:v>53.170708041326641</c:v>
                </c:pt>
                <c:pt idx="16">
                  <c:v>55.20804063617522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844-405D-A788-CB1A9B314B30}"/>
            </c:ext>
          </c:extLst>
        </c:ser>
        <c:ser>
          <c:idx val="10"/>
          <c:order val="10"/>
          <c:tx>
            <c:strRef>
              <c:f>'q=0'!$P$272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8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'q=0'!$P$273:$P$289</c:f>
              <c:numCache>
                <c:formatCode>General</c:formatCode>
                <c:ptCount val="17"/>
                <c:pt idx="0">
                  <c:v>31.541941323972445</c:v>
                </c:pt>
                <c:pt idx="1">
                  <c:v>35.567528313919013</c:v>
                </c:pt>
                <c:pt idx="2">
                  <c:v>39.56861459918138</c:v>
                </c:pt>
                <c:pt idx="3">
                  <c:v>43.525583759537568</c:v>
                </c:pt>
                <c:pt idx="4">
                  <c:v>47.423428124440491</c:v>
                </c:pt>
                <c:pt idx="5">
                  <c:v>51.250821797131835</c:v>
                </c:pt>
                <c:pt idx="6">
                  <c:v>54.999378331561111</c:v>
                </c:pt>
                <c:pt idx="7">
                  <c:v>58.663056778645405</c:v>
                </c:pt>
                <c:pt idx="8">
                  <c:v>62.237686256662478</c:v>
                </c:pt>
                <c:pt idx="9">
                  <c:v>65.720584978117571</c:v>
                </c:pt>
                <c:pt idx="10">
                  <c:v>69.110254527174575</c:v>
                </c:pt>
                <c:pt idx="11">
                  <c:v>72.406134141261475</c:v>
                </c:pt>
                <c:pt idx="12">
                  <c:v>75.608402918803634</c:v>
                </c:pt>
                <c:pt idx="13">
                  <c:v>78.717820386276159</c:v>
                </c:pt>
                <c:pt idx="14">
                  <c:v>81.735597838674209</c:v>
                </c:pt>
                <c:pt idx="15">
                  <c:v>84.663294427122636</c:v>
                </c:pt>
                <c:pt idx="16">
                  <c:v>87.502733195208862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44-405D-A788-CB1A9B314B30}"/>
            </c:ext>
          </c:extLst>
        </c:ser>
        <c:ser>
          <c:idx val="11"/>
          <c:order val="11"/>
          <c:tx>
            <c:strRef>
              <c:f>'q=0'!$Q$272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58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'q=0'!$Q$273:$Q$289</c:f>
              <c:numCache>
                <c:formatCode>General</c:formatCode>
                <c:ptCount val="17"/>
                <c:pt idx="0">
                  <c:v>45.993188469136847</c:v>
                </c:pt>
                <c:pt idx="1">
                  <c:v>50.784305315054048</c:v>
                </c:pt>
                <c:pt idx="2">
                  <c:v>55.492660840610853</c:v>
                </c:pt>
                <c:pt idx="3">
                  <c:v>60.108743697913248</c:v>
                </c:pt>
                <c:pt idx="4">
                  <c:v>64.626144181993737</c:v>
                </c:pt>
                <c:pt idx="5">
                  <c:v>69.040789657458802</c:v>
                </c:pt>
                <c:pt idx="6">
                  <c:v>73.350373266500185</c:v>
                </c:pt>
                <c:pt idx="7">
                  <c:v>77.553923508347836</c:v>
                </c:pt>
                <c:pt idx="8">
                  <c:v>81.651477590736761</c:v>
                </c:pt>
                <c:pt idx="9">
                  <c:v>85.64383197290185</c:v>
                </c:pt>
                <c:pt idx="10">
                  <c:v>89.532350840324654</c:v>
                </c:pt>
                <c:pt idx="11">
                  <c:v>93.31881840919614</c:v>
                </c:pt>
                <c:pt idx="12">
                  <c:v>97.00532463462234</c:v>
                </c:pt>
                <c:pt idx="13">
                  <c:v>100.59417654514003</c:v>
                </c:pt>
                <c:pt idx="14">
                  <c:v>104.08782935373287</c:v>
                </c:pt>
                <c:pt idx="15">
                  <c:v>107.48883291176864</c:v>
                </c:pt>
                <c:pt idx="16">
                  <c:v>110.79979012197455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44-405D-A788-CB1A9B314B30}"/>
            </c:ext>
          </c:extLst>
        </c:ser>
        <c:ser>
          <c:idx val="12"/>
          <c:order val="12"/>
          <c:tx>
            <c:strRef>
              <c:f>'q=0'!$R$272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9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'q=0'!$R$273:$R$289</c:f>
              <c:numCache>
                <c:formatCode>General</c:formatCode>
                <c:ptCount val="17"/>
                <c:pt idx="0">
                  <c:v>57.65895975725136</c:v>
                </c:pt>
                <c:pt idx="1">
                  <c:v>62.934672677482695</c:v>
                </c:pt>
                <c:pt idx="2">
                  <c:v>68.089980970828023</c:v>
                </c:pt>
                <c:pt idx="3">
                  <c:v>73.122300712452031</c:v>
                </c:pt>
                <c:pt idx="4">
                  <c:v>78.030921266012996</c:v>
                </c:pt>
                <c:pt idx="5">
                  <c:v>82.81645946710475</c:v>
                </c:pt>
                <c:pt idx="6">
                  <c:v>87.48046886377584</c:v>
                </c:pt>
                <c:pt idx="7">
                  <c:v>92.025157227623112</c:v>
                </c:pt>
                <c:pt idx="8">
                  <c:v>96.453180749665023</c:v>
                </c:pt>
                <c:pt idx="9">
                  <c:v>100.76749322916845</c:v>
                </c:pt>
                <c:pt idx="10">
                  <c:v>104.97123512972533</c:v>
                </c:pt>
                <c:pt idx="11">
                  <c:v>109.06765181099573</c:v>
                </c:pt>
                <c:pt idx="12">
                  <c:v>113.06003328621154</c:v>
                </c:pt>
                <c:pt idx="13">
                  <c:v>116.95166997179979</c:v>
                </c:pt>
                <c:pt idx="14">
                  <c:v>120.74582038692395</c:v>
                </c:pt>
                <c:pt idx="15">
                  <c:v>124.44568782417292</c:v>
                </c:pt>
                <c:pt idx="16">
                  <c:v>128.05440377898594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44-405D-A788-CB1A9B314B30}"/>
            </c:ext>
          </c:extLst>
        </c:ser>
        <c:ser>
          <c:idx val="13"/>
          <c:order val="13"/>
          <c:tx>
            <c:strRef>
              <c:f>'q=0'!$S$272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0000"/>
                  <a:shade val="95000"/>
                </a:schemeClr>
              </a:contourClr>
            </a:sp3d>
          </c:spPr>
          <c:cat>
            <c:numRef>
              <c:f>'q=0'!$E$273:$E$289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'q=0'!$S$273:$S$289</c:f>
              <c:numCache>
                <c:formatCode>General</c:formatCode>
                <c:ptCount val="17"/>
                <c:pt idx="0">
                  <c:v>66.934414289396841</c:v>
                </c:pt>
                <c:pt idx="1">
                  <c:v>72.516999484047147</c:v>
                </c:pt>
                <c:pt idx="2">
                  <c:v>77.953671837139183</c:v>
                </c:pt>
                <c:pt idx="3">
                  <c:v>83.246796347551353</c:v>
                </c:pt>
                <c:pt idx="4">
                  <c:v>88.399663833411893</c:v>
                </c:pt>
                <c:pt idx="5">
                  <c:v>93.416139204591616</c:v>
                </c:pt>
                <c:pt idx="6">
                  <c:v>98.300421595448086</c:v>
                </c:pt>
                <c:pt idx="7">
                  <c:v>103.05687988122685</c:v>
                </c:pt>
                <c:pt idx="8">
                  <c:v>107.68993973140061</c:v>
                </c:pt>
                <c:pt idx="9">
                  <c:v>112.20400631816912</c:v>
                </c:pt>
                <c:pt idx="10">
                  <c:v>116.60341193056389</c:v>
                </c:pt>
                <c:pt idx="11">
                  <c:v>120.89238111503441</c:v>
                </c:pt>
                <c:pt idx="12">
                  <c:v>125.07500821452059</c:v>
                </c:pt>
                <c:pt idx="13">
                  <c:v>129.15524370433999</c:v>
                </c:pt>
                <c:pt idx="14">
                  <c:v>133.13688677209737</c:v>
                </c:pt>
                <c:pt idx="15">
                  <c:v>137.02358231829956</c:v>
                </c:pt>
                <c:pt idx="16">
                  <c:v>140.81882106716193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844-405D-A788-CB1A9B314B3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8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8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8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8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8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8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tint val="8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8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8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8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86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5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8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2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7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4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4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4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4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4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46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1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8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6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2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3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4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78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8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8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8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8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0000"/>
                    <a:shade val="95000"/>
                  </a:schemeClr>
                </a:contourClr>
              </a:sp3d>
            </c:spPr>
          </c:bandFmt>
        </c:bandFmts>
        <c:axId val="263015504"/>
        <c:axId val="263015024"/>
        <c:axId val="704790064"/>
      </c:surface3DChart>
      <c:catAx>
        <c:axId val="26301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3015024"/>
        <c:crosses val="autoZero"/>
        <c:auto val="1"/>
        <c:lblAlgn val="ctr"/>
        <c:lblOffset val="100"/>
        <c:noMultiLvlLbl val="0"/>
      </c:catAx>
      <c:valAx>
        <c:axId val="26301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3015504"/>
        <c:crosses val="autoZero"/>
        <c:crossBetween val="midCat"/>
      </c:valAx>
      <c:serAx>
        <c:axId val="70479006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301502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0.1%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'q=0.001'!$F$2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0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'q=0.001'!$F$3:$F$19</c:f>
              <c:numCache>
                <c:formatCode>General</c:formatCode>
                <c:ptCount val="17"/>
                <c:pt idx="0">
                  <c:v>4.833219231207214E-16</c:v>
                </c:pt>
                <c:pt idx="1">
                  <c:v>6.6453521387751581E-12</c:v>
                </c:pt>
                <c:pt idx="2">
                  <c:v>1.1114662296595745E-8</c:v>
                </c:pt>
                <c:pt idx="3">
                  <c:v>3.3528653030748859E-6</c:v>
                </c:pt>
                <c:pt idx="4">
                  <c:v>2.4848608929178275E-4</c:v>
                </c:pt>
                <c:pt idx="5">
                  <c:v>5.8041689806865452E-3</c:v>
                </c:pt>
                <c:pt idx="6">
                  <c:v>5.2606259418437912E-2</c:v>
                </c:pt>
                <c:pt idx="7">
                  <c:v>0.22206439134085459</c:v>
                </c:pt>
                <c:pt idx="8">
                  <c:v>0.51823447669605049</c:v>
                </c:pt>
                <c:pt idx="9">
                  <c:v>0.79304026236348213</c:v>
                </c:pt>
                <c:pt idx="10">
                  <c:v>0.93967526074812846</c:v>
                </c:pt>
                <c:pt idx="11">
                  <c:v>0.98785597546224801</c:v>
                </c:pt>
                <c:pt idx="12">
                  <c:v>0.99819776832375973</c:v>
                </c:pt>
                <c:pt idx="13">
                  <c:v>0.99972427999457747</c:v>
                </c:pt>
                <c:pt idx="14">
                  <c:v>0.99988631432991948</c:v>
                </c:pt>
                <c:pt idx="15">
                  <c:v>0.99989917500478187</c:v>
                </c:pt>
                <c:pt idx="16">
                  <c:v>0.99989996474089016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A-46AA-B964-3A5A4F4A6A76}"/>
            </c:ext>
          </c:extLst>
        </c:ser>
        <c:ser>
          <c:idx val="1"/>
          <c:order val="1"/>
          <c:tx>
            <c:strRef>
              <c:f>'q=0.001'!$G$2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9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'q=0.001'!$G$3:$G$19</c:f>
              <c:numCache>
                <c:formatCode>General</c:formatCode>
                <c:ptCount val="17"/>
                <c:pt idx="0">
                  <c:v>8.1924756420109127E-9</c:v>
                </c:pt>
                <c:pt idx="1">
                  <c:v>1.0095963530293735E-6</c:v>
                </c:pt>
                <c:pt idx="2">
                  <c:v>4.3735782105090158E-5</c:v>
                </c:pt>
                <c:pt idx="3">
                  <c:v>8.119044704301677E-4</c:v>
                </c:pt>
                <c:pt idx="4">
                  <c:v>7.5484269964806025E-3</c:v>
                </c:pt>
                <c:pt idx="5">
                  <c:v>3.986423938721384E-2</c:v>
                </c:pt>
                <c:pt idx="6">
                  <c:v>0.13280179770414144</c:v>
                </c:pt>
                <c:pt idx="7">
                  <c:v>0.30544453018365098</c:v>
                </c:pt>
                <c:pt idx="8">
                  <c:v>0.52574652087650187</c:v>
                </c:pt>
                <c:pt idx="9">
                  <c:v>0.72903474676532454</c:v>
                </c:pt>
                <c:pt idx="10">
                  <c:v>0.87068171320587384</c:v>
                </c:pt>
                <c:pt idx="11">
                  <c:v>0.94798769257414794</c:v>
                </c:pt>
                <c:pt idx="12">
                  <c:v>0.98208216858897046</c:v>
                </c:pt>
                <c:pt idx="13">
                  <c:v>0.9945624382267193</c:v>
                </c:pt>
                <c:pt idx="14">
                  <c:v>0.99844225037148093</c:v>
                </c:pt>
                <c:pt idx="15">
                  <c:v>0.99948711191050388</c:v>
                </c:pt>
                <c:pt idx="16">
                  <c:v>0.99973510192356496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CA-46AA-B964-3A5A4F4A6A76}"/>
            </c:ext>
          </c:extLst>
        </c:ser>
        <c:ser>
          <c:idx val="2"/>
          <c:order val="2"/>
          <c:tx>
            <c:strRef>
              <c:f>'q=0.001'!$H$2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58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'q=0.001'!$H$3:$H$19</c:f>
              <c:numCache>
                <c:formatCode>General</c:formatCode>
                <c:ptCount val="17"/>
                <c:pt idx="0">
                  <c:v>2.282769631532971E-6</c:v>
                </c:pt>
                <c:pt idx="1">
                  <c:v>5.8304985107698373E-5</c:v>
                </c:pt>
                <c:pt idx="2">
                  <c:v>7.449358682050859E-4</c:v>
                </c:pt>
                <c:pt idx="3">
                  <c:v>5.4349927554057792E-3</c:v>
                </c:pt>
                <c:pt idx="4">
                  <c:v>2.5131363589543165E-2</c:v>
                </c:pt>
                <c:pt idx="5">
                  <c:v>8.011033417349224E-2</c:v>
                </c:pt>
                <c:pt idx="6">
                  <c:v>0.18872749349620005</c:v>
                </c:pt>
                <c:pt idx="7">
                  <c:v>0.3485993902827042</c:v>
                </c:pt>
                <c:pt idx="8">
                  <c:v>0.53149115700558591</c:v>
                </c:pt>
                <c:pt idx="9">
                  <c:v>0.69993269527990076</c:v>
                </c:pt>
                <c:pt idx="10">
                  <c:v>0.82856279246692932</c:v>
                </c:pt>
                <c:pt idx="11">
                  <c:v>0.91205991538373821</c:v>
                </c:pt>
                <c:pt idx="12">
                  <c:v>0.95911351588111171</c:v>
                </c:pt>
                <c:pt idx="13">
                  <c:v>0.98255116518071306</c:v>
                </c:pt>
                <c:pt idx="14">
                  <c:v>0.99303028641594182</c:v>
                </c:pt>
                <c:pt idx="15">
                  <c:v>0.99729199670311541</c:v>
                </c:pt>
                <c:pt idx="16">
                  <c:v>0.99888666253782266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CA-46AA-B964-3A5A4F4A6A76}"/>
            </c:ext>
          </c:extLst>
        </c:ser>
        <c:ser>
          <c:idx val="3"/>
          <c:order val="3"/>
          <c:tx>
            <c:strRef>
              <c:f>'q=0.001'!$I$2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8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'q=0.001'!$I$3:$I$19</c:f>
              <c:numCache>
                <c:formatCode>General</c:formatCode>
                <c:ptCount val="17"/>
                <c:pt idx="0">
                  <c:v>3.9597875821011554E-5</c:v>
                </c:pt>
                <c:pt idx="1">
                  <c:v>4.5978555188832507E-4</c:v>
                </c:pt>
                <c:pt idx="2">
                  <c:v>3.1841563304711726E-3</c:v>
                </c:pt>
                <c:pt idx="3">
                  <c:v>1.4526075584028351E-2</c:v>
                </c:pt>
                <c:pt idx="4">
                  <c:v>4.7203987032543616E-2</c:v>
                </c:pt>
                <c:pt idx="5">
                  <c:v>0.11636485038007124</c:v>
                </c:pt>
                <c:pt idx="6">
                  <c:v>0.22918168193832159</c:v>
                </c:pt>
                <c:pt idx="7">
                  <c:v>0.37668461169678996</c:v>
                </c:pt>
                <c:pt idx="8">
                  <c:v>0.53631963486387435</c:v>
                </c:pt>
                <c:pt idx="9">
                  <c:v>0.68319732427071544</c:v>
                </c:pt>
                <c:pt idx="10">
                  <c:v>0.80067984481693799</c:v>
                </c:pt>
                <c:pt idx="11">
                  <c:v>0.88391924920880083</c:v>
                </c:pt>
                <c:pt idx="12">
                  <c:v>0.93699760999083026</c:v>
                </c:pt>
                <c:pt idx="13">
                  <c:v>0.96787250256980728</c:v>
                </c:pt>
                <c:pt idx="14">
                  <c:v>0.98444587533710837</c:v>
                </c:pt>
                <c:pt idx="15">
                  <c:v>0.99273764103710249</c:v>
                </c:pt>
                <c:pt idx="16">
                  <c:v>0.9966374014946342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CA-46AA-B964-3A5A4F4A6A76}"/>
            </c:ext>
          </c:extLst>
        </c:ser>
        <c:ser>
          <c:idx val="4"/>
          <c:order val="4"/>
          <c:tx>
            <c:strRef>
              <c:f>'q=0.001'!$J$2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'q=0.001'!$J$3:$J$19</c:f>
              <c:numCache>
                <c:formatCode>General</c:formatCode>
                <c:ptCount val="17"/>
                <c:pt idx="0">
                  <c:v>2.2431883228609672E-4</c:v>
                </c:pt>
                <c:pt idx="1">
                  <c:v>1.6214688976387379E-3</c:v>
                </c:pt>
                <c:pt idx="2">
                  <c:v>7.7661440143538723E-3</c:v>
                </c:pt>
                <c:pt idx="3">
                  <c:v>2.6685608017103544E-2</c:v>
                </c:pt>
                <c:pt idx="4">
                  <c:v>7.0026537580076001E-2</c:v>
                </c:pt>
                <c:pt idx="5">
                  <c:v>0.14755628400013449</c:v>
                </c:pt>
                <c:pt idx="6">
                  <c:v>0.26015039621879132</c:v>
                </c:pt>
                <c:pt idx="7">
                  <c:v>0.39716850592056901</c:v>
                </c:pt>
                <c:pt idx="8">
                  <c:v>0.54056184240322125</c:v>
                </c:pt>
                <c:pt idx="9">
                  <c:v>0.6724171457747915</c:v>
                </c:pt>
                <c:pt idx="10">
                  <c:v>0.78087524381676854</c:v>
                </c:pt>
                <c:pt idx="11">
                  <c:v>0.86188776409912438</c:v>
                </c:pt>
                <c:pt idx="12">
                  <c:v>0.91754032683752695</c:v>
                </c:pt>
                <c:pt idx="13">
                  <c:v>0.95308296559638672</c:v>
                </c:pt>
                <c:pt idx="14">
                  <c:v>0.97438160038063115</c:v>
                </c:pt>
                <c:pt idx="15">
                  <c:v>0.98645227693006188</c:v>
                </c:pt>
                <c:pt idx="16">
                  <c:v>0.99296641664422847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CA-46AA-B964-3A5A4F4A6A76}"/>
            </c:ext>
          </c:extLst>
        </c:ser>
        <c:ser>
          <c:idx val="5"/>
          <c:order val="5"/>
          <c:tx>
            <c:strRef>
              <c:f>'q=0.001'!$K$2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86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'q=0.001'!$K$3:$K$19</c:f>
              <c:numCache>
                <c:formatCode>General</c:formatCode>
                <c:ptCount val="17"/>
                <c:pt idx="0">
                  <c:v>7.2321417725324292E-4</c:v>
                </c:pt>
                <c:pt idx="1">
                  <c:v>3.8086679954854544E-3</c:v>
                </c:pt>
                <c:pt idx="2">
                  <c:v>1.42531887666401E-2</c:v>
                </c:pt>
                <c:pt idx="3">
                  <c:v>4.0497443961714973E-2</c:v>
                </c:pt>
                <c:pt idx="4">
                  <c:v>9.2022441014511069E-2</c:v>
                </c:pt>
                <c:pt idx="5">
                  <c:v>0.17434186536902754</c:v>
                </c:pt>
                <c:pt idx="6">
                  <c:v>0.2849202650651057</c:v>
                </c:pt>
                <c:pt idx="7">
                  <c:v>0.41316263468803038</c:v>
                </c:pt>
                <c:pt idx="8">
                  <c:v>0.54438704678070537</c:v>
                </c:pt>
                <c:pt idx="9">
                  <c:v>0.6650043199427409</c:v>
                </c:pt>
                <c:pt idx="10">
                  <c:v>0.76609292721316791</c:v>
                </c:pt>
                <c:pt idx="11">
                  <c:v>0.84431541509476993</c:v>
                </c:pt>
                <c:pt idx="12">
                  <c:v>0.90079457555973641</c:v>
                </c:pt>
                <c:pt idx="13">
                  <c:v>0.93918913895608358</c:v>
                </c:pt>
                <c:pt idx="14">
                  <c:v>0.96395217498108421</c:v>
                </c:pt>
                <c:pt idx="15">
                  <c:v>0.97920486273177809</c:v>
                </c:pt>
                <c:pt idx="16">
                  <c:v>0.98822803710378981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CA-46AA-B964-3A5A4F4A6A76}"/>
            </c:ext>
          </c:extLst>
        </c:ser>
        <c:ser>
          <c:idx val="6"/>
          <c:order val="6"/>
          <c:tx>
            <c:strRef>
              <c:f>'q=0.001'!$L$2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6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'q=0.001'!$L$3:$L$19</c:f>
              <c:numCache>
                <c:formatCode>General</c:formatCode>
                <c:ptCount val="17"/>
                <c:pt idx="0">
                  <c:v>1.6857308981524611E-3</c:v>
                </c:pt>
                <c:pt idx="1">
                  <c:v>7.0765016411279899E-3</c:v>
                </c:pt>
                <c:pt idx="2">
                  <c:v>2.2188164658310208E-2</c:v>
                </c:pt>
                <c:pt idx="3">
                  <c:v>5.4992604840283961E-2</c:v>
                </c:pt>
                <c:pt idx="4">
                  <c:v>0.11263481907077097</c:v>
                </c:pt>
                <c:pt idx="5">
                  <c:v>0.19754626654924126</c:v>
                </c:pt>
                <c:pt idx="6">
                  <c:v>0.30539577990116196</c:v>
                </c:pt>
                <c:pt idx="7">
                  <c:v>0.42622963471671671</c:v>
                </c:pt>
                <c:pt idx="8">
                  <c:v>0.54789584763310362</c:v>
                </c:pt>
                <c:pt idx="9">
                  <c:v>0.65969543820934951</c:v>
                </c:pt>
                <c:pt idx="10">
                  <c:v>0.75465829514840443</c:v>
                </c:pt>
                <c:pt idx="11">
                  <c:v>0.83002233654227364</c:v>
                </c:pt>
                <c:pt idx="12">
                  <c:v>0.88641154826489577</c:v>
                </c:pt>
                <c:pt idx="13">
                  <c:v>0.92649631198223403</c:v>
                </c:pt>
                <c:pt idx="14">
                  <c:v>0.95374562024777898</c:v>
                </c:pt>
                <c:pt idx="15">
                  <c:v>0.9715596216999246</c:v>
                </c:pt>
                <c:pt idx="16">
                  <c:v>0.98281337730278517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CA-46AA-B964-3A5A4F4A6A76}"/>
            </c:ext>
          </c:extLst>
        </c:ser>
        <c:ser>
          <c:idx val="7"/>
          <c:order val="7"/>
          <c:tx>
            <c:strRef>
              <c:f>'q=0.001'!$M$2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'q=0.001'!$M$3:$M$19</c:f>
              <c:numCache>
                <c:formatCode>General</c:formatCode>
                <c:ptCount val="17"/>
                <c:pt idx="0">
                  <c:v>3.2036590515106349E-3</c:v>
                </c:pt>
                <c:pt idx="1">
                  <c:v>1.1340582901559917E-2</c:v>
                </c:pt>
                <c:pt idx="2">
                  <c:v>3.1123194075213783E-2</c:v>
                </c:pt>
                <c:pt idx="3">
                  <c:v>6.9581347028098955E-2</c:v>
                </c:pt>
                <c:pt idx="4">
                  <c:v>0.13173820150076054</c:v>
                </c:pt>
                <c:pt idx="5">
                  <c:v>0.21786954522723007</c:v>
                </c:pt>
                <c:pt idx="6">
                  <c:v>0.32275421024029194</c:v>
                </c:pt>
                <c:pt idx="7">
                  <c:v>0.43725423996552104</c:v>
                </c:pt>
                <c:pt idx="8">
                  <c:v>0.55115382176398464</c:v>
                </c:pt>
                <c:pt idx="9">
                  <c:v>0.65579402534538012</c:v>
                </c:pt>
                <c:pt idx="10">
                  <c:v>0.74557533546207222</c:v>
                </c:pt>
                <c:pt idx="11">
                  <c:v>0.81819353211703438</c:v>
                </c:pt>
                <c:pt idx="12">
                  <c:v>0.87400199839689041</c:v>
                </c:pt>
                <c:pt idx="13">
                  <c:v>0.91502737688591074</c:v>
                </c:pt>
                <c:pt idx="14">
                  <c:v>0.94403943878424179</c:v>
                </c:pt>
                <c:pt idx="15">
                  <c:v>0.96387298673276822</c:v>
                </c:pt>
                <c:pt idx="16">
                  <c:v>0.97703572554366602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8CA-46AA-B964-3A5A4F4A6A76}"/>
            </c:ext>
          </c:extLst>
        </c:ser>
        <c:ser>
          <c:idx val="8"/>
          <c:order val="8"/>
          <c:tx>
            <c:strRef>
              <c:f>'q=0.001'!$N$2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6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'q=0.001'!$N$3:$N$19</c:f>
              <c:numCache>
                <c:formatCode>General</c:formatCode>
                <c:ptCount val="17"/>
                <c:pt idx="0">
                  <c:v>5.3087548664434159E-3</c:v>
                </c:pt>
                <c:pt idx="1">
                  <c:v>1.6453035771071229E-2</c:v>
                </c:pt>
                <c:pt idx="2">
                  <c:v>4.069283406966958E-2</c:v>
                </c:pt>
                <c:pt idx="3">
                  <c:v>8.3924457935338689E-2</c:v>
                </c:pt>
                <c:pt idx="4">
                  <c:v>0.1493816740144083</c:v>
                </c:pt>
                <c:pt idx="5">
                  <c:v>0.23586089645871333</c:v>
                </c:pt>
                <c:pt idx="6">
                  <c:v>0.33776463414524244</c:v>
                </c:pt>
                <c:pt idx="7">
                  <c:v>0.44678127528057598</c:v>
                </c:pt>
                <c:pt idx="8">
                  <c:v>0.55420654017527193</c:v>
                </c:pt>
                <c:pt idx="9">
                  <c:v>0.65288213872984824</c:v>
                </c:pt>
                <c:pt idx="10">
                  <c:v>0.73821254711701678</c:v>
                </c:pt>
                <c:pt idx="11">
                  <c:v>0.80825917875474362</c:v>
                </c:pt>
                <c:pt idx="12">
                  <c:v>0.86322485036166652</c:v>
                </c:pt>
                <c:pt idx="13">
                  <c:v>0.90469983726491088</c:v>
                </c:pt>
                <c:pt idx="14">
                  <c:v>0.93494541825838506</c:v>
                </c:pt>
                <c:pt idx="15">
                  <c:v>0.95635438706498177</c:v>
                </c:pt>
                <c:pt idx="16">
                  <c:v>0.97111839202110151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CA-46AA-B964-3A5A4F4A6A76}"/>
            </c:ext>
          </c:extLst>
        </c:ser>
        <c:ser>
          <c:idx val="9"/>
          <c:order val="9"/>
          <c:tx>
            <c:strRef>
              <c:f>'q=0.001'!$O$2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'q=0.001'!$O$3:$O$19</c:f>
              <c:numCache>
                <c:formatCode>General</c:formatCode>
                <c:ptCount val="17"/>
                <c:pt idx="0">
                  <c:v>7.9873503391243612E-3</c:v>
                </c:pt>
                <c:pt idx="1">
                  <c:v>2.2250834721320636E-2</c:v>
                </c:pt>
                <c:pt idx="2">
                  <c:v>5.0621128259302012E-2</c:v>
                </c:pt>
                <c:pt idx="3">
                  <c:v>9.783669841668266E-2</c:v>
                </c:pt>
                <c:pt idx="4">
                  <c:v>0.16567866202213102</c:v>
                </c:pt>
                <c:pt idx="5">
                  <c:v>0.25194411751353257</c:v>
                </c:pt>
                <c:pt idx="6">
                  <c:v>0.35095277478845827</c:v>
                </c:pt>
                <c:pt idx="7">
                  <c:v>0.45516783020919599</c:v>
                </c:pt>
                <c:pt idx="8">
                  <c:v>0.55708719827018305</c:v>
                </c:pt>
                <c:pt idx="9">
                  <c:v>0.65069271848203125</c:v>
                </c:pt>
                <c:pt idx="10">
                  <c:v>0.73214887696192521</c:v>
                </c:pt>
                <c:pt idx="11">
                  <c:v>0.79981191424462528</c:v>
                </c:pt>
                <c:pt idx="12">
                  <c:v>0.85380045923332071</c:v>
                </c:pt>
                <c:pt idx="13">
                  <c:v>0.89539887620670111</c:v>
                </c:pt>
                <c:pt idx="14">
                  <c:v>0.92649019215432127</c:v>
                </c:pt>
                <c:pt idx="15">
                  <c:v>0.94911940021459906</c:v>
                </c:pt>
                <c:pt idx="16">
                  <c:v>0.96521156486361814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8CA-46AA-B964-3A5A4F4A6A76}"/>
            </c:ext>
          </c:extLst>
        </c:ser>
        <c:ser>
          <c:idx val="10"/>
          <c:order val="10"/>
          <c:tx>
            <c:strRef>
              <c:f>'q=0.001'!$P$2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7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'q=0.001'!$P$3:$P$19</c:f>
              <c:numCache>
                <c:formatCode>General</c:formatCode>
                <c:ptCount val="17"/>
                <c:pt idx="0">
                  <c:v>5.4581364161606971E-2</c:v>
                </c:pt>
                <c:pt idx="1">
                  <c:v>9.3566739509170826E-2</c:v>
                </c:pt>
                <c:pt idx="2">
                  <c:v>0.14519904033835532</c:v>
                </c:pt>
                <c:pt idx="3">
                  <c:v>0.20796548096463219</c:v>
                </c:pt>
                <c:pt idx="4">
                  <c:v>0.27909493045421935</c:v>
                </c:pt>
                <c:pt idx="5">
                  <c:v>0.35515525521268676</c:v>
                </c:pt>
                <c:pt idx="6">
                  <c:v>0.43264392084022701</c:v>
                </c:pt>
                <c:pt idx="7">
                  <c:v>0.50844084799044864</c:v>
                </c:pt>
                <c:pt idx="8">
                  <c:v>0.58007643992738167</c:v>
                </c:pt>
                <c:pt idx="9">
                  <c:v>0.64582840004407993</c:v>
                </c:pt>
                <c:pt idx="10">
                  <c:v>0.70469143715189786</c:v>
                </c:pt>
                <c:pt idx="11">
                  <c:v>0.75627056187341668</c:v>
                </c:pt>
                <c:pt idx="12">
                  <c:v>0.80064143689763723</c:v>
                </c:pt>
                <c:pt idx="13">
                  <c:v>0.83820865988784266</c:v>
                </c:pt>
                <c:pt idx="14">
                  <c:v>0.86958029931176783</c:v>
                </c:pt>
                <c:pt idx="15">
                  <c:v>0.89546700884905672</c:v>
                </c:pt>
                <c:pt idx="16">
                  <c:v>0.91660725838643387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CA-46AA-B964-3A5A4F4A6A76}"/>
            </c:ext>
          </c:extLst>
        </c:ser>
        <c:ser>
          <c:idx val="11"/>
          <c:order val="11"/>
          <c:tx>
            <c:strRef>
              <c:f>'q=0.001'!$Q$2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8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'q=0.001'!$Q$3:$Q$19</c:f>
              <c:numCache>
                <c:formatCode>General</c:formatCode>
                <c:ptCount val="17"/>
                <c:pt idx="0">
                  <c:v>0.11024315368038094</c:v>
                </c:pt>
                <c:pt idx="1">
                  <c:v>0.16001659777147323</c:v>
                </c:pt>
                <c:pt idx="2">
                  <c:v>0.2174882737353846</c:v>
                </c:pt>
                <c:pt idx="3">
                  <c:v>0.28034459529165096</c:v>
                </c:pt>
                <c:pt idx="4">
                  <c:v>0.34611519034241167</c:v>
                </c:pt>
                <c:pt idx="5">
                  <c:v>0.41247357402845175</c:v>
                </c:pt>
                <c:pt idx="6">
                  <c:v>0.47743061773038781</c:v>
                </c:pt>
                <c:pt idx="7">
                  <c:v>0.53942811041422722</c:v>
                </c:pt>
                <c:pt idx="8">
                  <c:v>0.59735515598157618</c:v>
                </c:pt>
                <c:pt idx="9">
                  <c:v>0.65051362870947538</c:v>
                </c:pt>
                <c:pt idx="10">
                  <c:v>0.69855579141783153</c:v>
                </c:pt>
                <c:pt idx="11">
                  <c:v>0.74141148407172563</c:v>
                </c:pt>
                <c:pt idx="12">
                  <c:v>0.77921641586091117</c:v>
                </c:pt>
                <c:pt idx="13">
                  <c:v>0.81224818094711759</c:v>
                </c:pt>
                <c:pt idx="14">
                  <c:v>0.84087300947849797</c:v>
                </c:pt>
                <c:pt idx="15">
                  <c:v>0.86550388476503159</c:v>
                </c:pt>
                <c:pt idx="16">
                  <c:v>0.88656925822063259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CA-46AA-B964-3A5A4F4A6A76}"/>
            </c:ext>
          </c:extLst>
        </c:ser>
        <c:ser>
          <c:idx val="12"/>
          <c:order val="12"/>
          <c:tx>
            <c:strRef>
              <c:f>'q=0.001'!$R$2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8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'q=0.001'!$R$3:$R$19</c:f>
              <c:numCache>
                <c:formatCode>General</c:formatCode>
                <c:ptCount val="17"/>
                <c:pt idx="0">
                  <c:v>0.16115968804676797</c:v>
                </c:pt>
                <c:pt idx="1">
                  <c:v>0.21479254343245519</c:v>
                </c:pt>
                <c:pt idx="2">
                  <c:v>0.27259855481289502</c:v>
                </c:pt>
                <c:pt idx="3">
                  <c:v>0.33255407611666399</c:v>
                </c:pt>
                <c:pt idx="4">
                  <c:v>0.39282950899423524</c:v>
                </c:pt>
                <c:pt idx="5">
                  <c:v>0.45189724430191486</c:v>
                </c:pt>
                <c:pt idx="6">
                  <c:v>0.50857173829999158</c:v>
                </c:pt>
                <c:pt idx="7">
                  <c:v>0.56200272372021165</c:v>
                </c:pt>
                <c:pt idx="8">
                  <c:v>0.61164041986536311</c:v>
                </c:pt>
                <c:pt idx="9">
                  <c:v>0.65718726317642617</c:v>
                </c:pt>
                <c:pt idx="10">
                  <c:v>0.698546135242192</c:v>
                </c:pt>
                <c:pt idx="11">
                  <c:v>0.73577122566556341</c:v>
                </c:pt>
                <c:pt idx="12">
                  <c:v>0.76902479613183805</c:v>
                </c:pt>
                <c:pt idx="13">
                  <c:v>0.79854115443703455</c:v>
                </c:pt>
                <c:pt idx="14">
                  <c:v>0.82459792506461471</c:v>
                </c:pt>
                <c:pt idx="15">
                  <c:v>0.84749401762079513</c:v>
                </c:pt>
                <c:pt idx="16">
                  <c:v>0.86753337242529616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CA-46AA-B964-3A5A4F4A6A76}"/>
            </c:ext>
          </c:extLst>
        </c:ser>
        <c:ser>
          <c:idx val="13"/>
          <c:order val="13"/>
          <c:tx>
            <c:strRef>
              <c:f>'q=0.001'!$S$2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9000"/>
                  <a:shade val="95000"/>
                </a:schemeClr>
              </a:contourClr>
            </a:sp3d>
          </c:spPr>
          <c:cat>
            <c:numRef>
              <c:f>'q=0.001'!$E$3:$E$19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'q=0.001'!$S$3:$S$19</c:f>
              <c:numCache>
                <c:formatCode>General</c:formatCode>
                <c:ptCount val="17"/>
                <c:pt idx="0">
                  <c:v>0.20564466559869549</c:v>
                </c:pt>
                <c:pt idx="1">
                  <c:v>0.26009795267468544</c:v>
                </c:pt>
                <c:pt idx="2">
                  <c:v>0.3164066085651715</c:v>
                </c:pt>
                <c:pt idx="3">
                  <c:v>0.37297595746519996</c:v>
                </c:pt>
                <c:pt idx="4">
                  <c:v>0.42849636332890573</c:v>
                </c:pt>
                <c:pt idx="5">
                  <c:v>0.48196018830156895</c:v>
                </c:pt>
                <c:pt idx="6">
                  <c:v>0.53264473983523652</c:v>
                </c:pt>
                <c:pt idx="7">
                  <c:v>0.58007687444220168</c:v>
                </c:pt>
                <c:pt idx="8">
                  <c:v>0.62399022619730782</c:v>
                </c:pt>
                <c:pt idx="9">
                  <c:v>0.66428201579462876</c:v>
                </c:pt>
                <c:pt idx="10">
                  <c:v>0.70097338401338638</c:v>
                </c:pt>
                <c:pt idx="11">
                  <c:v>0.73417512472404667</c:v>
                </c:pt>
                <c:pt idx="12">
                  <c:v>0.76405937771557209</c:v>
                </c:pt>
                <c:pt idx="13">
                  <c:v>0.79083707426144667</c:v>
                </c:pt>
                <c:pt idx="14">
                  <c:v>0.81474053166898674</c:v>
                </c:pt>
                <c:pt idx="15">
                  <c:v>0.83601043220519622</c:v>
                </c:pt>
                <c:pt idx="16">
                  <c:v>0.85488640118490899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8CA-46AA-B964-3A5A4F4A6A7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</c:bandFmts>
        <c:axId val="11842704"/>
        <c:axId val="11843184"/>
        <c:axId val="23812896"/>
      </c:surface3DChart>
      <c:catAx>
        <c:axId val="1184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122140201224847"/>
              <c:y val="0.7990477580800662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  <c:auto val="1"/>
        <c:lblAlgn val="ctr"/>
        <c:lblOffset val="100"/>
        <c:noMultiLvlLbl val="0"/>
      </c:catAx>
      <c:valAx>
        <c:axId val="118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2704"/>
        <c:crosses val="autoZero"/>
        <c:crossBetween val="midCat"/>
      </c:valAx>
      <c:serAx>
        <c:axId val="238128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83F-4302-BE8E-7464953BCB01}"/>
            </c:ext>
          </c:extLst>
        </c:ser>
        <c:ser>
          <c:idx val="1"/>
          <c:order val="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83F-4302-BE8E-7464953BCB01}"/>
            </c:ext>
          </c:extLst>
        </c:ser>
        <c:ser>
          <c:idx val="2"/>
          <c:order val="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83F-4302-BE8E-7464953BCB01}"/>
            </c:ext>
          </c:extLst>
        </c:ser>
        <c:ser>
          <c:idx val="3"/>
          <c:order val="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983F-4302-BE8E-7464953BCB01}"/>
            </c:ext>
          </c:extLst>
        </c:ser>
        <c:ser>
          <c:idx val="4"/>
          <c:order val="4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983F-4302-BE8E-7464953BCB01}"/>
            </c:ext>
          </c:extLst>
        </c:ser>
        <c:ser>
          <c:idx val="5"/>
          <c:order val="5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983F-4302-BE8E-7464953BCB01}"/>
            </c:ext>
          </c:extLst>
        </c:ser>
        <c:ser>
          <c:idx val="6"/>
          <c:order val="6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83F-4302-BE8E-7464953BCB01}"/>
            </c:ext>
          </c:extLst>
        </c:ser>
        <c:ser>
          <c:idx val="7"/>
          <c:order val="7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983F-4302-BE8E-7464953BCB01}"/>
            </c:ext>
          </c:extLst>
        </c:ser>
        <c:ser>
          <c:idx val="8"/>
          <c:order val="8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83F-4302-BE8E-7464953BCB01}"/>
            </c:ext>
          </c:extLst>
        </c:ser>
        <c:ser>
          <c:idx val="9"/>
          <c:order val="9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983F-4302-BE8E-7464953BCB01}"/>
            </c:ext>
          </c:extLst>
        </c:ser>
        <c:ser>
          <c:idx val="10"/>
          <c:order val="1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983F-4302-BE8E-7464953BCB01}"/>
            </c:ext>
          </c:extLst>
        </c:ser>
        <c:ser>
          <c:idx val="11"/>
          <c:order val="1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983F-4302-BE8E-7464953BCB01}"/>
            </c:ext>
          </c:extLst>
        </c:ser>
        <c:ser>
          <c:idx val="12"/>
          <c:order val="1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983F-4302-BE8E-7464953BCB01}"/>
            </c:ext>
          </c:extLst>
        </c:ser>
        <c:ser>
          <c:idx val="13"/>
          <c:order val="1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983F-4302-BE8E-7464953BCB01}"/>
            </c:ext>
          </c:extLst>
        </c:ser>
        <c:bandFmts/>
        <c:axId val="107604992"/>
        <c:axId val="107605472"/>
        <c:axId val="259903008"/>
      </c:surface3DChart>
      <c:catAx>
        <c:axId val="10760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  <c:auto val="1"/>
        <c:lblAlgn val="ctr"/>
        <c:lblOffset val="100"/>
        <c:noMultiLvlLbl val="0"/>
      </c:catAx>
      <c:valAx>
        <c:axId val="1076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4992"/>
        <c:crosses val="autoZero"/>
        <c:crossBetween val="midCat"/>
      </c:valAx>
      <c:serAx>
        <c:axId val="2599030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EDC-416D-9227-E5E3E2837801}"/>
            </c:ext>
          </c:extLst>
        </c:ser>
        <c:ser>
          <c:idx val="1"/>
          <c:order val="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EDC-416D-9227-E5E3E2837801}"/>
            </c:ext>
          </c:extLst>
        </c:ser>
        <c:ser>
          <c:idx val="2"/>
          <c:order val="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EDC-416D-9227-E5E3E2837801}"/>
            </c:ext>
          </c:extLst>
        </c:ser>
        <c:ser>
          <c:idx val="3"/>
          <c:order val="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EEDC-416D-9227-E5E3E2837801}"/>
            </c:ext>
          </c:extLst>
        </c:ser>
        <c:ser>
          <c:idx val="4"/>
          <c:order val="4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EEDC-416D-9227-E5E3E2837801}"/>
            </c:ext>
          </c:extLst>
        </c:ser>
        <c:ser>
          <c:idx val="5"/>
          <c:order val="5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EEDC-416D-9227-E5E3E2837801}"/>
            </c:ext>
          </c:extLst>
        </c:ser>
        <c:ser>
          <c:idx val="6"/>
          <c:order val="6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EEDC-416D-9227-E5E3E2837801}"/>
            </c:ext>
          </c:extLst>
        </c:ser>
        <c:ser>
          <c:idx val="7"/>
          <c:order val="7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EEDC-416D-9227-E5E3E2837801}"/>
            </c:ext>
          </c:extLst>
        </c:ser>
        <c:ser>
          <c:idx val="8"/>
          <c:order val="8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EEDC-416D-9227-E5E3E2837801}"/>
            </c:ext>
          </c:extLst>
        </c:ser>
        <c:ser>
          <c:idx val="9"/>
          <c:order val="9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EEDC-416D-9227-E5E3E2837801}"/>
            </c:ext>
          </c:extLst>
        </c:ser>
        <c:ser>
          <c:idx val="10"/>
          <c:order val="1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EEDC-416D-9227-E5E3E2837801}"/>
            </c:ext>
          </c:extLst>
        </c:ser>
        <c:ser>
          <c:idx val="11"/>
          <c:order val="1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EEDC-416D-9227-E5E3E2837801}"/>
            </c:ext>
          </c:extLst>
        </c:ser>
        <c:ser>
          <c:idx val="12"/>
          <c:order val="1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EEDC-416D-9227-E5E3E2837801}"/>
            </c:ext>
          </c:extLst>
        </c:ser>
        <c:ser>
          <c:idx val="13"/>
          <c:order val="1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EEDC-416D-9227-E5E3E2837801}"/>
            </c:ext>
          </c:extLst>
        </c:ser>
        <c:bandFmts/>
        <c:axId val="104016448"/>
        <c:axId val="104015488"/>
        <c:axId val="23851520"/>
      </c:surface3DChart>
      <c:catAx>
        <c:axId val="104016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  <c:auto val="1"/>
        <c:lblAlgn val="ctr"/>
        <c:lblOffset val="100"/>
        <c:noMultiLvlLbl val="0"/>
      </c:catAx>
      <c:valAx>
        <c:axId val="1040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6448"/>
        <c:crosses val="autoZero"/>
        <c:crossBetween val="midCat"/>
      </c:valAx>
      <c:serAx>
        <c:axId val="2385152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layout>
            <c:manualLayout>
              <c:xMode val="edge"/>
              <c:yMode val="edge"/>
              <c:x val="0.86462936065030704"/>
              <c:y val="0.5167249082277229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0.1%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'q=0.001'!$F$23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0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'q=0.001'!$F$24:$F$40</c:f>
              <c:numCache>
                <c:formatCode>General</c:formatCode>
                <c:ptCount val="17"/>
                <c:pt idx="0">
                  <c:v>-7.5015779228773362E-14</c:v>
                </c:pt>
                <c:pt idx="1">
                  <c:v>-9.4736445686685009E-10</c:v>
                </c:pt>
                <c:pt idx="2">
                  <c:v>-1.4247063267514448E-6</c:v>
                </c:pt>
                <c:pt idx="3">
                  <c:v>-3.7653846363148682E-4</c:v>
                </c:pt>
                <c:pt idx="4">
                  <c:v>-2.3653806883407583E-2</c:v>
                </c:pt>
                <c:pt idx="5">
                  <c:v>-0.44811888221924273</c:v>
                </c:pt>
                <c:pt idx="6">
                  <c:v>-3.0977831555959612</c:v>
                </c:pt>
                <c:pt idx="7">
                  <c:v>-9.1252529148215533</c:v>
                </c:pt>
                <c:pt idx="8">
                  <c:v>-13.042878781614586</c:v>
                </c:pt>
                <c:pt idx="9">
                  <c:v>-10.176465042986734</c:v>
                </c:pt>
                <c:pt idx="10">
                  <c:v>-4.9851584672093363</c:v>
                </c:pt>
                <c:pt idx="11">
                  <c:v>-2.0126607888942254</c:v>
                </c:pt>
                <c:pt idx="12">
                  <c:v>-1.0869240829553422</c:v>
                </c:pt>
                <c:pt idx="13">
                  <c:v>-0.90235466735135761</c:v>
                </c:pt>
                <c:pt idx="14">
                  <c:v>-0.87347982524293966</c:v>
                </c:pt>
                <c:pt idx="15">
                  <c:v>-0.86618959151031594</c:v>
                </c:pt>
                <c:pt idx="16">
                  <c:v>-0.86102432424140118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E-4986-A1B1-1F252AABBB98}"/>
            </c:ext>
          </c:extLst>
        </c:ser>
        <c:ser>
          <c:idx val="1"/>
          <c:order val="1"/>
          <c:tx>
            <c:strRef>
              <c:f>'q=0.001'!$G$23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9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'q=0.001'!$G$24:$G$40</c:f>
              <c:numCache>
                <c:formatCode>General</c:formatCode>
                <c:ptCount val="17"/>
                <c:pt idx="0">
                  <c:v>-6.4338436737413625E-7</c:v>
                </c:pt>
                <c:pt idx="1">
                  <c:v>-7.3165488050719557E-5</c:v>
                </c:pt>
                <c:pt idx="2">
                  <c:v>-2.8695162033713696E-3</c:v>
                </c:pt>
                <c:pt idx="3">
                  <c:v>-4.7161266392844653E-2</c:v>
                </c:pt>
                <c:pt idx="4">
                  <c:v>-0.37784178970880827</c:v>
                </c:pt>
                <c:pt idx="5">
                  <c:v>-1.6627309752338206</c:v>
                </c:pt>
                <c:pt idx="6">
                  <c:v>-4.4229841962722523</c:v>
                </c:pt>
                <c:pt idx="7">
                  <c:v>-7.6912579095084048</c:v>
                </c:pt>
                <c:pt idx="8">
                  <c:v>-9.3386994923745714</c:v>
                </c:pt>
                <c:pt idx="9">
                  <c:v>-8.396972857908553</c:v>
                </c:pt>
                <c:pt idx="10">
                  <c:v>-5.935522826225152</c:v>
                </c:pt>
                <c:pt idx="11">
                  <c:v>-3.559082636361564</c:v>
                </c:pt>
                <c:pt idx="12">
                  <c:v>-2.0339976146138263</c:v>
                </c:pt>
                <c:pt idx="13">
                  <c:v>-1.2921208467386696</c:v>
                </c:pt>
                <c:pt idx="14">
                  <c:v>-0.99989924890113624</c:v>
                </c:pt>
                <c:pt idx="15">
                  <c:v>-0.90136095418777906</c:v>
                </c:pt>
                <c:pt idx="16">
                  <c:v>-0.87019825774120929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EE-4986-A1B1-1F252AABBB98}"/>
            </c:ext>
          </c:extLst>
        </c:ser>
        <c:ser>
          <c:idx val="2"/>
          <c:order val="2"/>
          <c:tx>
            <c:strRef>
              <c:f>'q=0.001'!$H$23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58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'q=0.001'!$H$24:$H$40</c:f>
              <c:numCache>
                <c:formatCode>General</c:formatCode>
                <c:ptCount val="17"/>
                <c:pt idx="0">
                  <c:v>-1.2086414531691082E-4</c:v>
                </c:pt>
                <c:pt idx="1">
                  <c:v>-2.8604060316599822E-3</c:v>
                </c:pt>
                <c:pt idx="2">
                  <c:v>-3.3280634886869741E-2</c:v>
                </c:pt>
                <c:pt idx="3">
                  <c:v>-0.21680084618562601</c:v>
                </c:pt>
                <c:pt idx="4">
                  <c:v>-0.87476991855629016</c:v>
                </c:pt>
                <c:pt idx="5">
                  <c:v>-2.3677938126403597</c:v>
                </c:pt>
                <c:pt idx="6">
                  <c:v>-4.5841828725417866</c:v>
                </c:pt>
                <c:pt idx="7">
                  <c:v>-6.6907026096874445</c:v>
                </c:pt>
                <c:pt idx="8">
                  <c:v>-7.6948444860286536</c:v>
                </c:pt>
                <c:pt idx="9">
                  <c:v>-7.2514537252769635</c:v>
                </c:pt>
                <c:pt idx="10">
                  <c:v>-5.8140920022738936</c:v>
                </c:pt>
                <c:pt idx="11">
                  <c:v>-4.1338746059159233</c:v>
                </c:pt>
                <c:pt idx="12">
                  <c:v>-2.7469706590481393</c:v>
                </c:pt>
                <c:pt idx="13">
                  <c:v>-1.8270517338963161</c:v>
                </c:pt>
                <c:pt idx="14">
                  <c:v>-1.3080391725907676</c:v>
                </c:pt>
                <c:pt idx="15">
                  <c:v>-1.0498962182460072</c:v>
                </c:pt>
                <c:pt idx="16">
                  <c:v>-0.93316102119980371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EE-4986-A1B1-1F252AABBB98}"/>
            </c:ext>
          </c:extLst>
        </c:ser>
        <c:ser>
          <c:idx val="3"/>
          <c:order val="3"/>
          <c:tx>
            <c:strRef>
              <c:f>'q=0.001'!$I$23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8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'q=0.001'!$I$24:$I$40</c:f>
              <c:numCache>
                <c:formatCode>General</c:formatCode>
                <c:ptCount val="17"/>
                <c:pt idx="0">
                  <c:v>-1.5892166992193734E-3</c:v>
                </c:pt>
                <c:pt idx="1">
                  <c:v>-1.7161313206554868E-2</c:v>
                </c:pt>
                <c:pt idx="2">
                  <c:v>-0.10877984669278724</c:v>
                </c:pt>
                <c:pt idx="3">
                  <c:v>-0.44625341360140552</c:v>
                </c:pt>
                <c:pt idx="4">
                  <c:v>-1.2782009487710682</c:v>
                </c:pt>
                <c:pt idx="5">
                  <c:v>-2.714289274837558</c:v>
                </c:pt>
                <c:pt idx="6">
                  <c:v>-4.4845273933563572</c:v>
                </c:pt>
                <c:pt idx="7">
                  <c:v>-5.9976583391539853</c:v>
                </c:pt>
                <c:pt idx="8">
                  <c:v>-6.7132925235399981</c:v>
                </c:pt>
                <c:pt idx="9">
                  <c:v>-6.4754492874670637</c:v>
                </c:pt>
                <c:pt idx="10">
                  <c:v>-5.5314584748915125</c:v>
                </c:pt>
                <c:pt idx="11">
                  <c:v>-4.3033176326752942</c:v>
                </c:pt>
                <c:pt idx="12">
                  <c:v>-3.147706659526639</c:v>
                </c:pt>
                <c:pt idx="13">
                  <c:v>-2.249470933947189</c:v>
                </c:pt>
                <c:pt idx="14">
                  <c:v>-1.6404883921889724</c:v>
                </c:pt>
                <c:pt idx="15">
                  <c:v>-1.2689609379241888</c:v>
                </c:pt>
                <c:pt idx="16">
                  <c:v>-1.0603786062427247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EE-4986-A1B1-1F252AABBB98}"/>
            </c:ext>
          </c:extLst>
        </c:ser>
        <c:ser>
          <c:idx val="4"/>
          <c:order val="4"/>
          <c:tx>
            <c:strRef>
              <c:f>'q=0.001'!$J$23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'q=0.001'!$J$24:$J$40</c:f>
              <c:numCache>
                <c:formatCode>General</c:formatCode>
                <c:ptCount val="17"/>
                <c:pt idx="0">
                  <c:v>-7.2753979367953213E-3</c:v>
                </c:pt>
                <c:pt idx="1">
                  <c:v>-4.9071594081316984E-2</c:v>
                </c:pt>
                <c:pt idx="2">
                  <c:v>-0.21609236645980845</c:v>
                </c:pt>
                <c:pt idx="3">
                  <c:v>-0.67181311770460161</c:v>
                </c:pt>
                <c:pt idx="4">
                  <c:v>-1.5669649278625042</c:v>
                </c:pt>
                <c:pt idx="5">
                  <c:v>-2.8771492587523637</c:v>
                </c:pt>
                <c:pt idx="6">
                  <c:v>-4.3229463189782491</c:v>
                </c:pt>
                <c:pt idx="7">
                  <c:v>-5.4868373165497966</c:v>
                </c:pt>
                <c:pt idx="8">
                  <c:v>-6.0423739860923051</c:v>
                </c:pt>
                <c:pt idx="9">
                  <c:v>-5.9095567428888121</c:v>
                </c:pt>
                <c:pt idx="10">
                  <c:v>-5.2436958269025569</c:v>
                </c:pt>
                <c:pt idx="11">
                  <c:v>-4.310961690026148</c:v>
                </c:pt>
                <c:pt idx="12">
                  <c:v>-3.3579326278981654</c:v>
                </c:pt>
                <c:pt idx="13">
                  <c:v>-2.5413889361185102</c:v>
                </c:pt>
                <c:pt idx="14">
                  <c:v>-1.9221882263178753</c:v>
                </c:pt>
                <c:pt idx="15">
                  <c:v>-1.4942259566273672</c:v>
                </c:pt>
                <c:pt idx="16">
                  <c:v>-1.2193180695286674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EE-4986-A1B1-1F252AABBB98}"/>
            </c:ext>
          </c:extLst>
        </c:ser>
        <c:ser>
          <c:idx val="5"/>
          <c:order val="5"/>
          <c:tx>
            <c:strRef>
              <c:f>'q=0.001'!$K$23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86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'q=0.001'!$K$24:$K$40</c:f>
              <c:numCache>
                <c:formatCode>General</c:formatCode>
                <c:ptCount val="17"/>
                <c:pt idx="0">
                  <c:v>-1.9736371020121345E-2</c:v>
                </c:pt>
                <c:pt idx="1">
                  <c:v>-9.7280434494487214E-2</c:v>
                </c:pt>
                <c:pt idx="2">
                  <c:v>-0.33606799512732144</c:v>
                </c:pt>
                <c:pt idx="3">
                  <c:v>-0.86857675225559039</c:v>
                </c:pt>
                <c:pt idx="4">
                  <c:v>-1.7668660244407135</c:v>
                </c:pt>
                <c:pt idx="5">
                  <c:v>-2.9448085913072464</c:v>
                </c:pt>
                <c:pt idx="6">
                  <c:v>-4.1535779365819154</c:v>
                </c:pt>
                <c:pt idx="7">
                  <c:v>-5.091430356460763</c:v>
                </c:pt>
                <c:pt idx="8">
                  <c:v>-5.5463465636924587</c:v>
                </c:pt>
                <c:pt idx="9">
                  <c:v>-5.4742883366365263</c:v>
                </c:pt>
                <c:pt idx="10">
                  <c:v>-4.9819643121492625</c:v>
                </c:pt>
                <c:pt idx="11">
                  <c:v>-4.2510107946622471</c:v>
                </c:pt>
                <c:pt idx="12">
                  <c:v>-3.4594170248867981</c:v>
                </c:pt>
                <c:pt idx="13">
                  <c:v>-2.7344216142405058</c:v>
                </c:pt>
                <c:pt idx="14">
                  <c:v>-2.1413109346341264</c:v>
                </c:pt>
                <c:pt idx="15">
                  <c:v>-1.6953337896649385</c:v>
                </c:pt>
                <c:pt idx="16">
                  <c:v>-1.3814526528494324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EE-4986-A1B1-1F252AABBB98}"/>
            </c:ext>
          </c:extLst>
        </c:ser>
        <c:ser>
          <c:idx val="6"/>
          <c:order val="6"/>
          <c:tx>
            <c:strRef>
              <c:f>'q=0.001'!$L$23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6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'q=0.001'!$L$24:$L$40</c:f>
              <c:numCache>
                <c:formatCode>General</c:formatCode>
                <c:ptCount val="17"/>
                <c:pt idx="0">
                  <c:v>-3.9797347517314827E-2</c:v>
                </c:pt>
                <c:pt idx="1">
                  <c:v>-0.15680228732275106</c:v>
                </c:pt>
                <c:pt idx="2">
                  <c:v>-0.4555140889517344</c:v>
                </c:pt>
                <c:pt idx="3">
                  <c:v>-1.0318519353870239</c:v>
                </c:pt>
                <c:pt idx="4">
                  <c:v>-1.9037635609603016</c:v>
                </c:pt>
                <c:pt idx="5">
                  <c:v>-2.9611963353411377</c:v>
                </c:pt>
                <c:pt idx="6">
                  <c:v>-3.992563304650989</c:v>
                </c:pt>
                <c:pt idx="7">
                  <c:v>-4.773968008796027</c:v>
                </c:pt>
                <c:pt idx="8">
                  <c:v>-5.1602427869791798</c:v>
                </c:pt>
                <c:pt idx="9">
                  <c:v>-5.1262952576686498</c:v>
                </c:pt>
                <c:pt idx="10">
                  <c:v>-4.7501415435430951</c:v>
                </c:pt>
                <c:pt idx="11">
                  <c:v>-4.1629699054950295</c:v>
                </c:pt>
                <c:pt idx="12">
                  <c:v>-3.4981659484709287</c:v>
                </c:pt>
                <c:pt idx="13">
                  <c:v>-2.8586230470444058</c:v>
                </c:pt>
                <c:pt idx="14">
                  <c:v>-2.3057479528918283</c:v>
                </c:pt>
                <c:pt idx="15">
                  <c:v>-1.8638930193156991</c:v>
                </c:pt>
                <c:pt idx="16">
                  <c:v>-1.5316788272661117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EE-4986-A1B1-1F252AABBB98}"/>
            </c:ext>
          </c:extLst>
        </c:ser>
        <c:ser>
          <c:idx val="7"/>
          <c:order val="7"/>
          <c:tx>
            <c:strRef>
              <c:f>'q=0.001'!$M$23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'q=0.001'!$M$24:$M$40</c:f>
              <c:numCache>
                <c:formatCode>General</c:formatCode>
                <c:ptCount val="17"/>
                <c:pt idx="0">
                  <c:v>-6.6768499881321344E-2</c:v>
                </c:pt>
                <c:pt idx="1">
                  <c:v>-0.22240985549878181</c:v>
                </c:pt>
                <c:pt idx="2">
                  <c:v>-0.56740684641127714</c:v>
                </c:pt>
                <c:pt idx="3">
                  <c:v>-1.164371715270174</c:v>
                </c:pt>
                <c:pt idx="4">
                  <c:v>-1.9967185213404439</c:v>
                </c:pt>
                <c:pt idx="5">
                  <c:v>-2.9491540895906843</c:v>
                </c:pt>
                <c:pt idx="6">
                  <c:v>-3.8442850392454271</c:v>
                </c:pt>
                <c:pt idx="7">
                  <c:v>-4.5118968881818855</c:v>
                </c:pt>
                <c:pt idx="8">
                  <c:v>-4.8485450630236002</c:v>
                </c:pt>
                <c:pt idx="9">
                  <c:v>-4.8398902987689301</c:v>
                </c:pt>
                <c:pt idx="10">
                  <c:v>-4.5456168574389109</c:v>
                </c:pt>
                <c:pt idx="11">
                  <c:v>-4.064614439558909</c:v>
                </c:pt>
                <c:pt idx="12">
                  <c:v>-3.5000058505712981</c:v>
                </c:pt>
                <c:pt idx="13">
                  <c:v>-2.9356872053667797</c:v>
                </c:pt>
                <c:pt idx="14">
                  <c:v>-2.4268062229102894</c:v>
                </c:pt>
                <c:pt idx="15">
                  <c:v>-2.0008231840249731</c:v>
                </c:pt>
                <c:pt idx="16">
                  <c:v>-1.6640919965075454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EE-4986-A1B1-1F252AABBB98}"/>
            </c:ext>
          </c:extLst>
        </c:ser>
        <c:ser>
          <c:idx val="8"/>
          <c:order val="8"/>
          <c:tx>
            <c:strRef>
              <c:f>'q=0.001'!$N$23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86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'q=0.001'!$N$24:$N$40</c:f>
              <c:numCache>
                <c:formatCode>General</c:formatCode>
                <c:ptCount val="17"/>
                <c:pt idx="0">
                  <c:v>-9.9190631495791687E-2</c:v>
                </c:pt>
                <c:pt idx="1">
                  <c:v>-0.28997752151423889</c:v>
                </c:pt>
                <c:pt idx="2">
                  <c:v>-0.66873716439469866</c:v>
                </c:pt>
                <c:pt idx="3">
                  <c:v>-1.2708532113017506</c:v>
                </c:pt>
                <c:pt idx="4">
                  <c:v>-2.0588877332193793</c:v>
                </c:pt>
                <c:pt idx="5">
                  <c:v>-2.921143780760477</c:v>
                </c:pt>
                <c:pt idx="6">
                  <c:v>-3.7091737718377202</c:v>
                </c:pt>
                <c:pt idx="7">
                  <c:v>-4.2907987594201025</c:v>
                </c:pt>
                <c:pt idx="8">
                  <c:v>-4.5899796265881116</c:v>
                </c:pt>
                <c:pt idx="9">
                  <c:v>-4.5988162886223023</c:v>
                </c:pt>
                <c:pt idx="10">
                  <c:v>-4.3645690415695171</c:v>
                </c:pt>
                <c:pt idx="11">
                  <c:v>-3.9643045298141564</c:v>
                </c:pt>
                <c:pt idx="12">
                  <c:v>-3.4798344128974721</c:v>
                </c:pt>
                <c:pt idx="13">
                  <c:v>-2.9803682658391057</c:v>
                </c:pt>
                <c:pt idx="14">
                  <c:v>-2.5145788087989263</c:v>
                </c:pt>
                <c:pt idx="15">
                  <c:v>-2.1101442724300141</c:v>
                </c:pt>
                <c:pt idx="16">
                  <c:v>-1.7776028210173718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EE-4986-A1B1-1F252AABBB98}"/>
            </c:ext>
          </c:extLst>
        </c:ser>
        <c:ser>
          <c:idx val="9"/>
          <c:order val="9"/>
          <c:tx>
            <c:strRef>
              <c:f>'q=0.001'!$O$23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'q=0.001'!$O$24:$O$40</c:f>
              <c:numCache>
                <c:formatCode>General</c:formatCode>
                <c:ptCount val="17"/>
                <c:pt idx="0">
                  <c:v>-0.13542371942337203</c:v>
                </c:pt>
                <c:pt idx="1">
                  <c:v>-0.35666206235817033</c:v>
                </c:pt>
                <c:pt idx="2">
                  <c:v>-0.75873153205487887</c:v>
                </c:pt>
                <c:pt idx="3">
                  <c:v>-1.3560053916747856</c:v>
                </c:pt>
                <c:pt idx="4">
                  <c:v>-2.0992580606440465</c:v>
                </c:pt>
                <c:pt idx="5">
                  <c:v>-2.8842459338168931</c:v>
                </c:pt>
                <c:pt idx="6">
                  <c:v>-3.5863374013094442</c:v>
                </c:pt>
                <c:pt idx="7">
                  <c:v>-4.1009936516584649</c:v>
                </c:pt>
                <c:pt idx="8">
                  <c:v>-4.3709231244623465</c:v>
                </c:pt>
                <c:pt idx="9">
                  <c:v>-4.3922353480230703</c:v>
                </c:pt>
                <c:pt idx="10">
                  <c:v>-4.2033770486995063</c:v>
                </c:pt>
                <c:pt idx="11">
                  <c:v>-3.8660286582502055</c:v>
                </c:pt>
                <c:pt idx="12">
                  <c:v>-3.4465096345011297</c:v>
                </c:pt>
                <c:pt idx="13">
                  <c:v>-3.0026142492558234</c:v>
                </c:pt>
                <c:pt idx="14">
                  <c:v>-2.5770698520709718</c:v>
                </c:pt>
                <c:pt idx="15">
                  <c:v>-2.1964269231442479</c:v>
                </c:pt>
                <c:pt idx="16">
                  <c:v>-1.8733090956567153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EE-4986-A1B1-1F252AABBB98}"/>
            </c:ext>
          </c:extLst>
        </c:ser>
        <c:ser>
          <c:idx val="10"/>
          <c:order val="10"/>
          <c:tx>
            <c:strRef>
              <c:f>'q=0.001'!$P$23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7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'q=0.001'!$P$24:$P$40</c:f>
              <c:numCache>
                <c:formatCode>General</c:formatCode>
                <c:ptCount val="17"/>
                <c:pt idx="0">
                  <c:v>-0.49604212487924743</c:v>
                </c:pt>
                <c:pt idx="1">
                  <c:v>-0.81750892433803179</c:v>
                </c:pt>
                <c:pt idx="2">
                  <c:v>-1.2104379138812149</c:v>
                </c:pt>
                <c:pt idx="3">
                  <c:v>-1.6423815096815273</c:v>
                </c:pt>
                <c:pt idx="4">
                  <c:v>-2.073905797387201</c:v>
                </c:pt>
                <c:pt idx="5">
                  <c:v>-2.4671671059722899</c:v>
                </c:pt>
                <c:pt idx="6">
                  <c:v>-2.7924119579412459</c:v>
                </c:pt>
                <c:pt idx="7">
                  <c:v>-3.0312949622104668</c:v>
                </c:pt>
                <c:pt idx="8">
                  <c:v>-3.17720528424478</c:v>
                </c:pt>
                <c:pt idx="9">
                  <c:v>-3.2334951042086204</c:v>
                </c:pt>
                <c:pt idx="10">
                  <c:v>-3.2106591719170829</c:v>
                </c:pt>
                <c:pt idx="11">
                  <c:v>-3.1233340777478333</c:v>
                </c:pt>
                <c:pt idx="12">
                  <c:v>-2.9876784835675552</c:v>
                </c:pt>
                <c:pt idx="13">
                  <c:v>-2.8194002071223609</c:v>
                </c:pt>
                <c:pt idx="14">
                  <c:v>-2.6324769481649168</c:v>
                </c:pt>
                <c:pt idx="15">
                  <c:v>-2.438486502072041</c:v>
                </c:pt>
                <c:pt idx="16">
                  <c:v>-2.2464044408146613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EE-4986-A1B1-1F252AABBB98}"/>
            </c:ext>
          </c:extLst>
        </c:ser>
        <c:ser>
          <c:idx val="11"/>
          <c:order val="11"/>
          <c:tx>
            <c:strRef>
              <c:f>'q=0.001'!$Q$23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58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'q=0.001'!$Q$24:$Q$40</c:f>
              <c:numCache>
                <c:formatCode>General</c:formatCode>
                <c:ptCount val="17"/>
                <c:pt idx="0">
                  <c:v>-0.70523212975328431</c:v>
                </c:pt>
                <c:pt idx="1">
                  <c:v>-0.99487122280279217</c:v>
                </c:pt>
                <c:pt idx="2">
                  <c:v>-1.3063193483512485</c:v>
                </c:pt>
                <c:pt idx="3">
                  <c:v>-1.6178998316236382</c:v>
                </c:pt>
                <c:pt idx="4">
                  <c:v>-1.9097118569730016</c:v>
                </c:pt>
                <c:pt idx="5">
                  <c:v>-2.165991551935607</c:v>
                </c:pt>
                <c:pt idx="6">
                  <c:v>-2.3761808386270982</c:v>
                </c:pt>
                <c:pt idx="7">
                  <c:v>-2.5349439809088783</c:v>
                </c:pt>
                <c:pt idx="8">
                  <c:v>-2.6414914935861384</c:v>
                </c:pt>
                <c:pt idx="9">
                  <c:v>-2.6985561446163508</c:v>
                </c:pt>
                <c:pt idx="10">
                  <c:v>-2.7112867509509937</c:v>
                </c:pt>
                <c:pt idx="11">
                  <c:v>-2.6862316260829289</c:v>
                </c:pt>
                <c:pt idx="12">
                  <c:v>-2.6305014853665147</c:v>
                </c:pt>
                <c:pt idx="13">
                  <c:v>-2.551141326171666</c:v>
                </c:pt>
                <c:pt idx="14">
                  <c:v>-2.4547025515772098</c:v>
                </c:pt>
                <c:pt idx="15">
                  <c:v>-2.3469862764430851</c:v>
                </c:pt>
                <c:pt idx="16">
                  <c:v>-2.2329210768772656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1EE-4986-A1B1-1F252AABBB98}"/>
            </c:ext>
          </c:extLst>
        </c:ser>
        <c:ser>
          <c:idx val="12"/>
          <c:order val="12"/>
          <c:tx>
            <c:strRef>
              <c:f>'q=0.001'!$R$23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8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'q=0.001'!$R$24:$R$40</c:f>
              <c:numCache>
                <c:formatCode>General</c:formatCode>
                <c:ptCount val="17"/>
                <c:pt idx="0">
                  <c:v>-0.80878370981201009</c:v>
                </c:pt>
                <c:pt idx="1">
                  <c:v>-1.0559552091144346</c:v>
                </c:pt>
                <c:pt idx="2">
                  <c:v>-1.3060767766553629</c:v>
                </c:pt>
                <c:pt idx="3">
                  <c:v>-1.5458024905812877</c:v>
                </c:pt>
                <c:pt idx="4">
                  <c:v>-1.7643653821193996</c:v>
                </c:pt>
                <c:pt idx="5">
                  <c:v>-1.9541251843389913</c:v>
                </c:pt>
                <c:pt idx="6">
                  <c:v>-2.1105590302407502</c:v>
                </c:pt>
                <c:pt idx="7">
                  <c:v>-2.2318994790988484</c:v>
                </c:pt>
                <c:pt idx="8">
                  <c:v>-2.3185965540602873</c:v>
                </c:pt>
                <c:pt idx="9">
                  <c:v>-2.3727333077633697</c:v>
                </c:pt>
                <c:pt idx="10">
                  <c:v>-2.3974773148771882</c:v>
                </c:pt>
                <c:pt idx="11">
                  <c:v>-2.3966121442056085</c:v>
                </c:pt>
                <c:pt idx="12">
                  <c:v>-2.3741655026725783</c:v>
                </c:pt>
                <c:pt idx="13">
                  <c:v>-2.3341333437530092</c:v>
                </c:pt>
                <c:pt idx="14">
                  <c:v>-2.2802895702209378</c:v>
                </c:pt>
                <c:pt idx="15">
                  <c:v>-2.2160667001545571</c:v>
                </c:pt>
                <c:pt idx="16">
                  <c:v>-2.1444920327361094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EE-4986-A1B1-1F252AABBB98}"/>
            </c:ext>
          </c:extLst>
        </c:ser>
        <c:ser>
          <c:idx val="13"/>
          <c:order val="13"/>
          <c:tx>
            <c:strRef>
              <c:f>'q=0.001'!$S$23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39000"/>
                  <a:shade val="95000"/>
                </a:schemeClr>
              </a:contourClr>
            </a:sp3d>
          </c:spPr>
          <c:cat>
            <c:numRef>
              <c:f>'q=0.001'!$E$24:$E$40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'q=0.001'!$S$24:$S$40</c:f>
              <c:numCache>
                <c:formatCode>General</c:formatCode>
                <c:ptCount val="17"/>
                <c:pt idx="0">
                  <c:v>-0.85809122430853546</c:v>
                </c:pt>
                <c:pt idx="1">
                  <c:v>-1.0696801187628104</c:v>
                </c:pt>
                <c:pt idx="2">
                  <c:v>-1.2766319068501129</c:v>
                </c:pt>
                <c:pt idx="3">
                  <c:v>-1.4705090885489382</c:v>
                </c:pt>
                <c:pt idx="4">
                  <c:v>-1.6450618571346065</c:v>
                </c:pt>
                <c:pt idx="5">
                  <c:v>-1.7962299143182534</c:v>
                </c:pt>
                <c:pt idx="6">
                  <c:v>-1.9219124354361479</c:v>
                </c:pt>
                <c:pt idx="7">
                  <c:v>-2.0216231070944857</c:v>
                </c:pt>
                <c:pt idx="8">
                  <c:v>-2.096112664464068</c:v>
                </c:pt>
                <c:pt idx="9">
                  <c:v>-2.1470102993267033</c:v>
                </c:pt>
                <c:pt idx="10">
                  <c:v>-2.1765114030526251</c:v>
                </c:pt>
                <c:pt idx="11">
                  <c:v>-2.187122585852038</c:v>
                </c:pt>
                <c:pt idx="12">
                  <c:v>-2.1814645542821167</c:v>
                </c:pt>
                <c:pt idx="13">
                  <c:v>-2.1621276436413353</c:v>
                </c:pt>
                <c:pt idx="14">
                  <c:v>-2.1315721314017555</c:v>
                </c:pt>
                <c:pt idx="15">
                  <c:v>-2.0920647477024126</c:v>
                </c:pt>
                <c:pt idx="16">
                  <c:v>-2.0456432152628281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EE-4986-A1B1-1F252AABBB9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tint val="4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4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4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4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46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tint val="6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6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6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6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62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7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9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3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shade val="9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9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9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2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6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shade val="61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61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61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61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61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</c:bandFmts>
        <c:axId val="169659744"/>
        <c:axId val="169661184"/>
        <c:axId val="271878784"/>
      </c:surface3DChart>
      <c:catAx>
        <c:axId val="16965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  <c:auto val="1"/>
        <c:lblAlgn val="ctr"/>
        <c:lblOffset val="100"/>
        <c:noMultiLvlLbl val="0"/>
      </c:catAx>
      <c:valAx>
        <c:axId val="16966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59744"/>
        <c:crosses val="autoZero"/>
        <c:crossBetween val="midCat"/>
      </c:valAx>
      <c:serAx>
        <c:axId val="2718787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CB-4212-92D6-E4AED06EE9A8}"/>
            </c:ext>
          </c:extLst>
        </c:ser>
        <c:ser>
          <c:idx val="1"/>
          <c:order val="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CB-4212-92D6-E4AED06EE9A8}"/>
            </c:ext>
          </c:extLst>
        </c:ser>
        <c:ser>
          <c:idx val="2"/>
          <c:order val="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CB-4212-92D6-E4AED06EE9A8}"/>
            </c:ext>
          </c:extLst>
        </c:ser>
        <c:ser>
          <c:idx val="3"/>
          <c:order val="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5FCB-4212-92D6-E4AED06EE9A8}"/>
            </c:ext>
          </c:extLst>
        </c:ser>
        <c:ser>
          <c:idx val="4"/>
          <c:order val="4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5FCB-4212-92D6-E4AED06EE9A8}"/>
            </c:ext>
          </c:extLst>
        </c:ser>
        <c:ser>
          <c:idx val="5"/>
          <c:order val="5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5FCB-4212-92D6-E4AED06EE9A8}"/>
            </c:ext>
          </c:extLst>
        </c:ser>
        <c:ser>
          <c:idx val="6"/>
          <c:order val="6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5FCB-4212-92D6-E4AED06EE9A8}"/>
            </c:ext>
          </c:extLst>
        </c:ser>
        <c:ser>
          <c:idx val="7"/>
          <c:order val="7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5FCB-4212-92D6-E4AED06EE9A8}"/>
            </c:ext>
          </c:extLst>
        </c:ser>
        <c:ser>
          <c:idx val="8"/>
          <c:order val="8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5FCB-4212-92D6-E4AED06EE9A8}"/>
            </c:ext>
          </c:extLst>
        </c:ser>
        <c:ser>
          <c:idx val="9"/>
          <c:order val="9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5FCB-4212-92D6-E4AED06EE9A8}"/>
            </c:ext>
          </c:extLst>
        </c:ser>
        <c:ser>
          <c:idx val="10"/>
          <c:order val="1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5FCB-4212-92D6-E4AED06EE9A8}"/>
            </c:ext>
          </c:extLst>
        </c:ser>
        <c:ser>
          <c:idx val="11"/>
          <c:order val="1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5FCB-4212-92D6-E4AED06EE9A8}"/>
            </c:ext>
          </c:extLst>
        </c:ser>
        <c:ser>
          <c:idx val="12"/>
          <c:order val="1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5FCB-4212-92D6-E4AED06EE9A8}"/>
            </c:ext>
          </c:extLst>
        </c:ser>
        <c:ser>
          <c:idx val="13"/>
          <c:order val="1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5FCB-4212-92D6-E4AED06EE9A8}"/>
            </c:ext>
          </c:extLst>
        </c:ser>
        <c:bandFmts/>
        <c:axId val="2041191616"/>
        <c:axId val="2041192096"/>
        <c:axId val="472593904"/>
      </c:surface3DChart>
      <c:catAx>
        <c:axId val="204119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  <c:auto val="1"/>
        <c:lblAlgn val="ctr"/>
        <c:lblOffset val="100"/>
        <c:noMultiLvlLbl val="0"/>
      </c:catAx>
      <c:valAx>
        <c:axId val="20411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1616"/>
        <c:crosses val="autoZero"/>
        <c:crossBetween val="midCat"/>
      </c:valAx>
      <c:serAx>
        <c:axId val="4725939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7C-4434-BF23-4A6082809862}"/>
            </c:ext>
          </c:extLst>
        </c:ser>
        <c:ser>
          <c:idx val="1"/>
          <c:order val="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7C-4434-BF23-4A6082809862}"/>
            </c:ext>
          </c:extLst>
        </c:ser>
        <c:ser>
          <c:idx val="2"/>
          <c:order val="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7C-4434-BF23-4A6082809862}"/>
            </c:ext>
          </c:extLst>
        </c:ser>
        <c:ser>
          <c:idx val="3"/>
          <c:order val="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5F7C-4434-BF23-4A6082809862}"/>
            </c:ext>
          </c:extLst>
        </c:ser>
        <c:ser>
          <c:idx val="4"/>
          <c:order val="4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5F7C-4434-BF23-4A6082809862}"/>
            </c:ext>
          </c:extLst>
        </c:ser>
        <c:ser>
          <c:idx val="5"/>
          <c:order val="5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5F7C-4434-BF23-4A6082809862}"/>
            </c:ext>
          </c:extLst>
        </c:ser>
        <c:ser>
          <c:idx val="6"/>
          <c:order val="6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5F7C-4434-BF23-4A6082809862}"/>
            </c:ext>
          </c:extLst>
        </c:ser>
        <c:ser>
          <c:idx val="7"/>
          <c:order val="7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5F7C-4434-BF23-4A6082809862}"/>
            </c:ext>
          </c:extLst>
        </c:ser>
        <c:ser>
          <c:idx val="8"/>
          <c:order val="8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5F7C-4434-BF23-4A6082809862}"/>
            </c:ext>
          </c:extLst>
        </c:ser>
        <c:ser>
          <c:idx val="9"/>
          <c:order val="9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5F7C-4434-BF23-4A6082809862}"/>
            </c:ext>
          </c:extLst>
        </c:ser>
        <c:ser>
          <c:idx val="10"/>
          <c:order val="1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5F7C-4434-BF23-4A6082809862}"/>
            </c:ext>
          </c:extLst>
        </c:ser>
        <c:ser>
          <c:idx val="11"/>
          <c:order val="1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5F7C-4434-BF23-4A6082809862}"/>
            </c:ext>
          </c:extLst>
        </c:ser>
        <c:ser>
          <c:idx val="12"/>
          <c:order val="1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5F7C-4434-BF23-4A6082809862}"/>
            </c:ext>
          </c:extLst>
        </c:ser>
        <c:ser>
          <c:idx val="13"/>
          <c:order val="1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5F7C-4434-BF23-4A6082809862}"/>
            </c:ext>
          </c:extLst>
        </c:ser>
        <c:bandFmts/>
        <c:axId val="1952532784"/>
        <c:axId val="1952529904"/>
        <c:axId val="472730992"/>
      </c:surface3DChart>
      <c:catAx>
        <c:axId val="1952532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  <c:auto val="1"/>
        <c:lblAlgn val="ctr"/>
        <c:lblOffset val="100"/>
        <c:noMultiLvlLbl val="0"/>
      </c:catAx>
      <c:valAx>
        <c:axId val="19525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32784"/>
        <c:crosses val="autoZero"/>
        <c:crossBetween val="midCat"/>
      </c:valAx>
      <c:serAx>
        <c:axId val="472730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0.1%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58092738407698"/>
          <c:y val="0.17171296296296298"/>
          <c:w val="0.83046762904636917"/>
          <c:h val="0.60250765529308836"/>
        </c:manualLayout>
      </c:layout>
      <c:surface3DChart>
        <c:wireframe val="0"/>
        <c:ser>
          <c:idx val="0"/>
          <c:order val="0"/>
          <c:tx>
            <c:strRef>
              <c:f>'q=0.001'!$F$43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39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'q=0.001'!$F$44:$F$60</c:f>
              <c:numCache>
                <c:formatCode>General</c:formatCode>
                <c:ptCount val="17"/>
                <c:pt idx="0">
                  <c:v>1.0382834790433627E-15</c:v>
                </c:pt>
                <c:pt idx="1">
                  <c:v>1.1165760931782117E-11</c:v>
                </c:pt>
                <c:pt idx="2">
                  <c:v>1.4467050014232707E-8</c:v>
                </c:pt>
                <c:pt idx="3">
                  <c:v>3.327132331982825E-6</c:v>
                </c:pt>
                <c:pt idx="4">
                  <c:v>1.8341899246738624E-4</c:v>
                </c:pt>
                <c:pt idx="5">
                  <c:v>3.0710533591119934E-3</c:v>
                </c:pt>
                <c:pt idx="6">
                  <c:v>1.8866122922619664E-2</c:v>
                </c:pt>
                <c:pt idx="7">
                  <c:v>4.9542527661507671E-2</c:v>
                </c:pt>
                <c:pt idx="8">
                  <c:v>6.300573592782685E-2</c:v>
                </c:pt>
                <c:pt idx="9">
                  <c:v>4.3013013978557203E-2</c:v>
                </c:pt>
                <c:pt idx="10">
                  <c:v>1.7172545415493227E-2</c:v>
                </c:pt>
                <c:pt idx="11">
                  <c:v>4.3079465456749046E-3</c:v>
                </c:pt>
                <c:pt idx="12">
                  <c:v>7.2150016237195976E-4</c:v>
                </c:pt>
                <c:pt idx="13">
                  <c:v>8.4938533537219781E-5</c:v>
                </c:pt>
                <c:pt idx="14">
                  <c:v>7.345051218144719E-6</c:v>
                </c:pt>
                <c:pt idx="15">
                  <c:v>4.8454490173923489E-7</c:v>
                </c:pt>
                <c:pt idx="16">
                  <c:v>2.5194506290430935E-8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A-4E93-91A7-62FF69F512FD}"/>
            </c:ext>
          </c:extLst>
        </c:ser>
        <c:ser>
          <c:idx val="1"/>
          <c:order val="1"/>
          <c:tx>
            <c:strRef>
              <c:f>'q=0.001'!$G$43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8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'q=0.001'!$G$44:$G$60</c:f>
              <c:numCache>
                <c:formatCode>General</c:formatCode>
                <c:ptCount val="17"/>
                <c:pt idx="0">
                  <c:v>8.8751884497131567E-9</c:v>
                </c:pt>
                <c:pt idx="1">
                  <c:v>8.589768458469111E-7</c:v>
                </c:pt>
                <c:pt idx="2">
                  <c:v>2.9004674556816257E-5</c:v>
                </c:pt>
                <c:pt idx="3">
                  <c:v>4.1444772746496503E-4</c:v>
                </c:pt>
                <c:pt idx="4">
                  <c:v>2.9105971713074426E-3</c:v>
                </c:pt>
                <c:pt idx="5">
                  <c:v>1.1303031103600553E-2</c:v>
                </c:pt>
                <c:pt idx="6">
                  <c:v>2.6667495498595237E-2</c:v>
                </c:pt>
                <c:pt idx="7">
                  <c:v>4.1245591452420419E-2</c:v>
                </c:pt>
                <c:pt idx="8">
                  <c:v>4.4500522400506941E-2</c:v>
                </c:pt>
                <c:pt idx="9">
                  <c:v>3.5253255787823908E-2</c:v>
                </c:pt>
                <c:pt idx="10">
                  <c:v>2.1398888252964533E-2</c:v>
                </c:pt>
                <c:pt idx="11">
                  <c:v>1.031474107395715E-2</c:v>
                </c:pt>
                <c:pt idx="12">
                  <c:v>4.0691102488744895E-3</c:v>
                </c:pt>
                <c:pt idx="13">
                  <c:v>1.3478530882912445E-3</c:v>
                </c:pt>
                <c:pt idx="14">
                  <c:v>3.8317426927956963E-4</c:v>
                </c:pt>
                <c:pt idx="15">
                  <c:v>9.5264085737732711E-5</c:v>
                </c:pt>
                <c:pt idx="16">
                  <c:v>2.1051961173925728E-5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CA-4E93-91A7-62FF69F512FD}"/>
            </c:ext>
          </c:extLst>
        </c:ser>
        <c:ser>
          <c:idx val="2"/>
          <c:order val="2"/>
          <c:tx>
            <c:strRef>
              <c:f>'q=0.001'!$H$43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58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'q=0.001'!$H$44:$H$60</c:f>
              <c:numCache>
                <c:formatCode>General</c:formatCode>
                <c:ptCount val="17"/>
                <c:pt idx="0">
                  <c:v>1.6618462648011102E-6</c:v>
                </c:pt>
                <c:pt idx="1">
                  <c:v>3.3455835766968332E-5</c:v>
                </c:pt>
                <c:pt idx="2">
                  <c:v>3.3493205719945619E-4</c:v>
                </c:pt>
                <c:pt idx="3">
                  <c:v>1.8955229223604341E-3</c:v>
                </c:pt>
                <c:pt idx="4">
                  <c:v>6.698137905324076E-3</c:v>
                </c:pt>
                <c:pt idx="5">
                  <c:v>1.5981719043254843E-2</c:v>
                </c:pt>
                <c:pt idx="6">
                  <c:v>2.7407839521905598E-2</c:v>
                </c:pt>
                <c:pt idx="7">
                  <c:v>3.5533395472695253E-2</c:v>
                </c:pt>
                <c:pt idx="8">
                  <c:v>3.6292718337534245E-2</c:v>
                </c:pt>
                <c:pt idx="9">
                  <c:v>3.0212852688016618E-2</c:v>
                </c:pt>
                <c:pt idx="10">
                  <c:v>2.1088034590815773E-2</c:v>
                </c:pt>
                <c:pt idx="11">
                  <c:v>1.2637089293267335E-2</c:v>
                </c:pt>
                <c:pt idx="12">
                  <c:v>6.6330486115534597E-3</c:v>
                </c:pt>
                <c:pt idx="13">
                  <c:v>3.1018053444462992E-3</c:v>
                </c:pt>
                <c:pt idx="14">
                  <c:v>1.3111616044747673E-3</c:v>
                </c:pt>
                <c:pt idx="15">
                  <c:v>5.0728689648076464E-4</c:v>
                </c:pt>
                <c:pt idx="16">
                  <c:v>1.8158536574709025E-4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CA-4E93-91A7-62FF69F512FD}"/>
            </c:ext>
          </c:extLst>
        </c:ser>
        <c:ser>
          <c:idx val="3"/>
          <c:order val="3"/>
          <c:tx>
            <c:strRef>
              <c:f>'q=0.001'!$I$43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7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'q=0.001'!$I$44:$I$60</c:f>
              <c:numCache>
                <c:formatCode>General</c:formatCode>
                <c:ptCount val="17"/>
                <c:pt idx="0">
                  <c:v>2.1782159406448456E-5</c:v>
                </c:pt>
                <c:pt idx="1">
                  <c:v>1.9999565123611686E-4</c:v>
                </c:pt>
                <c:pt idx="2">
                  <c:v>1.0901958706068715E-3</c:v>
                </c:pt>
                <c:pt idx="3">
                  <c:v>3.8829530143266312E-3</c:v>
                </c:pt>
                <c:pt idx="4">
                  <c:v>9.7329284658594552E-3</c:v>
                </c:pt>
                <c:pt idx="5">
                  <c:v>1.8202927178516102E-2</c:v>
                </c:pt>
                <c:pt idx="6">
                  <c:v>2.6614881974194059E-2</c:v>
                </c:pt>
                <c:pt idx="7">
                  <c:v>3.1591463981803215E-2</c:v>
                </c:pt>
                <c:pt idx="8">
                  <c:v>3.1394252606795049E-2</c:v>
                </c:pt>
                <c:pt idx="9">
                  <c:v>2.6791155147329881E-2</c:v>
                </c:pt>
                <c:pt idx="10">
                  <c:v>2.0052199105295945E-2</c:v>
                </c:pt>
                <c:pt idx="11">
                  <c:v>1.339815111304112E-2</c:v>
                </c:pt>
                <c:pt idx="12">
                  <c:v>8.1119169830223339E-3</c:v>
                </c:pt>
                <c:pt idx="13">
                  <c:v>4.5071704941338827E-3</c:v>
                </c:pt>
                <c:pt idx="14">
                  <c:v>2.3232161675112595E-3</c:v>
                </c:pt>
                <c:pt idx="15">
                  <c:v>1.1212935406502949E-3</c:v>
                </c:pt>
                <c:pt idx="16">
                  <c:v>5.1083240964599585E-4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CA-4E93-91A7-62FF69F512FD}"/>
            </c:ext>
          </c:extLst>
        </c:ser>
        <c:ser>
          <c:idx val="4"/>
          <c:order val="4"/>
          <c:tx>
            <c:strRef>
              <c:f>'q=0.001'!$J$43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'q=0.001'!$J$44:$J$60</c:f>
              <c:numCache>
                <c:formatCode>General</c:formatCode>
                <c:ptCount val="17"/>
                <c:pt idx="0">
                  <c:v>9.9410808490903009E-5</c:v>
                </c:pt>
                <c:pt idx="1">
                  <c:v>5.69870762016944E-4</c:v>
                </c:pt>
                <c:pt idx="2">
                  <c:v>2.157048171844565E-3</c:v>
                </c:pt>
                <c:pt idx="3">
                  <c:v>5.8190034422563224E-3</c:v>
                </c:pt>
                <c:pt idx="4">
                  <c:v>1.1869811477064261E-2</c:v>
                </c:pt>
                <c:pt idx="5">
                  <c:v>1.9181320306576797E-2</c:v>
                </c:pt>
                <c:pt idx="6">
                  <c:v>2.548596084667917E-2</c:v>
                </c:pt>
                <c:pt idx="7">
                  <c:v>2.8691694599087814E-2</c:v>
                </c:pt>
                <c:pt idx="8">
                  <c:v>2.8047564819711535E-2</c:v>
                </c:pt>
                <c:pt idx="9">
                  <c:v>2.4293936107862343E-2</c:v>
                </c:pt>
                <c:pt idx="10">
                  <c:v>1.8961128080671703E-2</c:v>
                </c:pt>
                <c:pt idx="11">
                  <c:v>1.3524156387689616E-2</c:v>
                </c:pt>
                <c:pt idx="12">
                  <c:v>8.9206460869345906E-3</c:v>
                </c:pt>
                <c:pt idx="13">
                  <c:v>5.4967283739952508E-3</c:v>
                </c:pt>
                <c:pt idx="14">
                  <c:v>3.1913635626016268E-3</c:v>
                </c:pt>
                <c:pt idx="15">
                  <c:v>1.7588360064474209E-3</c:v>
                </c:pt>
                <c:pt idx="16">
                  <c:v>9.2602694536761789E-4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CA-4E93-91A7-62FF69F512FD}"/>
            </c:ext>
          </c:extLst>
        </c:ser>
        <c:ser>
          <c:idx val="5"/>
          <c:order val="5"/>
          <c:tx>
            <c:strRef>
              <c:f>'q=0.001'!$K$43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86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'q=0.001'!$K$44:$K$60</c:f>
              <c:numCache>
                <c:formatCode>General</c:formatCode>
                <c:ptCount val="17"/>
                <c:pt idx="0">
                  <c:v>2.6886531269758204E-4</c:v>
                </c:pt>
                <c:pt idx="1">
                  <c:v>1.1258822656373291E-3</c:v>
                </c:pt>
                <c:pt idx="2">
                  <c:v>3.3417665355633831E-3</c:v>
                </c:pt>
                <c:pt idx="3">
                  <c:v>7.4906410691583112E-3</c:v>
                </c:pt>
                <c:pt idx="4">
                  <c:v>1.3318543556341112E-2</c:v>
                </c:pt>
                <c:pt idx="5">
                  <c:v>1.9524626246097028E-2</c:v>
                </c:pt>
                <c:pt idx="6">
                  <c:v>2.4338737329861641E-2</c:v>
                </c:pt>
                <c:pt idx="7">
                  <c:v>2.6450053321415996E-2</c:v>
                </c:pt>
                <c:pt idx="8">
                  <c:v>2.5574347136607108E-2</c:v>
                </c:pt>
                <c:pt idx="9">
                  <c:v>2.2372519889444418E-2</c:v>
                </c:pt>
                <c:pt idx="10">
                  <c:v>1.7956085654377389E-2</c:v>
                </c:pt>
                <c:pt idx="11">
                  <c:v>1.3377237774086859E-2</c:v>
                </c:pt>
                <c:pt idx="12">
                  <c:v>9.3423809439636164E-3</c:v>
                </c:pt>
                <c:pt idx="13">
                  <c:v>6.1676140693464774E-3</c:v>
                </c:pt>
                <c:pt idx="14">
                  <c:v>3.8765623802632159E-3</c:v>
                </c:pt>
                <c:pt idx="15">
                  <c:v>2.3340424668817526E-3</c:v>
                </c:pt>
                <c:pt idx="16">
                  <c:v>1.3533178138074933E-3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CA-4E93-91A7-62FF69F512FD}"/>
            </c:ext>
          </c:extLst>
        </c:ser>
        <c:ser>
          <c:idx val="6"/>
          <c:order val="6"/>
          <c:tx>
            <c:strRef>
              <c:f>'q=0.001'!$L$43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'q=0.001'!$L$44:$L$60</c:f>
              <c:numCache>
                <c:formatCode>General</c:formatCode>
                <c:ptCount val="17"/>
                <c:pt idx="0">
                  <c:v>5.4055668000670728E-4</c:v>
                </c:pt>
                <c:pt idx="1">
                  <c:v>1.8087639477853701E-3</c:v>
                </c:pt>
                <c:pt idx="2">
                  <c:v>4.5126973214893139E-3</c:v>
                </c:pt>
                <c:pt idx="3">
                  <c:v>8.8617141715543295E-3</c:v>
                </c:pt>
                <c:pt idx="4">
                  <c:v>1.4283775481167138E-2</c:v>
                </c:pt>
                <c:pt idx="5">
                  <c:v>1.9532081208649191E-2</c:v>
                </c:pt>
                <c:pt idx="6">
                  <c:v>2.3263388809573814E-2</c:v>
                </c:pt>
                <c:pt idx="7">
                  <c:v>2.4652096499522234E-2</c:v>
                </c:pt>
                <c:pt idx="8">
                  <c:v>2.36500018743784E-2</c:v>
                </c:pt>
                <c:pt idx="9">
                  <c:v>2.0836194349777949E-2</c:v>
                </c:pt>
                <c:pt idx="10">
                  <c:v>1.7060030091371706E-2</c:v>
                </c:pt>
                <c:pt idx="11">
                  <c:v>1.3111151396380633E-2</c:v>
                </c:pt>
                <c:pt idx="12">
                  <c:v>9.5378352160670806E-3</c:v>
                </c:pt>
                <c:pt idx="13">
                  <c:v>6.6145982290299905E-3</c:v>
                </c:pt>
                <c:pt idx="14">
                  <c:v>4.3999284507608384E-3</c:v>
                </c:pt>
                <c:pt idx="15">
                  <c:v>2.821924464244562E-3</c:v>
                </c:pt>
                <c:pt idx="16">
                  <c:v>1.7529108768568771E-3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CA-4E93-91A7-62FF69F512FD}"/>
            </c:ext>
          </c:extLst>
        </c:ser>
        <c:ser>
          <c:idx val="7"/>
          <c:order val="7"/>
          <c:tx>
            <c:strRef>
              <c:f>'q=0.001'!$M$43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6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'q=0.001'!$M$44:$M$60</c:f>
              <c:numCache>
                <c:formatCode>General</c:formatCode>
                <c:ptCount val="17"/>
                <c:pt idx="0">
                  <c:v>9.0428465821851332E-4</c:v>
                </c:pt>
                <c:pt idx="1">
                  <c:v>2.5573057571737583E-3</c:v>
                </c:pt>
                <c:pt idx="2">
                  <c:v>5.6009972200600907E-3</c:v>
                </c:pt>
                <c:pt idx="3">
                  <c:v>9.9598059796433182E-3</c:v>
                </c:pt>
                <c:pt idx="4">
                  <c:v>1.4914778300999795E-2</c:v>
                </c:pt>
                <c:pt idx="5">
                  <c:v>1.935784208451883E-2</c:v>
                </c:pt>
                <c:pt idx="6">
                  <c:v>2.2281183645828019E-2</c:v>
                </c:pt>
                <c:pt idx="7">
                  <c:v>2.316906013350865E-2</c:v>
                </c:pt>
                <c:pt idx="8">
                  <c:v>2.2097097120453085E-2</c:v>
                </c:pt>
                <c:pt idx="9">
                  <c:v>1.9571769822722563E-2</c:v>
                </c:pt>
                <c:pt idx="10">
                  <c:v>1.626634440975715E-2</c:v>
                </c:pt>
                <c:pt idx="11">
                  <c:v>1.2796190557067003E-2</c:v>
                </c:pt>
                <c:pt idx="12">
                  <c:v>9.5979409638772203E-3</c:v>
                </c:pt>
                <c:pt idx="13">
                  <c:v>6.9068059958127381E-3</c:v>
                </c:pt>
                <c:pt idx="14">
                  <c:v>4.7937879520471918E-3</c:v>
                </c:pt>
                <c:pt idx="15">
                  <c:v>3.2237171905720942E-3</c:v>
                </c:pt>
                <c:pt idx="16">
                  <c:v>2.1086958391750019E-3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CA-4E93-91A7-62FF69F512FD}"/>
            </c:ext>
          </c:extLst>
        </c:ser>
        <c:ser>
          <c:idx val="8"/>
          <c:order val="8"/>
          <c:tx>
            <c:strRef>
              <c:f>'q=0.001'!$N$43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86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'q=0.001'!$N$44:$N$60</c:f>
              <c:numCache>
                <c:formatCode>General</c:formatCode>
                <c:ptCount val="17"/>
                <c:pt idx="0">
                  <c:v>1.3396010917756487E-3</c:v>
                </c:pt>
                <c:pt idx="1">
                  <c:v>3.3237326504363344E-3</c:v>
                </c:pt>
                <c:pt idx="2">
                  <c:v>6.5782237588655522E-3</c:v>
                </c:pt>
                <c:pt idx="3">
                  <c:v>1.0828668106102854E-2</c:v>
                </c:pt>
                <c:pt idx="4">
                  <c:v>1.5313825436311674E-2</c:v>
                </c:pt>
                <c:pt idx="5">
                  <c:v>1.9085134060957933E-2</c:v>
                </c:pt>
                <c:pt idx="6">
                  <c:v>2.1391038238162328E-2</c:v>
                </c:pt>
                <c:pt idx="7">
                  <c:v>2.191875619945154E-2</c:v>
                </c:pt>
                <c:pt idx="8">
                  <c:v>2.0809372372515594E-2</c:v>
                </c:pt>
                <c:pt idx="9">
                  <c:v>1.8507540117651031E-2</c:v>
                </c:pt>
                <c:pt idx="10">
                  <c:v>1.5561911081519348E-2</c:v>
                </c:pt>
                <c:pt idx="11">
                  <c:v>1.2466149111645414E-2</c:v>
                </c:pt>
                <c:pt idx="12">
                  <c:v>9.5755804505541966E-3</c:v>
                </c:pt>
                <c:pt idx="13">
                  <c:v>7.0915986284058241E-3</c:v>
                </c:pt>
                <c:pt idx="14">
                  <c:v>5.0874837477241815E-3</c:v>
                </c:pt>
                <c:pt idx="15">
                  <c:v>3.5496581475442548E-3</c:v>
                </c:pt>
                <c:pt idx="16">
                  <c:v>2.4171235868737759E-3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CA-4E93-91A7-62FF69F512FD}"/>
            </c:ext>
          </c:extLst>
        </c:ser>
        <c:ser>
          <c:idx val="9"/>
          <c:order val="9"/>
          <c:tx>
            <c:strRef>
              <c:f>'q=0.001'!$O$43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'q=0.001'!$O$44:$O$60</c:f>
              <c:numCache>
                <c:formatCode>General</c:formatCode>
                <c:ptCount val="17"/>
                <c:pt idx="0">
                  <c:v>1.8238706061423913E-3</c:v>
                </c:pt>
                <c:pt idx="1">
                  <c:v>4.0755205974929336E-3</c:v>
                </c:pt>
                <c:pt idx="2">
                  <c:v>7.4381603619864895E-3</c:v>
                </c:pt>
                <c:pt idx="3">
                  <c:v>1.1511095105920665E-2</c:v>
                </c:pt>
                <c:pt idx="4">
                  <c:v>1.5550325052064672E-2</c:v>
                </c:pt>
                <c:pt idx="5">
                  <c:v>1.8760659453078813E-2</c:v>
                </c:pt>
                <c:pt idx="6">
                  <c:v>2.0584912066529376E-2</c:v>
                </c:pt>
                <c:pt idx="7">
                  <c:v>2.0846068710838318E-2</c:v>
                </c:pt>
                <c:pt idx="8">
                  <c:v>1.9718789683669111E-2</c:v>
                </c:pt>
                <c:pt idx="9">
                  <c:v>1.7595671556986783E-2</c:v>
                </c:pt>
                <c:pt idx="10">
                  <c:v>1.4933567514162921E-2</c:v>
                </c:pt>
                <c:pt idx="11">
                  <c:v>1.2137685478231327E-2</c:v>
                </c:pt>
                <c:pt idx="12">
                  <c:v>9.5024808902588569E-3</c:v>
                </c:pt>
                <c:pt idx="13">
                  <c:v>7.2011179877368818E-3</c:v>
                </c:pt>
                <c:pt idx="14">
                  <c:v>5.3045026959081393E-3</c:v>
                </c:pt>
                <c:pt idx="15">
                  <c:v>3.8118207804881655E-3</c:v>
                </c:pt>
                <c:pt idx="16">
                  <c:v>2.68045830395507E-3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CA-4E93-91A7-62FF69F512FD}"/>
            </c:ext>
          </c:extLst>
        </c:ser>
        <c:ser>
          <c:idx val="10"/>
          <c:order val="10"/>
          <c:tx>
            <c:strRef>
              <c:f>'q=0.001'!$P$43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8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'q=0.001'!$P$44:$P$60</c:f>
              <c:numCache>
                <c:formatCode>General</c:formatCode>
                <c:ptCount val="17"/>
                <c:pt idx="0">
                  <c:v>6.5127869731934733E-3</c:v>
                </c:pt>
                <c:pt idx="1">
                  <c:v>9.0861330189577379E-3</c:v>
                </c:pt>
                <c:pt idx="2">
                  <c:v>1.1514922610876242E-2</c:v>
                </c:pt>
                <c:pt idx="3">
                  <c:v>1.349718795826634E-2</c:v>
                </c:pt>
                <c:pt idx="4">
                  <c:v>1.4838156127907306E-2</c:v>
                </c:pt>
                <c:pt idx="5">
                  <c:v>1.5467692906020285E-2</c:v>
                </c:pt>
                <c:pt idx="6">
                  <c:v>1.5422886341989159E-2</c:v>
                </c:pt>
                <c:pt idx="7">
                  <c:v>1.481326483444091E-2</c:v>
                </c:pt>
                <c:pt idx="8">
                  <c:v>1.3783688246908668E-2</c:v>
                </c:pt>
                <c:pt idx="9">
                  <c:v>1.248396284261149E-2</c:v>
                </c:pt>
                <c:pt idx="10">
                  <c:v>1.1048565847029261E-2</c:v>
                </c:pt>
                <c:pt idx="11">
                  <c:v>9.5860870149702768E-3</c:v>
                </c:pt>
                <c:pt idx="12">
                  <c:v>8.1761714939218907E-3</c:v>
                </c:pt>
                <c:pt idx="13">
                  <c:v>6.87132343791968E-3</c:v>
                </c:pt>
                <c:pt idx="14">
                  <c:v>5.7012687073057615E-3</c:v>
                </c:pt>
                <c:pt idx="15">
                  <c:v>4.6781988273814738E-3</c:v>
                </c:pt>
                <c:pt idx="16">
                  <c:v>3.8018450416227268E-3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CA-4E93-91A7-62FF69F512FD}"/>
            </c:ext>
          </c:extLst>
        </c:ser>
        <c:ser>
          <c:idx val="11"/>
          <c:order val="11"/>
          <c:tx>
            <c:strRef>
              <c:f>'q=0.001'!$Q$43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58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'q=0.001'!$Q$44:$Q$60</c:f>
              <c:numCache>
                <c:formatCode>General</c:formatCode>
                <c:ptCount val="17"/>
                <c:pt idx="0">
                  <c:v>9.05351687912773E-3</c:v>
                </c:pt>
                <c:pt idx="1">
                  <c:v>1.0795362979278127E-2</c:v>
                </c:pt>
                <c:pt idx="2">
                  <c:v>1.2114877075067428E-2</c:v>
                </c:pt>
                <c:pt idx="3">
                  <c:v>1.2944293152692979E-2</c:v>
                </c:pt>
                <c:pt idx="4">
                  <c:v>1.3285755353078672E-2</c:v>
                </c:pt>
                <c:pt idx="5">
                  <c:v>1.3190993741553999E-2</c:v>
                </c:pt>
                <c:pt idx="6">
                  <c:v>1.2739841700195936E-2</c:v>
                </c:pt>
                <c:pt idx="7">
                  <c:v>1.2022251834119091E-2</c:v>
                </c:pt>
                <c:pt idx="8">
                  <c:v>1.112551175995825E-2</c:v>
                </c:pt>
                <c:pt idx="9">
                  <c:v>1.0126534200933457E-2</c:v>
                </c:pt>
                <c:pt idx="10">
                  <c:v>9.0882342842843848E-3</c:v>
                </c:pt>
                <c:pt idx="11">
                  <c:v>8.0587810322718806E-3</c:v>
                </c:pt>
                <c:pt idx="12">
                  <c:v>7.0726225410393138E-3</c:v>
                </c:pt>
                <c:pt idx="13">
                  <c:v>6.1524303532821401E-3</c:v>
                </c:pt>
                <c:pt idx="14">
                  <c:v>5.3113707204876758E-3</c:v>
                </c:pt>
                <c:pt idx="15">
                  <c:v>4.5553341146399254E-3</c:v>
                </c:pt>
                <c:pt idx="16">
                  <c:v>3.8849224723398663E-3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CA-4E93-91A7-62FF69F512FD}"/>
            </c:ext>
          </c:extLst>
        </c:ser>
        <c:ser>
          <c:idx val="12"/>
          <c:order val="12"/>
          <c:tx>
            <c:strRef>
              <c:f>'q=0.001'!$R$43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9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'q=0.001'!$R$44:$R$60</c:f>
              <c:numCache>
                <c:formatCode>General</c:formatCode>
                <c:ptCount val="17"/>
                <c:pt idx="0">
                  <c:v>1.0171759324938032E-2</c:v>
                </c:pt>
                <c:pt idx="1">
                  <c:v>1.1212949541089583E-2</c:v>
                </c:pt>
                <c:pt idx="2">
                  <c:v>1.1841358915074212E-2</c:v>
                </c:pt>
                <c:pt idx="3">
                  <c:v>1.2079512314326366E-2</c:v>
                </c:pt>
                <c:pt idx="4">
                  <c:v>1.1979617376318244E-2</c:v>
                </c:pt>
                <c:pt idx="5">
                  <c:v>1.1607990386541117E-2</c:v>
                </c:pt>
                <c:pt idx="6">
                  <c:v>1.1033587852064299E-2</c:v>
                </c:pt>
                <c:pt idx="7">
                  <c:v>1.0320645877029407E-2</c:v>
                </c:pt>
                <c:pt idx="8">
                  <c:v>9.5246892105189784E-3</c:v>
                </c:pt>
                <c:pt idx="9">
                  <c:v>8.6909761053618993E-3</c:v>
                </c:pt>
                <c:pt idx="10">
                  <c:v>7.8545237255224897E-3</c:v>
                </c:pt>
                <c:pt idx="11">
                  <c:v>7.0410412523040592E-3</c:v>
                </c:pt>
                <c:pt idx="12">
                  <c:v>6.2682926454973448E-3</c:v>
                </c:pt>
                <c:pt idx="13">
                  <c:v>5.5475778085652735E-3</c:v>
                </c:pt>
                <c:pt idx="14">
                  <c:v>4.8851477844520296E-3</c:v>
                </c:pt>
                <c:pt idx="15">
                  <c:v>4.2834584169868621E-3</c:v>
                </c:pt>
                <c:pt idx="16">
                  <c:v>3.7422247581447407E-3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CA-4E93-91A7-62FF69F512FD}"/>
            </c:ext>
          </c:extLst>
        </c:ser>
        <c:ser>
          <c:idx val="13"/>
          <c:order val="13"/>
          <c:tx>
            <c:strRef>
              <c:f>'q=0.001'!$S$43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0000"/>
                  <a:shade val="95000"/>
                </a:schemeClr>
              </a:contourClr>
            </a:sp3d>
          </c:spPr>
          <c:cat>
            <c:numRef>
              <c:f>'q=0.001'!$E$44:$E$60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'q=0.001'!$S$44:$S$60</c:f>
              <c:numCache>
                <c:formatCode>General</c:formatCode>
                <c:ptCount val="17"/>
                <c:pt idx="0">
                  <c:v>1.0586929479187497E-2</c:v>
                </c:pt>
                <c:pt idx="1">
                  <c:v>1.1133613150455E-2</c:v>
                </c:pt>
                <c:pt idx="2">
                  <c:v>1.1336467651705394E-2</c:v>
                </c:pt>
                <c:pt idx="3">
                  <c:v>1.1247570547096401E-2</c:v>
                </c:pt>
                <c:pt idx="4">
                  <c:v>1.0927068186900368E-2</c:v>
                </c:pt>
                <c:pt idx="5">
                  <c:v>1.0434495195587716E-2</c:v>
                </c:pt>
                <c:pt idx="6">
                  <c:v>9.8236997680402477E-3</c:v>
                </c:pt>
                <c:pt idx="7">
                  <c:v>9.1404209819724441E-3</c:v>
                </c:pt>
                <c:pt idx="8">
                  <c:v>8.4216267980070855E-3</c:v>
                </c:pt>
                <c:pt idx="9">
                  <c:v>7.6959081807380508E-3</c:v>
                </c:pt>
                <c:pt idx="10">
                  <c:v>6.9844264656340306E-3</c:v>
                </c:pt>
                <c:pt idx="11">
                  <c:v>6.3020826874018165E-3</c:v>
                </c:pt>
                <c:pt idx="12">
                  <c:v>5.65870719505337E-3</c:v>
                </c:pt>
                <c:pt idx="13">
                  <c:v>5.0601583574915758E-3</c:v>
                </c:pt>
                <c:pt idx="14">
                  <c:v>4.5092784041163422E-3</c:v>
                </c:pt>
                <c:pt idx="15">
                  <c:v>4.0066908572548498E-3</c:v>
                </c:pt>
                <c:pt idx="16">
                  <c:v>3.5514447509407462E-3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CA-4E93-91A7-62FF69F512FD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20000"/>
                    <a:shade val="95000"/>
                  </a:schemeClr>
                </a:contourClr>
              </a:sp3d>
            </c:spPr>
          </c:bandFmt>
        </c:bandFmts>
        <c:axId val="99043872"/>
        <c:axId val="99041472"/>
        <c:axId val="472579216"/>
      </c:surface3DChart>
      <c:catAx>
        <c:axId val="9904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3444781502451274"/>
              <c:y val="0.8484632773504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  <c:auto val="1"/>
        <c:lblAlgn val="ctr"/>
        <c:lblOffset val="100"/>
        <c:noMultiLvlLbl val="0"/>
      </c:catAx>
      <c:valAx>
        <c:axId val="9904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3872"/>
        <c:crosses val="autoZero"/>
        <c:crossBetween val="midCat"/>
      </c:valAx>
      <c:serAx>
        <c:axId val="47257921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B6E-41D9-9286-D1D9CDE6888C}"/>
            </c:ext>
          </c:extLst>
        </c:ser>
        <c:ser>
          <c:idx val="1"/>
          <c:order val="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B6E-41D9-9286-D1D9CDE6888C}"/>
            </c:ext>
          </c:extLst>
        </c:ser>
        <c:ser>
          <c:idx val="2"/>
          <c:order val="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B6E-41D9-9286-D1D9CDE6888C}"/>
            </c:ext>
          </c:extLst>
        </c:ser>
        <c:ser>
          <c:idx val="3"/>
          <c:order val="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B6E-41D9-9286-D1D9CDE6888C}"/>
            </c:ext>
          </c:extLst>
        </c:ser>
        <c:ser>
          <c:idx val="4"/>
          <c:order val="4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FB6E-41D9-9286-D1D9CDE6888C}"/>
            </c:ext>
          </c:extLst>
        </c:ser>
        <c:ser>
          <c:idx val="5"/>
          <c:order val="5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FB6E-41D9-9286-D1D9CDE6888C}"/>
            </c:ext>
          </c:extLst>
        </c:ser>
        <c:ser>
          <c:idx val="6"/>
          <c:order val="6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FB6E-41D9-9286-D1D9CDE6888C}"/>
            </c:ext>
          </c:extLst>
        </c:ser>
        <c:ser>
          <c:idx val="7"/>
          <c:order val="7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FB6E-41D9-9286-D1D9CDE6888C}"/>
            </c:ext>
          </c:extLst>
        </c:ser>
        <c:ser>
          <c:idx val="8"/>
          <c:order val="8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FB6E-41D9-9286-D1D9CDE6888C}"/>
            </c:ext>
          </c:extLst>
        </c:ser>
        <c:ser>
          <c:idx val="9"/>
          <c:order val="9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FB6E-41D9-9286-D1D9CDE6888C}"/>
            </c:ext>
          </c:extLst>
        </c:ser>
        <c:ser>
          <c:idx val="10"/>
          <c:order val="1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FB6E-41D9-9286-D1D9CDE6888C}"/>
            </c:ext>
          </c:extLst>
        </c:ser>
        <c:ser>
          <c:idx val="11"/>
          <c:order val="1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FB6E-41D9-9286-D1D9CDE6888C}"/>
            </c:ext>
          </c:extLst>
        </c:ser>
        <c:ser>
          <c:idx val="12"/>
          <c:order val="1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FB6E-41D9-9286-D1D9CDE6888C}"/>
            </c:ext>
          </c:extLst>
        </c:ser>
        <c:ser>
          <c:idx val="13"/>
          <c:order val="1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FB6E-41D9-9286-D1D9CDE6888C}"/>
            </c:ext>
          </c:extLst>
        </c:ser>
        <c:bandFmts/>
        <c:axId val="19676128"/>
        <c:axId val="19672768"/>
        <c:axId val="772060080"/>
      </c:surface3DChart>
      <c:catAx>
        <c:axId val="19676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  <c:auto val="1"/>
        <c:lblAlgn val="ctr"/>
        <c:lblOffset val="100"/>
        <c:noMultiLvlLbl val="0"/>
      </c:catAx>
      <c:valAx>
        <c:axId val="19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6128"/>
        <c:crosses val="autoZero"/>
        <c:crossBetween val="midCat"/>
      </c:valAx>
      <c:serAx>
        <c:axId val="7720600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0.1%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'q=0.001'!$F$63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39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'q=0.001'!$F$64:$F$80</c:f>
              <c:numCache>
                <c:formatCode>General</c:formatCode>
                <c:ptCount val="17"/>
                <c:pt idx="0">
                  <c:v>7.4756410491122122E-14</c:v>
                </c:pt>
                <c:pt idx="1">
                  <c:v>9.4350679873558908E-10</c:v>
                </c:pt>
                <c:pt idx="2">
                  <c:v>1.4177709013948055E-6</c:v>
                </c:pt>
                <c:pt idx="3">
                  <c:v>3.7430238734806787E-4</c:v>
                </c:pt>
                <c:pt idx="4">
                  <c:v>2.3477631035825439E-2</c:v>
                </c:pt>
                <c:pt idx="5">
                  <c:v>0.44376721039168304</c:v>
                </c:pt>
                <c:pt idx="6">
                  <c:v>3.0563119134643855</c:v>
                </c:pt>
                <c:pt idx="7">
                  <c:v>8.9424262429021368</c:v>
                </c:pt>
                <c:pt idx="8">
                  <c:v>12.601147185565372</c:v>
                </c:pt>
                <c:pt idx="9">
                  <c:v>9.4843695822718637</c:v>
                </c:pt>
                <c:pt idx="10">
                  <c:v>4.1557559905493617</c:v>
                </c:pt>
                <c:pt idx="11">
                  <c:v>1.1394518613310123</c:v>
                </c:pt>
                <c:pt idx="12">
                  <c:v>0.20779204676312443</c:v>
                </c:pt>
                <c:pt idx="13">
                  <c:v>2.6543291730381183E-2</c:v>
                </c:pt>
                <c:pt idx="14">
                  <c:v>2.4826273117329154E-3</c:v>
                </c:pt>
                <c:pt idx="15">
                  <c:v>1.766166166839511E-4</c:v>
                </c:pt>
                <c:pt idx="16">
                  <c:v>9.8762464658489268E-6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96-4293-8EF2-EFF55C5B85C8}"/>
            </c:ext>
          </c:extLst>
        </c:ser>
        <c:ser>
          <c:idx val="1"/>
          <c:order val="1"/>
          <c:tx>
            <c:strRef>
              <c:f>'q=0.001'!$G$63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8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'q=0.001'!$G$64:$G$80</c:f>
              <c:numCache>
                <c:formatCode>General</c:formatCode>
                <c:ptCount val="17"/>
                <c:pt idx="0">
                  <c:v>1.2780271367586947E-6</c:v>
                </c:pt>
                <c:pt idx="1">
                  <c:v>1.4516708694812795E-4</c:v>
                </c:pt>
                <c:pt idx="2">
                  <c:v>5.6849162131359854E-3</c:v>
                </c:pt>
                <c:pt idx="3">
                  <c:v>9.3250738679617126E-2</c:v>
                </c:pt>
                <c:pt idx="4">
                  <c:v>0.74511287585470531</c:v>
                </c:pt>
                <c:pt idx="5">
                  <c:v>3.2665759889405601</c:v>
                </c:pt>
                <c:pt idx="6">
                  <c:v>8.6402685415448577</c:v>
                </c:pt>
                <c:pt idx="7">
                  <c:v>14.88965851432377</c:v>
                </c:pt>
                <c:pt idx="8">
                  <c:v>17.800208960202777</c:v>
                </c:pt>
                <c:pt idx="9">
                  <c:v>15.546685802430339</c:v>
                </c:pt>
                <c:pt idx="10">
                  <c:v>10.357061914434832</c:v>
                </c:pt>
                <c:pt idx="11">
                  <c:v>5.456498028123332</c:v>
                </c:pt>
                <c:pt idx="12">
                  <c:v>2.3438075033517061</c:v>
                </c:pt>
                <c:pt idx="13">
                  <c:v>0.84240818018202779</c:v>
                </c:pt>
                <c:pt idx="14">
                  <c:v>0.25902580603298903</c:v>
                </c:pt>
                <c:pt idx="15">
                  <c:v>6.9447518502807129E-2</c:v>
                </c:pt>
                <c:pt idx="16">
                  <c:v>1.6504737560357769E-2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96-4293-8EF2-EFF55C5B85C8}"/>
            </c:ext>
          </c:extLst>
        </c:ser>
        <c:ser>
          <c:idx val="2"/>
          <c:order val="2"/>
          <c:tx>
            <c:strRef>
              <c:f>'q=0.001'!$H$63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58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'q=0.001'!$H$64:$H$80</c:f>
              <c:numCache>
                <c:formatCode>General</c:formatCode>
                <c:ptCount val="17"/>
                <c:pt idx="0">
                  <c:v>3.5895879319703978E-4</c:v>
                </c:pt>
                <c:pt idx="1">
                  <c:v>8.4810543669264701E-3</c:v>
                </c:pt>
                <c:pt idx="2">
                  <c:v>9.8470024816640106E-2</c:v>
                </c:pt>
                <c:pt idx="3">
                  <c:v>0.63973898629664649</c:v>
                </c:pt>
                <c:pt idx="4">
                  <c:v>2.5720849556444443</c:v>
                </c:pt>
                <c:pt idx="5">
                  <c:v>6.9280752052509733</c:v>
                </c:pt>
                <c:pt idx="6">
                  <c:v>13.32021000764612</c:v>
                </c:pt>
                <c:pt idx="7">
                  <c:v>19.241333648464472</c:v>
                </c:pt>
                <c:pt idx="8">
                  <c:v>21.775631002520541</c:v>
                </c:pt>
                <c:pt idx="9">
                  <c:v>19.985802053122988</c:v>
                </c:pt>
                <c:pt idx="10">
                  <c:v>15.30991311293225</c:v>
                </c:pt>
                <c:pt idx="11">
                  <c:v>10.027530354207629</c:v>
                </c:pt>
                <c:pt idx="12">
                  <c:v>5.7309540003821899</c:v>
                </c:pt>
                <c:pt idx="13">
                  <c:v>2.9079425104184051</c:v>
                </c:pt>
                <c:pt idx="14">
                  <c:v>1.3295178669374139</c:v>
                </c:pt>
                <c:pt idx="15">
                  <c:v>0.554718221301716</c:v>
                </c:pt>
                <c:pt idx="16">
                  <c:v>0.21354439011857809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96-4293-8EF2-EFF55C5B85C8}"/>
            </c:ext>
          </c:extLst>
        </c:ser>
        <c:ser>
          <c:idx val="3"/>
          <c:order val="3"/>
          <c:tx>
            <c:strRef>
              <c:f>'q=0.001'!$I$63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7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'q=0.001'!$I$64:$I$80</c:f>
              <c:numCache>
                <c:formatCode>General</c:formatCode>
                <c:ptCount val="17"/>
                <c:pt idx="0">
                  <c:v>6.2732619090571547E-3</c:v>
                </c:pt>
                <c:pt idx="1">
                  <c:v>6.759853011780749E-2</c:v>
                </c:pt>
                <c:pt idx="2">
                  <c:v>0.42735678127789362</c:v>
                </c:pt>
                <c:pt idx="3">
                  <c:v>1.747328856446984</c:v>
                </c:pt>
                <c:pt idx="4">
                  <c:v>4.983259374520042</c:v>
                </c:pt>
                <c:pt idx="5">
                  <c:v>10.521291909182306</c:v>
                </c:pt>
                <c:pt idx="6">
                  <c:v>17.246443519277751</c:v>
                </c:pt>
                <c:pt idx="7">
                  <c:v>22.809036994861923</c:v>
                </c:pt>
                <c:pt idx="8">
                  <c:v>25.115402085436045</c:v>
                </c:pt>
                <c:pt idx="9">
                  <c:v>23.629798839944961</c:v>
                </c:pt>
                <c:pt idx="10">
                  <c:v>19.41052873392648</c:v>
                </c:pt>
                <c:pt idx="11">
                  <c:v>14.175243877597508</c:v>
                </c:pt>
                <c:pt idx="12">
                  <c:v>9.3449283644417278</c:v>
                </c:pt>
                <c:pt idx="13">
                  <c:v>5.6339631176673546</c:v>
                </c:pt>
                <c:pt idx="14">
                  <c:v>3.1409882584752227</c:v>
                </c:pt>
                <c:pt idx="15">
                  <c:v>1.6348459822681303</c:v>
                </c:pt>
                <c:pt idx="16">
                  <c:v>0.80098521832492153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96-4293-8EF2-EFF55C5B85C8}"/>
            </c:ext>
          </c:extLst>
        </c:ser>
        <c:ser>
          <c:idx val="4"/>
          <c:order val="4"/>
          <c:tx>
            <c:strRef>
              <c:f>'q=0.001'!$J$63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'q=0.001'!$J$64:$J$80</c:f>
              <c:numCache>
                <c:formatCode>General</c:formatCode>
                <c:ptCount val="17"/>
                <c:pt idx="0">
                  <c:v>3.5787891056725092E-2</c:v>
                </c:pt>
                <c:pt idx="1">
                  <c:v>0.24077039695215888</c:v>
                </c:pt>
                <c:pt idx="2">
                  <c:v>1.056953604203837</c:v>
                </c:pt>
                <c:pt idx="3">
                  <c:v>3.2731894362691816</c:v>
                </c:pt>
                <c:pt idx="4">
                  <c:v>7.596679345321129</c:v>
                </c:pt>
                <c:pt idx="5">
                  <c:v>13.85850392150174</c:v>
                </c:pt>
                <c:pt idx="6">
                  <c:v>20.643628285810131</c:v>
                </c:pt>
                <c:pt idx="7">
                  <c:v>25.894254375676759</c:v>
                </c:pt>
                <c:pt idx="8">
                  <c:v>28.047564819711535</c:v>
                </c:pt>
                <c:pt idx="9">
                  <c:v>26.784064558918239</c:v>
                </c:pt>
                <c:pt idx="10">
                  <c:v>22.942964977612764</c:v>
                </c:pt>
                <c:pt idx="11">
                  <c:v>17.885696822719517</c:v>
                </c:pt>
                <c:pt idx="12">
                  <c:v>12.845730365185814</c:v>
                </c:pt>
                <c:pt idx="13">
                  <c:v>8.5886380843675791</c:v>
                </c:pt>
                <c:pt idx="14">
                  <c:v>5.3934044207967498</c:v>
                </c:pt>
                <c:pt idx="15">
                  <c:v>3.2054786217504248</c:v>
                </c:pt>
                <c:pt idx="16">
                  <c:v>1.8150128129205314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96-4293-8EF2-EFF55C5B85C8}"/>
            </c:ext>
          </c:extLst>
        </c:ser>
        <c:ser>
          <c:idx val="5"/>
          <c:order val="5"/>
          <c:tx>
            <c:strRef>
              <c:f>'q=0.001'!$K$63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86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'q=0.001'!$K$64:$K$80</c:f>
              <c:numCache>
                <c:formatCode>General</c:formatCode>
                <c:ptCount val="17"/>
                <c:pt idx="0">
                  <c:v>0.11614981508535545</c:v>
                </c:pt>
                <c:pt idx="1">
                  <c:v>0.57082230867812578</c:v>
                </c:pt>
                <c:pt idx="2">
                  <c:v>1.9649587229112695</c:v>
                </c:pt>
                <c:pt idx="3">
                  <c:v>5.0561827216818607</c:v>
                </c:pt>
                <c:pt idx="4">
                  <c:v>10.228641451269974</c:v>
                </c:pt>
                <c:pt idx="5">
                  <c:v>16.927850955366125</c:v>
                </c:pt>
                <c:pt idx="6">
                  <c:v>23.657252684625515</c:v>
                </c:pt>
                <c:pt idx="7">
                  <c:v>28.645407747093529</c:v>
                </c:pt>
                <c:pt idx="8">
                  <c:v>30.689216563928532</c:v>
                </c:pt>
                <c:pt idx="9">
                  <c:v>29.598843813734966</c:v>
                </c:pt>
                <c:pt idx="10">
                  <c:v>26.072236370155977</c:v>
                </c:pt>
                <c:pt idx="11">
                  <c:v>21.229676347475849</c:v>
                </c:pt>
                <c:pt idx="12">
                  <c:v>16.14363427116913</c:v>
                </c:pt>
                <c:pt idx="13">
                  <c:v>11.564276380024644</c:v>
                </c:pt>
                <c:pt idx="14">
                  <c:v>7.8616685071738015</c:v>
                </c:pt>
                <c:pt idx="15">
                  <c:v>5.1045508750703927</c:v>
                </c:pt>
                <c:pt idx="16">
                  <c:v>3.1830034980752244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96-4293-8EF2-EFF55C5B85C8}"/>
            </c:ext>
          </c:extLst>
        </c:ser>
        <c:ser>
          <c:idx val="6"/>
          <c:order val="6"/>
          <c:tx>
            <c:strRef>
              <c:f>'q=0.001'!$L$63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'q=0.001'!$L$64:$L$80</c:f>
              <c:numCache>
                <c:formatCode>General</c:formatCode>
                <c:ptCount val="17"/>
                <c:pt idx="0">
                  <c:v>0.27244056672338052</c:v>
                </c:pt>
                <c:pt idx="1">
                  <c:v>1.0698838751150463</c:v>
                </c:pt>
                <c:pt idx="2">
                  <c:v>3.09571036254167</c:v>
                </c:pt>
                <c:pt idx="3">
                  <c:v>6.9785999100990335</c:v>
                </c:pt>
                <c:pt idx="4">
                  <c:v>12.798262831125756</c:v>
                </c:pt>
                <c:pt idx="5">
                  <c:v>19.756700142548659</c:v>
                </c:pt>
                <c:pt idx="6">
                  <c:v>26.380682910056706</c:v>
                </c:pt>
                <c:pt idx="7">
                  <c:v>31.147923927146344</c:v>
                </c:pt>
                <c:pt idx="8">
                  <c:v>33.110002624129763</c:v>
                </c:pt>
                <c:pt idx="9">
                  <c:v>32.160665978882264</c:v>
                </c:pt>
                <c:pt idx="10">
                  <c:v>28.89969097478367</c:v>
                </c:pt>
                <c:pt idx="11">
                  <c:v>24.275296810398739</c:v>
                </c:pt>
                <c:pt idx="12">
                  <c:v>19.228275795591237</c:v>
                </c:pt>
                <c:pt idx="13">
                  <c:v>14.469433626003104</c:v>
                </c:pt>
                <c:pt idx="14">
                  <c:v>10.410230714500145</c:v>
                </c:pt>
                <c:pt idx="15">
                  <c:v>7.2001402705199986</c:v>
                </c:pt>
                <c:pt idx="16">
                  <c:v>4.8099874460952714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96-4293-8EF2-EFF55C5B85C8}"/>
            </c:ext>
          </c:extLst>
        </c:ser>
        <c:ser>
          <c:idx val="7"/>
          <c:order val="7"/>
          <c:tx>
            <c:strRef>
              <c:f>'q=0.001'!$M$63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6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'q=0.001'!$M$64:$M$80</c:f>
              <c:numCache>
                <c:formatCode>General</c:formatCode>
                <c:ptCount val="17"/>
                <c:pt idx="0">
                  <c:v>0.52086796313386374</c:v>
                </c:pt>
                <c:pt idx="1">
                  <c:v>1.7287386918494601</c:v>
                </c:pt>
                <c:pt idx="2">
                  <c:v>4.3911818205271116</c:v>
                </c:pt>
                <c:pt idx="3">
                  <c:v>8.9638253816789835</c:v>
                </c:pt>
                <c:pt idx="4">
                  <c:v>15.272732980223788</c:v>
                </c:pt>
                <c:pt idx="5">
                  <c:v>22.377665449703766</c:v>
                </c:pt>
                <c:pt idx="6">
                  <c:v>28.876414004993109</c:v>
                </c:pt>
                <c:pt idx="7">
                  <c:v>33.456122832786491</c:v>
                </c:pt>
                <c:pt idx="8">
                  <c:v>35.355355392724938</c:v>
                </c:pt>
                <c:pt idx="9">
                  <c:v>34.524601967282599</c:v>
                </c:pt>
                <c:pt idx="10">
                  <c:v>31.49164277728984</c:v>
                </c:pt>
                <c:pt idx="11">
                  <c:v>27.076739218753779</c:v>
                </c:pt>
                <c:pt idx="12">
                  <c:v>22.113655980773117</c:v>
                </c:pt>
                <c:pt idx="13">
                  <c:v>17.267014989531845</c:v>
                </c:pt>
                <c:pt idx="14">
                  <c:v>12.962402622335606</c:v>
                </c:pt>
                <c:pt idx="15">
                  <c:v>9.4003593277082249</c:v>
                </c:pt>
                <c:pt idx="16">
                  <c:v>6.6128701516528059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796-4293-8EF2-EFF55C5B85C8}"/>
            </c:ext>
          </c:extLst>
        </c:ser>
        <c:ser>
          <c:idx val="8"/>
          <c:order val="8"/>
          <c:tx>
            <c:strRef>
              <c:f>'q=0.001'!$N$63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86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'q=0.001'!$N$64:$N$80</c:f>
              <c:numCache>
                <c:formatCode>General</c:formatCode>
                <c:ptCount val="17"/>
                <c:pt idx="0">
                  <c:v>0.86806150747062016</c:v>
                </c:pt>
                <c:pt idx="1">
                  <c:v>2.5276986806568322</c:v>
                </c:pt>
                <c:pt idx="2">
                  <c:v>5.8019933553194161</c:v>
                </c:pt>
                <c:pt idx="3">
                  <c:v>10.964026457429137</c:v>
                </c:pt>
                <c:pt idx="4">
                  <c:v>17.641526902631046</c:v>
                </c:pt>
                <c:pt idx="5">
                  <c:v>24.820216846275791</c:v>
                </c:pt>
                <c:pt idx="6">
                  <c:v>31.188133751240674</c:v>
                </c:pt>
                <c:pt idx="7">
                  <c:v>35.607019446009026</c:v>
                </c:pt>
                <c:pt idx="8">
                  <c:v>37.456870270528064</c:v>
                </c:pt>
                <c:pt idx="9">
                  <c:v>36.728213363478467</c:v>
                </c:pt>
                <c:pt idx="10">
                  <c:v>33.893842335549138</c:v>
                </c:pt>
                <c:pt idx="11">
                  <c:v>29.675667960271905</c:v>
                </c:pt>
                <c:pt idx="12">
                  <c:v>24.819904527836471</c:v>
                </c:pt>
                <c:pt idx="13">
                  <c:v>19.945121142391375</c:v>
                </c:pt>
                <c:pt idx="14">
                  <c:v>15.476125560576959</c:v>
                </c:pt>
                <c:pt idx="15">
                  <c:v>11.644653553018928</c:v>
                </c:pt>
                <c:pt idx="16">
                  <c:v>8.5276120144906802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796-4293-8EF2-EFF55C5B85C8}"/>
            </c:ext>
          </c:extLst>
        </c:ser>
        <c:ser>
          <c:idx val="9"/>
          <c:order val="9"/>
          <c:tx>
            <c:strRef>
              <c:f>'q=0.001'!$O$63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'q=0.001'!$O$64:$O$80</c:f>
              <c:numCache>
                <c:formatCode>General</c:formatCode>
                <c:ptCount val="17"/>
                <c:pt idx="0">
                  <c:v>1.3131868364225217</c:v>
                </c:pt>
                <c:pt idx="1">
                  <c:v>3.4438149048815285</c:v>
                </c:pt>
                <c:pt idx="2">
                  <c:v>7.2893971547467595</c:v>
                </c:pt>
                <c:pt idx="3">
                  <c:v>12.949981994160749</c:v>
                </c:pt>
                <c:pt idx="4">
                  <c:v>19.904416066642781</c:v>
                </c:pt>
                <c:pt idx="5">
                  <c:v>27.109152909698885</c:v>
                </c:pt>
                <c:pt idx="6">
                  <c:v>33.347557547777591</c:v>
                </c:pt>
                <c:pt idx="7">
                  <c:v>37.627154023063163</c:v>
                </c:pt>
                <c:pt idx="8">
                  <c:v>39.437579367338216</c:v>
                </c:pt>
                <c:pt idx="9">
                  <c:v>38.798455783155859</c:v>
                </c:pt>
                <c:pt idx="10">
                  <c:v>36.13923338427427</c:v>
                </c:pt>
                <c:pt idx="11">
                  <c:v>32.104178089921852</c:v>
                </c:pt>
                <c:pt idx="12">
                  <c:v>27.367144963945506</c:v>
                </c:pt>
                <c:pt idx="13">
                  <c:v>22.503493711677752</c:v>
                </c:pt>
                <c:pt idx="14">
                  <c:v>17.929219112169509</c:v>
                </c:pt>
                <c:pt idx="15">
                  <c:v>13.894086744879363</c:v>
                </c:pt>
                <c:pt idx="16">
                  <c:v>10.507396551503875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796-4293-8EF2-EFF55C5B85C8}"/>
            </c:ext>
          </c:extLst>
        </c:ser>
        <c:ser>
          <c:idx val="10"/>
          <c:order val="10"/>
          <c:tx>
            <c:strRef>
              <c:f>'q=0.001'!$P$63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8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'q=0.001'!$P$64:$P$80</c:f>
              <c:numCache>
                <c:formatCode>General</c:formatCode>
                <c:ptCount val="17"/>
                <c:pt idx="0">
                  <c:v>9.3784132413986026</c:v>
                </c:pt>
                <c:pt idx="1">
                  <c:v>15.355564802038579</c:v>
                </c:pt>
                <c:pt idx="2">
                  <c:v>22.569248317317438</c:v>
                </c:pt>
                <c:pt idx="3">
                  <c:v>30.368672906099274</c:v>
                </c:pt>
                <c:pt idx="4">
                  <c:v>37.985679687442705</c:v>
                </c:pt>
                <c:pt idx="5">
                  <c:v>44.701632498398631</c:v>
                </c:pt>
                <c:pt idx="6">
                  <c:v>49.970151748044884</c:v>
                </c:pt>
                <c:pt idx="7">
                  <c:v>53.475886052331688</c:v>
                </c:pt>
                <c:pt idx="8">
                  <c:v>55.134752987634677</c:v>
                </c:pt>
                <c:pt idx="9">
                  <c:v>55.054276135916687</c:v>
                </c:pt>
                <c:pt idx="10">
                  <c:v>53.475058699621627</c:v>
                </c:pt>
                <c:pt idx="11">
                  <c:v>50.710400309192771</c:v>
                </c:pt>
                <c:pt idx="12">
                  <c:v>47.094747804990099</c:v>
                </c:pt>
                <c:pt idx="13">
                  <c:v>42.945771486998005</c:v>
                </c:pt>
                <c:pt idx="14">
                  <c:v>38.540576461386955</c:v>
                </c:pt>
                <c:pt idx="15">
                  <c:v>34.104069451610947</c:v>
                </c:pt>
                <c:pt idx="16">
                  <c:v>29.80646512632218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96-4293-8EF2-EFF55C5B85C8}"/>
            </c:ext>
          </c:extLst>
        </c:ser>
        <c:ser>
          <c:idx val="11"/>
          <c:order val="11"/>
          <c:tx>
            <c:strRef>
              <c:f>'q=0.001'!$Q$63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58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'q=0.001'!$Q$64:$Q$80</c:f>
              <c:numCache>
                <c:formatCode>General</c:formatCode>
                <c:ptCount val="17"/>
                <c:pt idx="0">
                  <c:v>19.5555964589159</c:v>
                </c:pt>
                <c:pt idx="1">
                  <c:v>27.36624515247005</c:v>
                </c:pt>
                <c:pt idx="2">
                  <c:v>35.617738600698232</c:v>
                </c:pt>
                <c:pt idx="3">
                  <c:v>43.686989390338802</c:v>
                </c:pt>
                <c:pt idx="4">
                  <c:v>51.017300555822089</c:v>
                </c:pt>
                <c:pt idx="5">
                  <c:v>57.182957869636574</c:v>
                </c:pt>
                <c:pt idx="6">
                  <c:v>61.915630662952246</c:v>
                </c:pt>
                <c:pt idx="7">
                  <c:v>65.10049368175487</c:v>
                </c:pt>
                <c:pt idx="8">
                  <c:v>66.753070559749474</c:v>
                </c:pt>
                <c:pt idx="9">
                  <c:v>66.987023739174816</c:v>
                </c:pt>
                <c:pt idx="10">
                  <c:v>65.980580903904624</c:v>
                </c:pt>
                <c:pt idx="11">
                  <c:v>63.946427491077365</c:v>
                </c:pt>
                <c:pt idx="12">
                  <c:v>61.107458754579675</c:v>
                </c:pt>
                <c:pt idx="13">
                  <c:v>57.679034562020064</c:v>
                </c:pt>
                <c:pt idx="14">
                  <c:v>53.857299105745028</c:v>
                </c:pt>
                <c:pt idx="15">
                  <c:v>49.812578543587577</c:v>
                </c:pt>
                <c:pt idx="16">
                  <c:v>45.686688274716822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796-4293-8EF2-EFF55C5B85C8}"/>
            </c:ext>
          </c:extLst>
        </c:ser>
        <c:ser>
          <c:idx val="12"/>
          <c:order val="12"/>
          <c:tx>
            <c:strRef>
              <c:f>'q=0.001'!$R$63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9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'q=0.001'!$R$64:$R$80</c:f>
              <c:numCache>
                <c:formatCode>General</c:formatCode>
                <c:ptCount val="17"/>
                <c:pt idx="0">
                  <c:v>29.294666855821532</c:v>
                </c:pt>
                <c:pt idx="1">
                  <c:v>37.899769448882793</c:v>
                </c:pt>
                <c:pt idx="2">
                  <c:v>46.418126947090919</c:v>
                </c:pt>
                <c:pt idx="3">
                  <c:v>54.35780541446865</c:v>
                </c:pt>
                <c:pt idx="4">
                  <c:v>61.335640966749409</c:v>
                </c:pt>
                <c:pt idx="5">
                  <c:v>67.094184434207662</c:v>
                </c:pt>
                <c:pt idx="6">
                  <c:v>71.497649281376667</c:v>
                </c:pt>
                <c:pt idx="7">
                  <c:v>74.515063232152329</c:v>
                </c:pt>
                <c:pt idx="8">
                  <c:v>76.197513684151829</c:v>
                </c:pt>
                <c:pt idx="9">
                  <c:v>76.654409249291959</c:v>
                </c:pt>
                <c:pt idx="10">
                  <c:v>76.031789663057694</c:v>
                </c:pt>
                <c:pt idx="11">
                  <c:v>74.494216449376935</c:v>
                </c:pt>
                <c:pt idx="12">
                  <c:v>72.210731276129408</c:v>
                </c:pt>
                <c:pt idx="13">
                  <c:v>69.344722607065933</c:v>
                </c:pt>
                <c:pt idx="14">
                  <c:v>66.047198045791447</c:v>
                </c:pt>
                <c:pt idx="15">
                  <c:v>62.452823719668459</c:v>
                </c:pt>
                <c:pt idx="16">
                  <c:v>58.678084207709531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796-4293-8EF2-EFF55C5B85C8}"/>
            </c:ext>
          </c:extLst>
        </c:ser>
        <c:ser>
          <c:idx val="13"/>
          <c:order val="13"/>
          <c:tx>
            <c:strRef>
              <c:f>'q=0.001'!$S$63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0000"/>
                  <a:shade val="95000"/>
                </a:schemeClr>
              </a:contourClr>
            </a:sp3d>
          </c:spPr>
          <c:cat>
            <c:numRef>
              <c:f>'q=0.001'!$E$64:$E$80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'q=0.001'!$S$64:$S$80</c:f>
              <c:numCache>
                <c:formatCode>General</c:formatCode>
                <c:ptCount val="17"/>
                <c:pt idx="0">
                  <c:v>38.112946125074991</c:v>
                </c:pt>
                <c:pt idx="1">
                  <c:v>47.039515560672378</c:v>
                </c:pt>
                <c:pt idx="2">
                  <c:v>55.548691493356444</c:v>
                </c:pt>
                <c:pt idx="3">
                  <c:v>63.267584327417268</c:v>
                </c:pt>
                <c:pt idx="4">
                  <c:v>69.933236396162357</c:v>
                </c:pt>
                <c:pt idx="5">
                  <c:v>75.389227788121246</c:v>
                </c:pt>
                <c:pt idx="6">
                  <c:v>79.571968121126019</c:v>
                </c:pt>
                <c:pt idx="7">
                  <c:v>82.492299362301324</c:v>
                </c:pt>
                <c:pt idx="8">
                  <c:v>84.216267980070882</c:v>
                </c:pt>
                <c:pt idx="9">
                  <c:v>84.847387692637</c:v>
                </c:pt>
                <c:pt idx="10">
                  <c:v>84.511560234171782</c:v>
                </c:pt>
                <c:pt idx="11">
                  <c:v>83.345043540889037</c:v>
                </c:pt>
                <c:pt idx="12">
                  <c:v>81.485383608768529</c:v>
                </c:pt>
                <c:pt idx="13">
                  <c:v>79.064974335805871</c:v>
                </c:pt>
                <c:pt idx="14">
                  <c:v>76.206805029566198</c:v>
                </c:pt>
                <c:pt idx="15">
                  <c:v>73.021940873469646</c:v>
                </c:pt>
                <c:pt idx="16">
                  <c:v>69.608317118438634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796-4293-8EF2-EFF55C5B85C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</c:bandFmts>
        <c:axId val="2049537328"/>
        <c:axId val="2049534928"/>
        <c:axId val="472652656"/>
      </c:surface3DChart>
      <c:catAx>
        <c:axId val="20495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  <c:auto val="1"/>
        <c:lblAlgn val="ctr"/>
        <c:lblOffset val="100"/>
        <c:noMultiLvlLbl val="0"/>
      </c:catAx>
      <c:valAx>
        <c:axId val="204953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7328"/>
        <c:crosses val="autoZero"/>
        <c:crossBetween val="midCat"/>
      </c:valAx>
      <c:serAx>
        <c:axId val="4726526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70%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70E-4CCC-BDB5-38124636A8BF}"/>
            </c:ext>
          </c:extLst>
        </c:ser>
        <c:ser>
          <c:idx val="1"/>
          <c:order val="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70E-4CCC-BDB5-38124636A8BF}"/>
            </c:ext>
          </c:extLst>
        </c:ser>
        <c:ser>
          <c:idx val="2"/>
          <c:order val="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70E-4CCC-BDB5-38124636A8BF}"/>
            </c:ext>
          </c:extLst>
        </c:ser>
        <c:ser>
          <c:idx val="3"/>
          <c:order val="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270E-4CCC-BDB5-38124636A8BF}"/>
            </c:ext>
          </c:extLst>
        </c:ser>
        <c:ser>
          <c:idx val="4"/>
          <c:order val="4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270E-4CCC-BDB5-38124636A8BF}"/>
            </c:ext>
          </c:extLst>
        </c:ser>
        <c:ser>
          <c:idx val="5"/>
          <c:order val="5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270E-4CCC-BDB5-38124636A8BF}"/>
            </c:ext>
          </c:extLst>
        </c:ser>
        <c:ser>
          <c:idx val="6"/>
          <c:order val="6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270E-4CCC-BDB5-38124636A8BF}"/>
            </c:ext>
          </c:extLst>
        </c:ser>
        <c:ser>
          <c:idx val="7"/>
          <c:order val="7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270E-4CCC-BDB5-38124636A8BF}"/>
            </c:ext>
          </c:extLst>
        </c:ser>
        <c:ser>
          <c:idx val="8"/>
          <c:order val="8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270E-4CCC-BDB5-38124636A8BF}"/>
            </c:ext>
          </c:extLst>
        </c:ser>
        <c:ser>
          <c:idx val="9"/>
          <c:order val="9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270E-4CCC-BDB5-38124636A8BF}"/>
            </c:ext>
          </c:extLst>
        </c:ser>
        <c:ser>
          <c:idx val="10"/>
          <c:order val="10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270E-4CCC-BDB5-38124636A8BF}"/>
            </c:ext>
          </c:extLst>
        </c:ser>
        <c:ser>
          <c:idx val="11"/>
          <c:order val="11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270E-4CCC-BDB5-38124636A8BF}"/>
            </c:ext>
          </c:extLst>
        </c:ser>
        <c:ser>
          <c:idx val="12"/>
          <c:order val="12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270E-4CCC-BDB5-38124636A8BF}"/>
            </c:ext>
          </c:extLst>
        </c:ser>
        <c:ser>
          <c:idx val="13"/>
          <c:order val="13"/>
          <c:val>
            <c:numRef>
              <c:f>'q=0.001'!#REF!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270E-4CCC-BDB5-38124636A8BF}"/>
            </c:ext>
          </c:extLst>
        </c:ser>
        <c:bandFmts/>
        <c:axId val="2041188256"/>
        <c:axId val="104014048"/>
        <c:axId val="264750352"/>
      </c:surface3DChart>
      <c:catAx>
        <c:axId val="204118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  <c:auto val="1"/>
        <c:lblAlgn val="ctr"/>
        <c:lblOffset val="100"/>
        <c:noMultiLvlLbl val="0"/>
      </c:catAx>
      <c:valAx>
        <c:axId val="10401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88256"/>
        <c:crosses val="autoZero"/>
        <c:crossBetween val="midCat"/>
      </c:valAx>
      <c:serAx>
        <c:axId val="26475035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0.1%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'q=0.001'!$F$83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39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'q=0.001'!$F$84:$F$100</c:f>
              <c:numCache>
                <c:formatCode>General</c:formatCode>
                <c:ptCount val="17"/>
                <c:pt idx="0">
                  <c:v>2.8779189328421856E-15</c:v>
                </c:pt>
                <c:pt idx="1">
                  <c:v>4.281035381736434E-11</c:v>
                </c:pt>
                <c:pt idx="2">
                  <c:v>7.6980402305900477E-8</c:v>
                </c:pt>
                <c:pt idx="3">
                  <c:v>2.4825710705545986E-5</c:v>
                </c:pt>
                <c:pt idx="4">
                  <c:v>1.956630171042268E-3</c:v>
                </c:pt>
                <c:pt idx="5">
                  <c:v>4.8353458221317452E-2</c:v>
                </c:pt>
                <c:pt idx="6">
                  <c:v>0.46113486218310279</c:v>
                </c:pt>
                <c:pt idx="7">
                  <c:v>2.0351535109242285</c:v>
                </c:pt>
                <c:pt idx="8">
                  <c:v>4.9256892008372404</c:v>
                </c:pt>
                <c:pt idx="9">
                  <c:v>7.7381550858258219</c:v>
                </c:pt>
                <c:pt idx="10">
                  <c:v>9.3090308612202701</c:v>
                </c:pt>
                <c:pt idx="11">
                  <c:v>9.8484071232152619</c:v>
                </c:pt>
                <c:pt idx="12">
                  <c:v>9.9691993335460136</c:v>
                </c:pt>
                <c:pt idx="13">
                  <c:v>9.98777357019177</c:v>
                </c:pt>
                <c:pt idx="14">
                  <c:v>9.9898245458736952</c:v>
                </c:pt>
                <c:pt idx="15">
                  <c:v>9.9899936545696733</c:v>
                </c:pt>
                <c:pt idx="16">
                  <c:v>9.9900044283942879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3-4C2E-BE1E-C267244DEC8C}"/>
            </c:ext>
          </c:extLst>
        </c:ser>
        <c:ser>
          <c:idx val="1"/>
          <c:order val="1"/>
          <c:tx>
            <c:strRef>
              <c:f>'q=0.001'!$G$83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8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'q=0.001'!$G$84:$G$100</c:f>
              <c:numCache>
                <c:formatCode>General</c:formatCode>
                <c:ptCount val="17"/>
                <c:pt idx="0">
                  <c:v>9.6858739802867975E-8</c:v>
                </c:pt>
                <c:pt idx="1">
                  <c:v>1.2899664797805941E-5</c:v>
                </c:pt>
                <c:pt idx="2">
                  <c:v>5.9998727560775153E-4</c:v>
                </c:pt>
                <c:pt idx="3">
                  <c:v>1.1888149934495702E-2</c:v>
                </c:pt>
                <c:pt idx="4">
                  <c:v>0.11731432176922496</c:v>
                </c:pt>
                <c:pt idx="5">
                  <c:v>0.65400755297368773</c:v>
                </c:pt>
                <c:pt idx="6">
                  <c:v>2.2868759227477633</c:v>
                </c:pt>
                <c:pt idx="7">
                  <c:v>5.4869259963003518</c:v>
                </c:pt>
                <c:pt idx="8">
                  <c:v>9.7841781965359083</c:v>
                </c:pt>
                <c:pt idx="9">
                  <c:v>13.947669693021135</c:v>
                </c:pt>
                <c:pt idx="10">
                  <c:v>16.987252061566174</c:v>
                </c:pt>
                <c:pt idx="11">
                  <c:v>18.722006138414461</c:v>
                </c:pt>
                <c:pt idx="12">
                  <c:v>19.520635547669436</c:v>
                </c:pt>
                <c:pt idx="13">
                  <c:v>19.825281289430563</c:v>
                </c:pt>
                <c:pt idx="14">
                  <c:v>19.923821877838847</c:v>
                </c:pt>
                <c:pt idx="15">
                  <c:v>19.951393701900798</c:v>
                </c:pt>
                <c:pt idx="16">
                  <c:v>19.958183452229701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13-4C2E-BE1E-C267244DEC8C}"/>
            </c:ext>
          </c:extLst>
        </c:ser>
        <c:ser>
          <c:idx val="2"/>
          <c:order val="2"/>
          <c:tx>
            <c:strRef>
              <c:f>'q=0.001'!$H$83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58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'q=0.001'!$H$84:$H$100</c:f>
              <c:numCache>
                <c:formatCode>General</c:formatCode>
                <c:ptCount val="17"/>
                <c:pt idx="0">
                  <c:v>4.0203466960021731E-5</c:v>
                </c:pt>
                <c:pt idx="1">
                  <c:v>1.108660045370025E-3</c:v>
                </c:pt>
                <c:pt idx="2">
                  <c:v>1.5191739327922336E-2</c:v>
                </c:pt>
                <c:pt idx="3">
                  <c:v>0.11815320604807757</c:v>
                </c:pt>
                <c:pt idx="4">
                  <c:v>0.57907835842005595</c:v>
                </c:pt>
                <c:pt idx="5">
                  <c:v>1.9456347785978045</c:v>
                </c:pt>
                <c:pt idx="6">
                  <c:v>4.8040394496191414</c:v>
                </c:pt>
                <c:pt idx="7">
                  <c:v>9.2456096560324195</c:v>
                </c:pt>
                <c:pt idx="8">
                  <c:v>14.595660813661405</c:v>
                </c:pt>
                <c:pt idx="9">
                  <c:v>19.771394253752437</c:v>
                </c:pt>
                <c:pt idx="10">
                  <c:v>23.913971014275351</c:v>
                </c:pt>
                <c:pt idx="11">
                  <c:v>26.726699104657325</c:v>
                </c:pt>
                <c:pt idx="12">
                  <c:v>28.381587010891163</c:v>
                </c:pt>
                <c:pt idx="13">
                  <c:v>29.240722062514003</c:v>
                </c:pt>
                <c:pt idx="14">
                  <c:v>29.640437404413056</c:v>
                </c:pt>
                <c:pt idx="15">
                  <c:v>29.809343218772106</c:v>
                </c:pt>
                <c:pt idx="16">
                  <c:v>29.874922357606721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13-4C2E-BE1E-C267244DEC8C}"/>
            </c:ext>
          </c:extLst>
        </c:ser>
        <c:ser>
          <c:idx val="3"/>
          <c:order val="3"/>
          <c:tx>
            <c:strRef>
              <c:f>'q=0.001'!$I$83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7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'q=0.001'!$I$84:$I$100</c:f>
              <c:numCache>
                <c:formatCode>General</c:formatCode>
                <c:ptCount val="17"/>
                <c:pt idx="0">
                  <c:v>9.2366482531955124E-4</c:v>
                </c:pt>
                <c:pt idx="1">
                  <c:v>1.156974037507447E-2</c:v>
                </c:pt>
                <c:pt idx="2">
                  <c:v>8.5852121080629173E-2</c:v>
                </c:pt>
                <c:pt idx="3">
                  <c:v>0.41707621452163129</c:v>
                </c:pt>
                <c:pt idx="4">
                  <c:v>1.4349711531481899</c:v>
                </c:pt>
                <c:pt idx="5">
                  <c:v>3.7243778714577247</c:v>
                </c:pt>
                <c:pt idx="6">
                  <c:v>7.6800279552429815</c:v>
                </c:pt>
                <c:pt idx="7">
                  <c:v>13.141809008352041</c:v>
                </c:pt>
                <c:pt idx="8">
                  <c:v>19.367398029724932</c:v>
                </c:pt>
                <c:pt idx="9">
                  <c:v>25.385513248190634</c:v>
                </c:pt>
                <c:pt idx="10">
                  <c:v>30.431613650714652</c:v>
                </c:pt>
                <c:pt idx="11">
                  <c:v>34.171824064672748</c:v>
                </c:pt>
                <c:pt idx="12">
                  <c:v>36.662098157437661</c:v>
                </c:pt>
                <c:pt idx="13">
                  <c:v>38.171968181760754</c:v>
                </c:pt>
                <c:pt idx="14">
                  <c:v>39.015396652662304</c:v>
                </c:pt>
                <c:pt idx="15">
                  <c:v>39.453864145595197</c:v>
                </c:pt>
                <c:pt idx="16">
                  <c:v>39.667845984114955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13-4C2E-BE1E-C267244DEC8C}"/>
            </c:ext>
          </c:extLst>
        </c:ser>
        <c:ser>
          <c:idx val="4"/>
          <c:order val="4"/>
          <c:tx>
            <c:strRef>
              <c:f>'q=0.001'!$J$83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'q=0.001'!$J$84:$J$100</c:f>
              <c:numCache>
                <c:formatCode>General</c:formatCode>
                <c:ptCount val="17"/>
                <c:pt idx="0">
                  <c:v>6.4986304475572465E-3</c:v>
                </c:pt>
                <c:pt idx="1">
                  <c:v>5.0636602149410792E-2</c:v>
                </c:pt>
                <c:pt idx="2">
                  <c:v>0.25965421673994676</c:v>
                </c:pt>
                <c:pt idx="3">
                  <c:v>0.94929200929730151</c:v>
                </c:pt>
                <c:pt idx="4">
                  <c:v>2.6350761348000029</c:v>
                </c:pt>
                <c:pt idx="5">
                  <c:v>5.8408365463987595</c:v>
                </c:pt>
                <c:pt idx="6">
                  <c:v>10.773435051458181</c:v>
                </c:pt>
                <c:pt idx="7">
                  <c:v>17.113875168939529</c:v>
                </c:pt>
                <c:pt idx="8">
                  <c:v>24.103614961817321</c:v>
                </c:pt>
                <c:pt idx="9">
                  <c:v>30.857260942345548</c:v>
                </c:pt>
                <c:pt idx="10">
                  <c:v>36.681302194077134</c:v>
                </c:pt>
                <c:pt idx="11">
                  <c:v>41.232576633207692</c:v>
                </c:pt>
                <c:pt idx="12">
                  <c:v>44.497363763447659</c:v>
                </c:pt>
                <c:pt idx="13">
                  <c:v>46.670785306943031</c:v>
                </c:pt>
                <c:pt idx="14">
                  <c:v>48.026176413035635</c:v>
                </c:pt>
                <c:pt idx="15">
                  <c:v>48.824371392864279</c:v>
                </c:pt>
                <c:pt idx="16">
                  <c:v>49.271354914384752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13-4C2E-BE1E-C267244DEC8C}"/>
            </c:ext>
          </c:extLst>
        </c:ser>
        <c:ser>
          <c:idx val="5"/>
          <c:order val="5"/>
          <c:tx>
            <c:strRef>
              <c:f>'q=0.001'!$K$83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86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'q=0.001'!$K$84:$K$100</c:f>
              <c:numCache>
                <c:formatCode>General</c:formatCode>
                <c:ptCount val="17"/>
                <c:pt idx="0">
                  <c:v>2.4986042667139989E-2</c:v>
                </c:pt>
                <c:pt idx="1">
                  <c:v>0.14174559431035927</c:v>
                </c:pt>
                <c:pt idx="2">
                  <c:v>0.56750478959362483</c:v>
                </c:pt>
                <c:pt idx="3">
                  <c:v>1.7143206423411179</c:v>
                </c:pt>
                <c:pt idx="4">
                  <c:v>4.1175464603241911</c:v>
                </c:pt>
                <c:pt idx="5">
                  <c:v>8.2001548006555076</c:v>
                </c:pt>
                <c:pt idx="6">
                  <c:v>14.011567094579195</c:v>
                </c:pt>
                <c:pt idx="7">
                  <c:v>21.131663389770246</c:v>
                </c:pt>
                <c:pt idx="8">
                  <c:v>28.80718184232823</c:v>
                </c:pt>
                <c:pt idx="9">
                  <c:v>36.221117483172208</c:v>
                </c:pt>
                <c:pt idx="10">
                  <c:v>42.735789550627835</c:v>
                </c:pt>
                <c:pt idx="11">
                  <c:v>48.010069145920347</c:v>
                </c:pt>
                <c:pt idx="12">
                  <c:v>51.986800058023206</c:v>
                </c:pt>
                <c:pt idx="13">
                  <c:v>54.804831835183386</c:v>
                </c:pt>
                <c:pt idx="14">
                  <c:v>56.696343336750438</c:v>
                </c:pt>
                <c:pt idx="15">
                  <c:v>57.907007890693087</c:v>
                </c:pt>
                <c:pt idx="16">
                  <c:v>58.650197574711086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13-4C2E-BE1E-C267244DEC8C}"/>
            </c:ext>
          </c:extLst>
        </c:ser>
        <c:ser>
          <c:idx val="6"/>
          <c:order val="6"/>
          <c:tx>
            <c:strRef>
              <c:f>'q=0.001'!$L$83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'q=0.001'!$L$84:$L$100</c:f>
              <c:numCache>
                <c:formatCode>General</c:formatCode>
                <c:ptCount val="17"/>
                <c:pt idx="0">
                  <c:v>6.7536567230526798E-2</c:v>
                </c:pt>
                <c:pt idx="1">
                  <c:v>0.30521636354051074</c:v>
                </c:pt>
                <c:pt idx="2">
                  <c:v>1.0231793558946314</c:v>
                </c:pt>
                <c:pt idx="3">
                  <c:v>2.6943612106194412</c:v>
                </c:pt>
                <c:pt idx="4">
                  <c:v>5.8293905198789275</c:v>
                </c:pt>
                <c:pt idx="5">
                  <c:v>10.740714807674948</c:v>
                </c:pt>
                <c:pt idx="6">
                  <c:v>17.351959746392609</c:v>
                </c:pt>
                <c:pt idx="7">
                  <c:v>25.177977729944736</c:v>
                </c:pt>
                <c:pt idx="8">
                  <c:v>33.480220269949115</c:v>
                </c:pt>
                <c:pt idx="9">
                  <c:v>41.497715875509464</c:v>
                </c:pt>
                <c:pt idx="10">
                  <c:v>48.638144292668052</c:v>
                </c:pt>
                <c:pt idx="11">
                  <c:v>54.56729038692513</c:v>
                </c:pt>
                <c:pt idx="12">
                  <c:v>59.200085468347005</c:v>
                </c:pt>
                <c:pt idx="13">
                  <c:v>62.633089719323145</c:v>
                </c:pt>
                <c:pt idx="14">
                  <c:v>65.06186270191651</c:v>
                </c:pt>
                <c:pt idx="15">
                  <c:v>66.711813311281773</c:v>
                </c:pt>
                <c:pt idx="16">
                  <c:v>67.793431633064159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13-4C2E-BE1E-C267244DEC8C}"/>
            </c:ext>
          </c:extLst>
        </c:ser>
        <c:ser>
          <c:idx val="7"/>
          <c:order val="7"/>
          <c:tx>
            <c:strRef>
              <c:f>'q=0.001'!$M$83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6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'q=0.001'!$M$84:$M$100</c:f>
              <c:numCache>
                <c:formatCode>General</c:formatCode>
                <c:ptCount val="17"/>
                <c:pt idx="0">
                  <c:v>0.14582594187379008</c:v>
                </c:pt>
                <c:pt idx="1">
                  <c:v>0.55541444760070269</c:v>
                </c:pt>
                <c:pt idx="2">
                  <c:v>1.6287498013018218</c:v>
                </c:pt>
                <c:pt idx="3">
                  <c:v>3.866608180067717</c:v>
                </c:pt>
                <c:pt idx="4">
                  <c:v>7.7286238518735804</c:v>
                </c:pt>
                <c:pt idx="5">
                  <c:v>13.420726895739712</c:v>
                </c:pt>
                <c:pt idx="6">
                  <c:v>20.767540279605008</c:v>
                </c:pt>
                <c:pt idx="7">
                  <c:v>29.242019615408136</c:v>
                </c:pt>
                <c:pt idx="8">
                  <c:v>38.124385469216783</c:v>
                </c:pt>
                <c:pt idx="9">
                  <c:v>46.700653886790654</c:v>
                </c:pt>
                <c:pt idx="10">
                  <c:v>54.41632006696323</c:v>
                </c:pt>
                <c:pt idx="11">
                  <c:v>60.946161999059932</c:v>
                </c:pt>
                <c:pt idx="12">
                  <c:v>66.186821008507096</c:v>
                </c:pt>
                <c:pt idx="13">
                  <c:v>70.202821086951232</c:v>
                </c:pt>
                <c:pt idx="14">
                  <c:v>73.158530844067158</c:v>
                </c:pt>
                <c:pt idx="15">
                  <c:v>75.258272697091982</c:v>
                </c:pt>
                <c:pt idx="16">
                  <c:v>76.704318507665604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13-4C2E-BE1E-C267244DEC8C}"/>
            </c:ext>
          </c:extLst>
        </c:ser>
        <c:ser>
          <c:idx val="8"/>
          <c:order val="8"/>
          <c:tx>
            <c:strRef>
              <c:f>'q=0.001'!$N$83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86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'q=0.001'!$N$84:$N$100</c:f>
              <c:numCache>
                <c:formatCode>General</c:formatCode>
                <c:ptCount val="17"/>
                <c:pt idx="0">
                  <c:v>0.27029959110247698</c:v>
                </c:pt>
                <c:pt idx="1">
                  <c:v>0.90087776735537706</c:v>
                </c:pt>
                <c:pt idx="2">
                  <c:v>2.3795562725707424</c:v>
                </c:pt>
                <c:pt idx="3">
                  <c:v>5.2084142292554834</c:v>
                </c:pt>
                <c:pt idx="4">
                  <c:v>9.782495776515308</c:v>
                </c:pt>
                <c:pt idx="5">
                  <c:v>16.210673582060547</c:v>
                </c:pt>
                <c:pt idx="6">
                  <c:v>24.239926280835338</c:v>
                </c:pt>
                <c:pt idx="7">
                  <c:v>33.316546150251341</c:v>
                </c:pt>
                <c:pt idx="8">
                  <c:v>42.741018440417704</c:v>
                </c:pt>
                <c:pt idx="9">
                  <c:v>51.839508778222211</c:v>
                </c:pt>
                <c:pt idx="10">
                  <c:v>60.089687035330847</c:v>
                </c:pt>
                <c:pt idx="11">
                  <c:v>67.176092793303184</c:v>
                </c:pt>
                <c:pt idx="12">
                  <c:v>72.983286555752088</c:v>
                </c:pt>
                <c:pt idx="13">
                  <c:v>77.551244252479009</c:v>
                </c:pt>
                <c:pt idx="14">
                  <c:v>81.018167516019062</c:v>
                </c:pt>
                <c:pt idx="15">
                  <c:v>83.568305629271933</c:v>
                </c:pt>
                <c:pt idx="16">
                  <c:v>85.393230261042987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D13-4C2E-BE1E-C267244DEC8C}"/>
            </c:ext>
          </c:extLst>
        </c:ser>
        <c:ser>
          <c:idx val="9"/>
          <c:order val="9"/>
          <c:tx>
            <c:strRef>
              <c:f>'q=0.001'!$O$83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'q=0.001'!$O$84:$O$100</c:f>
              <c:numCache>
                <c:formatCode>General</c:formatCode>
                <c:ptCount val="17"/>
                <c:pt idx="0">
                  <c:v>0.44935020388692287</c:v>
                </c:pt>
                <c:pt idx="1">
                  <c:v>1.3455065768236785</c:v>
                </c:pt>
                <c:pt idx="2">
                  <c:v>3.2675212480587197</c:v>
                </c:pt>
                <c:pt idx="3">
                  <c:v>6.6991624063314132</c:v>
                </c:pt>
                <c:pt idx="4">
                  <c:v>11.965358420166091</c:v>
                </c:pt>
                <c:pt idx="5">
                  <c:v>19.088966578944852</c:v>
                </c:pt>
                <c:pt idx="6">
                  <c:v>27.756030614037403</c:v>
                </c:pt>
                <c:pt idx="7">
                  <c:v>37.396460703728998</c:v>
                </c:pt>
                <c:pt idx="8">
                  <c:v>47.331236356039213</c:v>
                </c:pt>
                <c:pt idx="9">
                  <c:v>56.921362711880789</c:v>
                </c:pt>
                <c:pt idx="10">
                  <c:v>65.672339414915882</c:v>
                </c:pt>
                <c:pt idx="11">
                  <c:v>73.278596103054113</c:v>
                </c:pt>
                <c:pt idx="12">
                  <c:v>79.616754198075753</c:v>
                </c:pt>
                <c:pt idx="13">
                  <c:v>84.707763429444441</c:v>
                </c:pt>
                <c:pt idx="14">
                  <c:v>88.667955073491541</c:v>
                </c:pt>
                <c:pt idx="15">
                  <c:v>91.663216954876489</c:v>
                </c:pt>
                <c:pt idx="16">
                  <c:v>93.873534763453449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D13-4C2E-BE1E-C267244DEC8C}"/>
            </c:ext>
          </c:extLst>
        </c:ser>
        <c:ser>
          <c:idx val="10"/>
          <c:order val="10"/>
          <c:tx>
            <c:strRef>
              <c:f>'q=0.001'!$P$83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8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'q=0.001'!$P$84:$P$100</c:f>
              <c:numCache>
                <c:formatCode>General</c:formatCode>
                <c:ptCount val="17"/>
                <c:pt idx="0">
                  <c:v>5.8408973874428955</c:v>
                </c:pt>
                <c:pt idx="1">
                  <c:v>10.724816400465619</c:v>
                </c:pt>
                <c:pt idx="2">
                  <c:v>17.705318415928794</c:v>
                </c:pt>
                <c:pt idx="3">
                  <c:v>26.814725386983216</c:v>
                </c:pt>
                <c:pt idx="4">
                  <c:v>37.845382145323278</c:v>
                </c:pt>
                <c:pt idx="5">
                  <c:v>50.397955949091106</c:v>
                </c:pt>
                <c:pt idx="6">
                  <c:v>63.958277847938291</c:v>
                </c:pt>
                <c:pt idx="7">
                  <c:v>77.978158992033002</c:v>
                </c:pt>
                <c:pt idx="8">
                  <c:v>91.942798964020128</c:v>
                </c:pt>
                <c:pt idx="9">
                  <c:v>105.41652585083841</c:v>
                </c:pt>
                <c:pt idx="10">
                  <c:v>118.06609044751065</c:v>
                </c:pt>
                <c:pt idx="11">
                  <c:v>129.6652943331095</c:v>
                </c:pt>
                <c:pt idx="12">
                  <c:v>140.0865717039573</c:v>
                </c:pt>
                <c:pt idx="13">
                  <c:v>149.28510244549756</c:v>
                </c:pt>
                <c:pt idx="14">
                  <c:v>157.27999446224121</c:v>
                </c:pt>
                <c:pt idx="15">
                  <c:v>164.13570974972012</c:v>
                </c:pt>
                <c:pt idx="16">
                  <c:v>169.94562750542315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13-4C2E-BE1E-C267244DEC8C}"/>
            </c:ext>
          </c:extLst>
        </c:ser>
        <c:ser>
          <c:idx val="11"/>
          <c:order val="11"/>
          <c:tx>
            <c:strRef>
              <c:f>'q=0.001'!$Q$83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58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'q=0.001'!$Q$84:$Q$100</c:f>
              <c:numCache>
                <c:formatCode>General</c:formatCode>
                <c:ptCount val="17"/>
                <c:pt idx="0">
                  <c:v>16.949926202511119</c:v>
                </c:pt>
                <c:pt idx="1">
                  <c:v>26.293349069133921</c:v>
                </c:pt>
                <c:pt idx="2">
                  <c:v>37.939617333668707</c:v>
                </c:pt>
                <c:pt idx="3">
                  <c:v>51.616050658719935</c:v>
                </c:pt>
                <c:pt idx="4">
                  <c:v>66.909842511116025</c:v>
                </c:pt>
                <c:pt idx="5">
                  <c:v>83.332941694206227</c:v>
                </c:pt>
                <c:pt idx="6">
                  <c:v>100.381336453439</c:v>
                </c:pt>
                <c:pt idx="7">
                  <c:v>117.5811465598172</c:v>
                </c:pt>
                <c:pt idx="8">
                  <c:v>134.51919471269784</c:v>
                </c:pt>
                <c:pt idx="9">
                  <c:v>150.85917490659904</c:v>
                </c:pt>
                <c:pt idx="10">
                  <c:v>166.34627800079662</c:v>
                </c:pt>
                <c:pt idx="11">
                  <c:v>180.80363662297268</c:v>
                </c:pt>
                <c:pt idx="12">
                  <c:v>194.123709252406</c:v>
                </c:pt>
                <c:pt idx="13">
                  <c:v>206.25713037412413</c:v>
                </c:pt>
                <c:pt idx="14">
                  <c:v>217.2008700733883</c:v>
                </c:pt>
                <c:pt idx="15">
                  <c:v>226.98691772683051</c:v>
                </c:pt>
                <c:pt idx="16">
                  <c:v>235.67219453449835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D13-4C2E-BE1E-C267244DEC8C}"/>
            </c:ext>
          </c:extLst>
        </c:ser>
        <c:ser>
          <c:idx val="12"/>
          <c:order val="12"/>
          <c:tx>
            <c:strRef>
              <c:f>'q=0.001'!$R$83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9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'q=0.001'!$R$84:$R$100</c:f>
              <c:numCache>
                <c:formatCode>General</c:formatCode>
                <c:ptCount val="17"/>
                <c:pt idx="0">
                  <c:v>31.78718633982924</c:v>
                </c:pt>
                <c:pt idx="1">
                  <c:v>45.204080014811915</c:v>
                </c:pt>
                <c:pt idx="2">
                  <c:v>60.816936426093342</c:v>
                </c:pt>
                <c:pt idx="3">
                  <c:v>78.206014729928157</c:v>
                </c:pt>
                <c:pt idx="4">
                  <c:v>96.890557083226113</c:v>
                </c:pt>
                <c:pt idx="5">
                  <c:v>116.37980315815354</c:v>
                </c:pt>
                <c:pt idx="6">
                  <c:v>136.2110803907494</c:v>
                </c:pt>
                <c:pt idx="7">
                  <c:v>155.97459608008754</c:v>
                </c:pt>
                <c:pt idx="8">
                  <c:v>175.32665832045134</c:v>
                </c:pt>
                <c:pt idx="9">
                  <c:v>193.99391162019666</c:v>
                </c:pt>
                <c:pt idx="10">
                  <c:v>211.77125262219897</c:v>
                </c:pt>
                <c:pt idx="11">
                  <c:v>228.51576184731758</c:v>
                </c:pt>
                <c:pt idx="12">
                  <c:v>244.13849884656841</c:v>
                </c:pt>
                <c:pt idx="13">
                  <c:v>258.59550760966926</c:v>
                </c:pt>
                <c:pt idx="14">
                  <c:v>271.87894005413574</c:v>
                </c:pt>
                <c:pt idx="15">
                  <c:v>284.00885508306988</c:v>
                </c:pt>
                <c:pt idx="16">
                  <c:v>295.02599025677716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D13-4C2E-BE1E-C267244DEC8C}"/>
            </c:ext>
          </c:extLst>
        </c:ser>
        <c:ser>
          <c:idx val="13"/>
          <c:order val="13"/>
          <c:tx>
            <c:strRef>
              <c:f>'q=0.001'!$S$83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0000"/>
                  <a:shade val="95000"/>
                </a:schemeClr>
              </a:contourClr>
            </a:sp3d>
          </c:spPr>
          <c:cat>
            <c:numRef>
              <c:f>'q=0.001'!$E$84:$E$100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'q=0.001'!$S$84:$S$100</c:f>
              <c:numCache>
                <c:formatCode>General</c:formatCode>
                <c:ptCount val="17"/>
                <c:pt idx="0">
                  <c:v>48.938575913356303</c:v>
                </c:pt>
                <c:pt idx="1">
                  <c:v>65.960917034933118</c:v>
                </c:pt>
                <c:pt idx="2">
                  <c:v>84.967192183069656</c:v>
                </c:pt>
                <c:pt idx="3">
                  <c:v>105.47264454642718</c:v>
                </c:pt>
                <c:pt idx="4">
                  <c:v>126.98345282483261</c:v>
                </c:pt>
                <c:pt idx="5">
                  <c:v>149.03214026616041</c:v>
                </c:pt>
                <c:pt idx="6">
                  <c:v>171.20026115856265</c:v>
                </c:pt>
                <c:pt idx="7">
                  <c:v>193.13049951756361</c:v>
                </c:pt>
                <c:pt idx="8">
                  <c:v>214.53076611355573</c:v>
                </c:pt>
                <c:pt idx="9">
                  <c:v>235.1727450616913</c:v>
                </c:pt>
                <c:pt idx="10">
                  <c:v>254.88694164683909</c:v>
                </c:pt>
                <c:pt idx="11">
                  <c:v>273.55581136280608</c:v>
                </c:pt>
                <c:pt idx="12">
                  <c:v>291.10610716801909</c:v>
                </c:pt>
                <c:pt idx="13">
                  <c:v>307.50121094001452</c:v>
                </c:pt>
                <c:pt idx="14">
                  <c:v>322.73392660816091</c:v>
                </c:pt>
                <c:pt idx="15">
                  <c:v>336.82000060092139</c:v>
                </c:pt>
                <c:pt idx="16">
                  <c:v>349.7924874851895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D13-4C2E-BE1E-C267244DEC8C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20000"/>
                    <a:shade val="95000"/>
                  </a:schemeClr>
                </a:contourClr>
              </a:sp3d>
            </c:spPr>
          </c:bandFmt>
        </c:bandFmts>
        <c:axId val="102552592"/>
        <c:axId val="102549712"/>
        <c:axId val="707534880"/>
      </c:surface3DChart>
      <c:catAx>
        <c:axId val="102552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  <c:auto val="1"/>
        <c:lblAlgn val="ctr"/>
        <c:lblOffset val="100"/>
        <c:noMultiLvlLbl val="0"/>
      </c:catAx>
      <c:valAx>
        <c:axId val="1025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52592"/>
        <c:crosses val="autoZero"/>
        <c:crossBetween val="midCat"/>
      </c:valAx>
      <c:serAx>
        <c:axId val="7075348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q = 2.5%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'q=0.025'!$F$2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0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'q=0.025'!$F$3:$F$19</c:f>
              <c:numCache>
                <c:formatCode>General</c:formatCode>
                <c:ptCount val="17"/>
                <c:pt idx="0">
                  <c:v>3.5362215224951376E-16</c:v>
                </c:pt>
                <c:pt idx="1">
                  <c:v>5.0972173512258551E-12</c:v>
                </c:pt>
                <c:pt idx="2">
                  <c:v>8.9039292944667379E-9</c:v>
                </c:pt>
                <c:pt idx="3">
                  <c:v>2.7957616490084874E-6</c:v>
                </c:pt>
                <c:pt idx="4">
                  <c:v>2.1498836831537665E-4</c:v>
                </c:pt>
                <c:pt idx="5">
                  <c:v>5.1943974147236668E-3</c:v>
                </c:pt>
                <c:pt idx="6">
                  <c:v>4.8538211709072958E-2</c:v>
                </c:pt>
                <c:pt idx="7">
                  <c:v>0.21042812807873695</c:v>
                </c:pt>
                <c:pt idx="8">
                  <c:v>0.501897569138952</c:v>
                </c:pt>
                <c:pt idx="9">
                  <c:v>0.78015917780635957</c:v>
                </c:pt>
                <c:pt idx="10">
                  <c:v>0.93276528557395022</c:v>
                </c:pt>
                <c:pt idx="11">
                  <c:v>0.9842498790812868</c:v>
                </c:pt>
                <c:pt idx="12">
                  <c:v>0.9955857689087636</c:v>
                </c:pt>
                <c:pt idx="13">
                  <c:v>0.99730060041501079</c:v>
                </c:pt>
                <c:pt idx="14">
                  <c:v>0.99748698702181038</c:v>
                </c:pt>
                <c:pt idx="15">
                  <c:v>0.99750212267882077</c:v>
                </c:pt>
                <c:pt idx="16">
                  <c:v>0.99750307287106277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6-4900-81C7-F364CF33DAE0}"/>
            </c:ext>
          </c:extLst>
        </c:ser>
        <c:ser>
          <c:idx val="1"/>
          <c:order val="1"/>
          <c:tx>
            <c:strRef>
              <c:f>'q=0.025'!$G$2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9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'q=0.025'!$G$3:$G$19</c:f>
              <c:numCache>
                <c:formatCode>General</c:formatCode>
                <c:ptCount val="17"/>
                <c:pt idx="0">
                  <c:v>5.9596637065221831E-9</c:v>
                </c:pt>
                <c:pt idx="1">
                  <c:v>7.6944030312273219E-7</c:v>
                </c:pt>
                <c:pt idx="2">
                  <c:v>3.4784330796271002E-5</c:v>
                </c:pt>
                <c:pt idx="3">
                  <c:v>6.7147049327901341E-4</c:v>
                </c:pt>
                <c:pt idx="4">
                  <c:v>6.4699221491135066E-3</c:v>
                </c:pt>
                <c:pt idx="5">
                  <c:v>3.529502174957224E-2</c:v>
                </c:pt>
                <c:pt idx="6">
                  <c:v>0.12104166993192962</c:v>
                </c:pt>
                <c:pt idx="7">
                  <c:v>0.2855259342072613</c:v>
                </c:pt>
                <c:pt idx="8">
                  <c:v>0.5019442115384013</c:v>
                </c:pt>
                <c:pt idx="9">
                  <c:v>0.70757712360602476</c:v>
                </c:pt>
                <c:pt idx="10">
                  <c:v>0.85492550860539307</c:v>
                </c:pt>
                <c:pt idx="11">
                  <c:v>0.93752987490319462</c:v>
                </c:pt>
                <c:pt idx="12">
                  <c:v>0.97491136505019038</c:v>
                </c:pt>
                <c:pt idx="13">
                  <c:v>0.98893766709798614</c:v>
                </c:pt>
                <c:pt idx="14">
                  <c:v>0.99340317155457092</c:v>
                </c:pt>
                <c:pt idx="15">
                  <c:v>0.99463366839413703</c:v>
                </c:pt>
                <c:pt idx="16">
                  <c:v>0.99493225075539971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6-4900-81C7-F364CF33DAE0}"/>
            </c:ext>
          </c:extLst>
        </c:ser>
        <c:ser>
          <c:idx val="2"/>
          <c:order val="2"/>
          <c:tx>
            <c:strRef>
              <c:f>'q=0.025'!$H$2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58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'q=0.025'!$H$3:$H$19</c:f>
              <c:numCache>
                <c:formatCode>General</c:formatCode>
                <c:ptCount val="17"/>
                <c:pt idx="0">
                  <c:v>1.651387967583827E-6</c:v>
                </c:pt>
                <c:pt idx="1">
                  <c:v>4.4163184243131111E-5</c:v>
                </c:pt>
                <c:pt idx="2">
                  <c:v>5.8843908106168878E-4</c:v>
                </c:pt>
                <c:pt idx="3">
                  <c:v>4.4609077649611431E-3</c:v>
                </c:pt>
                <c:pt idx="4">
                  <c:v>2.1359309412222145E-2</c:v>
                </c:pt>
                <c:pt idx="5">
                  <c:v>7.02661201901984E-2</c:v>
                </c:pt>
                <c:pt idx="6">
                  <c:v>0.17025439593924585</c:v>
                </c:pt>
                <c:pt idx="7">
                  <c:v>0.32229077491759284</c:v>
                </c:pt>
                <c:pt idx="8">
                  <c:v>0.50168578282223941</c:v>
                </c:pt>
                <c:pt idx="9">
                  <c:v>0.67185532258123193</c:v>
                </c:pt>
                <c:pt idx="10">
                  <c:v>0.80552082706978456</c:v>
                </c:pt>
                <c:pt idx="11">
                  <c:v>0.89465948085894464</c:v>
                </c:pt>
                <c:pt idx="12">
                  <c:v>0.94620843555664291</c:v>
                </c:pt>
                <c:pt idx="13">
                  <c:v>0.97253078911187285</c:v>
                </c:pt>
                <c:pt idx="14">
                  <c:v>0.98458401397945694</c:v>
                </c:pt>
                <c:pt idx="15">
                  <c:v>0.98959985394440686</c:v>
                </c:pt>
                <c:pt idx="16">
                  <c:v>0.99151874847586552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66-4900-81C7-F364CF33DAE0}"/>
            </c:ext>
          </c:extLst>
        </c:ser>
        <c:ser>
          <c:idx val="3"/>
          <c:order val="3"/>
          <c:tx>
            <c:strRef>
              <c:f>'q=0.025'!$I$2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8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'q=0.025'!$I$3:$I$19</c:f>
              <c:numCache>
                <c:formatCode>General</c:formatCode>
                <c:ptCount val="17"/>
                <c:pt idx="0">
                  <c:v>2.8490848832178828E-5</c:v>
                </c:pt>
                <c:pt idx="1">
                  <c:v>3.4620482310865276E-4</c:v>
                </c:pt>
                <c:pt idx="2">
                  <c:v>2.4989094285265538E-3</c:v>
                </c:pt>
                <c:pt idx="3">
                  <c:v>1.1837810489699174E-2</c:v>
                </c:pt>
                <c:pt idx="4">
                  <c:v>3.9806565502115393E-2</c:v>
                </c:pt>
                <c:pt idx="5">
                  <c:v>0.10120102631931033</c:v>
                </c:pt>
                <c:pt idx="6">
                  <c:v>0.20486623772826754</c:v>
                </c:pt>
                <c:pt idx="7">
                  <c:v>0.34491360599726639</c:v>
                </c:pt>
                <c:pt idx="8">
                  <c:v>0.50126972400808567</c:v>
                </c:pt>
                <c:pt idx="9">
                  <c:v>0.64945841024169726</c:v>
                </c:pt>
                <c:pt idx="10">
                  <c:v>0.77139111291855877</c:v>
                </c:pt>
                <c:pt idx="11">
                  <c:v>0.86015318001510421</c:v>
                </c:pt>
                <c:pt idx="12">
                  <c:v>0.91823954876980429</c:v>
                </c:pt>
                <c:pt idx="13">
                  <c:v>0.95287856148514849</c:v>
                </c:pt>
                <c:pt idx="14">
                  <c:v>0.97192235538077187</c:v>
                </c:pt>
                <c:pt idx="15">
                  <c:v>0.98167184580700262</c:v>
                </c:pt>
                <c:pt idx="16">
                  <c:v>0.98636000598609386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66-4900-81C7-F364CF33DAE0}"/>
            </c:ext>
          </c:extLst>
        </c:ser>
        <c:ser>
          <c:idx val="4"/>
          <c:order val="4"/>
          <c:tx>
            <c:strRef>
              <c:f>'q=0.025'!$J$2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'q=0.025'!$J$3:$J$19</c:f>
              <c:numCache>
                <c:formatCode>General</c:formatCode>
                <c:ptCount val="17"/>
                <c:pt idx="0">
                  <c:v>1.6054746385113958E-4</c:v>
                </c:pt>
                <c:pt idx="1">
                  <c:v>1.2139215317822946E-3</c:v>
                </c:pt>
                <c:pt idx="2">
                  <c:v>6.0568636063225096E-3</c:v>
                </c:pt>
                <c:pt idx="3">
                  <c:v>2.1599983005788581E-2</c:v>
                </c:pt>
                <c:pt idx="4">
                  <c:v>5.8620666765809293E-2</c:v>
                </c:pt>
                <c:pt idx="5">
                  <c:v>0.12731987593325558</c:v>
                </c:pt>
                <c:pt idx="6">
                  <c:v>0.23061006741104292</c:v>
                </c:pt>
                <c:pt idx="7">
                  <c:v>0.36050481455947103</c:v>
                </c:pt>
                <c:pt idx="8">
                  <c:v>0.50075330136559737</c:v>
                </c:pt>
                <c:pt idx="9">
                  <c:v>0.63360682773352528</c:v>
                </c:pt>
                <c:pt idx="10">
                  <c:v>0.7460288710152263</c:v>
                </c:pt>
                <c:pt idx="11">
                  <c:v>0.83230954218222242</c:v>
                </c:pt>
                <c:pt idx="12">
                  <c:v>0.89313992639871098</c:v>
                </c:pt>
                <c:pt idx="13">
                  <c:v>0.93296902331088327</c:v>
                </c:pt>
                <c:pt idx="14">
                  <c:v>0.95741426099902316</c:v>
                </c:pt>
                <c:pt idx="15">
                  <c:v>0.97159090137115367</c:v>
                </c:pt>
                <c:pt idx="16">
                  <c:v>0.97941318332430627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66-4900-81C7-F364CF33DAE0}"/>
            </c:ext>
          </c:extLst>
        </c:ser>
        <c:ser>
          <c:idx val="5"/>
          <c:order val="5"/>
          <c:tx>
            <c:strRef>
              <c:f>'q=0.025'!$K$2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86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'q=0.025'!$K$3:$K$19</c:f>
              <c:numCache>
                <c:formatCode>General</c:formatCode>
                <c:ptCount val="17"/>
                <c:pt idx="0">
                  <c:v>5.1494402902536656E-4</c:v>
                </c:pt>
                <c:pt idx="1">
                  <c:v>2.8354985579284219E-3</c:v>
                </c:pt>
                <c:pt idx="2">
                  <c:v>1.104931596882373E-2</c:v>
                </c:pt>
                <c:pt idx="3">
                  <c:v>3.2567394462621156E-2</c:v>
                </c:pt>
                <c:pt idx="4">
                  <c:v>7.6499259739811268E-2</c:v>
                </c:pt>
                <c:pt idx="5">
                  <c:v>0.14932101593601307</c:v>
                </c:pt>
                <c:pt idx="6">
                  <c:v>0.250603971505235</c:v>
                </c:pt>
                <c:pt idx="7">
                  <c:v>0.37200008940398605</c:v>
                </c:pt>
                <c:pt idx="8">
                  <c:v>0.50016596074159902</c:v>
                </c:pt>
                <c:pt idx="9">
                  <c:v>0.62153169243863815</c:v>
                </c:pt>
                <c:pt idx="10">
                  <c:v>0.72617714299839065</c:v>
                </c:pt>
                <c:pt idx="11">
                  <c:v>0.80937943579066773</c:v>
                </c:pt>
                <c:pt idx="12">
                  <c:v>0.87103559884293458</c:v>
                </c:pt>
                <c:pt idx="13">
                  <c:v>0.9140072004261981</c:v>
                </c:pt>
                <c:pt idx="14">
                  <c:v>0.94239381667426914</c:v>
                </c:pt>
                <c:pt idx="15">
                  <c:v>0.96028586356688961</c:v>
                </c:pt>
                <c:pt idx="16">
                  <c:v>0.9711079542675094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6-4900-81C7-F364CF33DAE0}"/>
            </c:ext>
          </c:extLst>
        </c:ser>
        <c:ser>
          <c:idx val="6"/>
          <c:order val="6"/>
          <c:tx>
            <c:strRef>
              <c:f>'q=0.025'!$L$2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6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'q=0.025'!$L$3:$L$19</c:f>
              <c:numCache>
                <c:formatCode>General</c:formatCode>
                <c:ptCount val="17"/>
                <c:pt idx="0">
                  <c:v>1.1942150662166719E-3</c:v>
                </c:pt>
                <c:pt idx="1">
                  <c:v>5.2397526098597758E-3</c:v>
                </c:pt>
                <c:pt idx="2">
                  <c:v>1.7100430795158782E-2</c:v>
                </c:pt>
                <c:pt idx="3">
                  <c:v>4.3948509997962328E-2</c:v>
                </c:pt>
                <c:pt idx="4">
                  <c:v>9.3013239550428936E-2</c:v>
                </c:pt>
                <c:pt idx="5">
                  <c:v>0.16800884103342043</c:v>
                </c:pt>
                <c:pt idx="6">
                  <c:v>0.26664338259340259</c:v>
                </c:pt>
                <c:pt idx="7">
                  <c:v>0.38086102972235952</c:v>
                </c:pt>
                <c:pt idx="8">
                  <c:v>0.49952523843694346</c:v>
                </c:pt>
                <c:pt idx="9">
                  <c:v>0.6118653646026454</c:v>
                </c:pt>
                <c:pt idx="10">
                  <c:v>0.71003848501438405</c:v>
                </c:pt>
                <c:pt idx="11">
                  <c:v>0.7900953001728549</c:v>
                </c:pt>
                <c:pt idx="12">
                  <c:v>0.85157366823504643</c:v>
                </c:pt>
                <c:pt idx="13">
                  <c:v>0.89637955090987587</c:v>
                </c:pt>
                <c:pt idx="14">
                  <c:v>0.92757660670259778</c:v>
                </c:pt>
                <c:pt idx="15">
                  <c:v>0.94844682162137017</c:v>
                </c:pt>
                <c:pt idx="16">
                  <c:v>0.96192724770569182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66-4900-81C7-F364CF33DAE0}"/>
            </c:ext>
          </c:extLst>
        </c:ser>
        <c:ser>
          <c:idx val="7"/>
          <c:order val="7"/>
          <c:tx>
            <c:strRef>
              <c:f>'q=0.025'!$M$2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'q=0.025'!$M$3:$M$19</c:f>
              <c:numCache>
                <c:formatCode>General</c:formatCode>
                <c:ptCount val="17"/>
                <c:pt idx="0">
                  <c:v>2.258308075064267E-3</c:v>
                </c:pt>
                <c:pt idx="1">
                  <c:v>8.3525299987891998E-3</c:v>
                </c:pt>
                <c:pt idx="2">
                  <c:v>2.3850802923413544E-2</c:v>
                </c:pt>
                <c:pt idx="3">
                  <c:v>5.5272252726867727E-2</c:v>
                </c:pt>
                <c:pt idx="4">
                  <c:v>0.10809459316204149</c:v>
                </c:pt>
                <c:pt idx="5">
                  <c:v>0.18405088168011616</c:v>
                </c:pt>
                <c:pt idx="6">
                  <c:v>0.27983235124685657</c:v>
                </c:pt>
                <c:pt idx="7">
                  <c:v>0.38790823711062272</c:v>
                </c:pt>
                <c:pt idx="8">
                  <c:v>0.49884258850132374</c:v>
                </c:pt>
                <c:pt idx="9">
                  <c:v>0.60384506318075593</c:v>
                </c:pt>
                <c:pt idx="10">
                  <c:v>0.69653668017939352</c:v>
                </c:pt>
                <c:pt idx="11">
                  <c:v>0.77357425995553153</c:v>
                </c:pt>
                <c:pt idx="12">
                  <c:v>0.83433948924666235</c:v>
                </c:pt>
                <c:pt idx="13">
                  <c:v>0.88013695680693371</c:v>
                </c:pt>
                <c:pt idx="14">
                  <c:v>0.9133090798011414</c:v>
                </c:pt>
                <c:pt idx="15">
                  <c:v>0.93651532958062866</c:v>
                </c:pt>
                <c:pt idx="16">
                  <c:v>0.95226217034165672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66-4900-81C7-F364CF33DAE0}"/>
            </c:ext>
          </c:extLst>
        </c:ser>
        <c:ser>
          <c:idx val="8"/>
          <c:order val="8"/>
          <c:tx>
            <c:strRef>
              <c:f>'q=0.025'!$N$2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6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'q=0.025'!$N$3:$N$19</c:f>
              <c:numCache>
                <c:formatCode>General</c:formatCode>
                <c:ptCount val="17"/>
                <c:pt idx="0">
                  <c:v>3.7240014468915964E-3</c:v>
                </c:pt>
                <c:pt idx="1">
                  <c:v>1.2055027175825749E-2</c:v>
                </c:pt>
                <c:pt idx="2">
                  <c:v>3.1012193061679974E-2</c:v>
                </c:pt>
                <c:pt idx="3">
                  <c:v>6.6275874296661791E-2</c:v>
                </c:pt>
                <c:pt idx="4">
                  <c:v>0.12181615464585262</c:v>
                </c:pt>
                <c:pt idx="5">
                  <c:v>0.197964797157651</c:v>
                </c:pt>
                <c:pt idx="6">
                  <c:v>0.29088872542940308</c:v>
                </c:pt>
                <c:pt idx="7">
                  <c:v>0.39364290836784899</c:v>
                </c:pt>
                <c:pt idx="8">
                  <c:v>0.49812598616035991</c:v>
                </c:pt>
                <c:pt idx="9">
                  <c:v>0.59700764716294885</c:v>
                </c:pt>
                <c:pt idx="10">
                  <c:v>0.68498496367335104</c:v>
                </c:pt>
                <c:pt idx="11">
                  <c:v>0.75919497759871879</c:v>
                </c:pt>
                <c:pt idx="12">
                  <c:v>0.81896303282726413</c:v>
                </c:pt>
                <c:pt idx="13">
                  <c:v>0.86520125188343056</c:v>
                </c:pt>
                <c:pt idx="14">
                  <c:v>0.89973830037651537</c:v>
                </c:pt>
                <c:pt idx="15">
                  <c:v>0.92475505266462332</c:v>
                </c:pt>
                <c:pt idx="16">
                  <c:v>0.94239443945690626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66-4900-81C7-F364CF33DAE0}"/>
            </c:ext>
          </c:extLst>
        </c:ser>
        <c:ser>
          <c:idx val="9"/>
          <c:order val="9"/>
          <c:tx>
            <c:strRef>
              <c:f>'q=0.025'!$O$2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'q=0.025'!$O$3:$O$19</c:f>
              <c:numCache>
                <c:formatCode>General</c:formatCode>
                <c:ptCount val="17"/>
                <c:pt idx="0">
                  <c:v>5.576152938890429E-3</c:v>
                </c:pt>
                <c:pt idx="1">
                  <c:v>1.6220051557493183E-2</c:v>
                </c:pt>
                <c:pt idx="2">
                  <c:v>3.8370531210075123E-2</c:v>
                </c:pt>
                <c:pt idx="3">
                  <c:v>7.6822772529643826E-2</c:v>
                </c:pt>
                <c:pt idx="4">
                  <c:v>0.13429875818451975</c:v>
                </c:pt>
                <c:pt idx="5">
                  <c:v>0.21014702597586268</c:v>
                </c:pt>
                <c:pt idx="6">
                  <c:v>0.30030104257325252</c:v>
                </c:pt>
                <c:pt idx="7">
                  <c:v>0.39839090119227677</c:v>
                </c:pt>
                <c:pt idx="8">
                  <c:v>0.49738125185786486</c:v>
                </c:pt>
                <c:pt idx="9">
                  <c:v>0.59105364187828824</c:v>
                </c:pt>
                <c:pt idx="10">
                  <c:v>0.67492252218248261</c:v>
                </c:pt>
                <c:pt idx="11">
                  <c:v>0.74651070838219979</c:v>
                </c:pt>
                <c:pt idx="12">
                  <c:v>0.80513766959095556</c:v>
                </c:pt>
                <c:pt idx="13">
                  <c:v>0.85145170014674409</c:v>
                </c:pt>
                <c:pt idx="14">
                  <c:v>0.88690734982186104</c:v>
                </c:pt>
                <c:pt idx="15">
                  <c:v>0.91331496620536801</c:v>
                </c:pt>
                <c:pt idx="16">
                  <c:v>0.93251578036606675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66-4900-81C7-F364CF33DAE0}"/>
            </c:ext>
          </c:extLst>
        </c:ser>
        <c:ser>
          <c:idx val="10"/>
          <c:order val="10"/>
          <c:tx>
            <c:strRef>
              <c:f>'q=0.025'!$P$2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7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'q=0.025'!$P$3:$P$19</c:f>
              <c:numCache>
                <c:formatCode>General</c:formatCode>
                <c:ptCount val="17"/>
                <c:pt idx="0">
                  <c:v>3.6438239603828616E-2</c:v>
                </c:pt>
                <c:pt idx="1">
                  <c:v>6.5079344608766881E-2</c:v>
                </c:pt>
                <c:pt idx="2">
                  <c:v>0.10478683217896527</c:v>
                </c:pt>
                <c:pt idx="3">
                  <c:v>0.15515544367345677</c:v>
                </c:pt>
                <c:pt idx="4">
                  <c:v>0.21455156043279006</c:v>
                </c:pt>
                <c:pt idx="5">
                  <c:v>0.28048147185695854</c:v>
                </c:pt>
                <c:pt idx="6">
                  <c:v>0.35005412780985884</c:v>
                </c:pt>
                <c:pt idx="7">
                  <c:v>0.4204083287599526</c:v>
                </c:pt>
                <c:pt idx="8">
                  <c:v>0.48902876092036818</c:v>
                </c:pt>
                <c:pt idx="9">
                  <c:v>0.55392824924372996</c:v>
                </c:pt>
                <c:pt idx="10">
                  <c:v>0.61370998200485483</c:v>
                </c:pt>
                <c:pt idx="11">
                  <c:v>0.66754109998611888</c:v>
                </c:pt>
                <c:pt idx="12">
                  <c:v>0.71507236668399388</c:v>
                </c:pt>
                <c:pt idx="13">
                  <c:v>0.75633367198345336</c:v>
                </c:pt>
                <c:pt idx="14">
                  <c:v>0.7916268893752858</c:v>
                </c:pt>
                <c:pt idx="15">
                  <c:v>0.82142932119847711</c:v>
                </c:pt>
                <c:pt idx="16">
                  <c:v>0.84631421405453322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66-4900-81C7-F364CF33DAE0}"/>
            </c:ext>
          </c:extLst>
        </c:ser>
        <c:ser>
          <c:idx val="11"/>
          <c:order val="11"/>
          <c:tx>
            <c:strRef>
              <c:f>'q=0.025'!$Q$2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8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'q=0.025'!$Q$3:$Q$19</c:f>
              <c:numCache>
                <c:formatCode>General</c:formatCode>
                <c:ptCount val="17"/>
                <c:pt idx="0">
                  <c:v>7.0664834388845826E-2</c:v>
                </c:pt>
                <c:pt idx="1">
                  <c:v>0.1067079632049335</c:v>
                </c:pt>
                <c:pt idx="2">
                  <c:v>0.15028094909697723</c:v>
                </c:pt>
                <c:pt idx="3">
                  <c:v>0.20001457661578889</c:v>
                </c:pt>
                <c:pt idx="4">
                  <c:v>0.25417115465054019</c:v>
                </c:pt>
                <c:pt idx="5">
                  <c:v>0.31089463962769381</c:v>
                </c:pt>
                <c:pt idx="6">
                  <c:v>0.36841132870165588</c:v>
                </c:pt>
                <c:pt idx="7">
                  <c:v>0.42516560792212349</c:v>
                </c:pt>
                <c:pt idx="8">
                  <c:v>0.47989323362895597</c:v>
                </c:pt>
                <c:pt idx="9">
                  <c:v>0.53164403005798866</c:v>
                </c:pt>
                <c:pt idx="10">
                  <c:v>0.57976885877967443</c:v>
                </c:pt>
                <c:pt idx="11">
                  <c:v>0.62388481123265838</c:v>
                </c:pt>
                <c:pt idx="12">
                  <c:v>0.66382985800960148</c:v>
                </c:pt>
                <c:pt idx="13">
                  <c:v>0.69961501271651583</c:v>
                </c:pt>
                <c:pt idx="14">
                  <c:v>0.73137917387138984</c:v>
                </c:pt>
                <c:pt idx="15">
                  <c:v>0.75934950507330035</c:v>
                </c:pt>
                <c:pt idx="16">
                  <c:v>0.78380855483314715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66-4900-81C7-F364CF33DAE0}"/>
            </c:ext>
          </c:extLst>
        </c:ser>
        <c:ser>
          <c:idx val="12"/>
          <c:order val="12"/>
          <c:tx>
            <c:strRef>
              <c:f>'q=0.025'!$R$2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8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'q=0.025'!$R$3:$R$19</c:f>
              <c:numCache>
                <c:formatCode>General</c:formatCode>
                <c:ptCount val="17"/>
                <c:pt idx="0">
                  <c:v>9.9440960359513095E-2</c:v>
                </c:pt>
                <c:pt idx="1">
                  <c:v>0.13773461219540512</c:v>
                </c:pt>
                <c:pt idx="2">
                  <c:v>0.18095073296421132</c:v>
                </c:pt>
                <c:pt idx="3">
                  <c:v>0.22773156324651583</c:v>
                </c:pt>
                <c:pt idx="4">
                  <c:v>0.27667770886721138</c:v>
                </c:pt>
                <c:pt idx="5">
                  <c:v>0.32647344475719037</c:v>
                </c:pt>
                <c:pt idx="6">
                  <c:v>0.37596626977753589</c:v>
                </c:pt>
                <c:pt idx="7">
                  <c:v>0.42420702047574332</c:v>
                </c:pt>
                <c:pt idx="8">
                  <c:v>0.47046008661149302</c:v>
                </c:pt>
                <c:pt idx="9">
                  <c:v>0.51419337986845515</c:v>
                </c:pt>
                <c:pt idx="10">
                  <c:v>0.55505627303400362</c:v>
                </c:pt>
                <c:pt idx="11">
                  <c:v>0.59285177616400109</c:v>
                </c:pt>
                <c:pt idx="12">
                  <c:v>0.62750731641076307</c:v>
                </c:pt>
                <c:pt idx="13">
                  <c:v>0.65904689544628869</c:v>
                </c:pt>
                <c:pt idx="14">
                  <c:v>0.68756618454912222</c:v>
                </c:pt>
                <c:pt idx="15">
                  <c:v>0.71321125943068253</c:v>
                </c:pt>
                <c:pt idx="16">
                  <c:v>0.73616111252427219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66-4900-81C7-F364CF33DAE0}"/>
            </c:ext>
          </c:extLst>
        </c:ser>
        <c:ser>
          <c:idx val="13"/>
          <c:order val="13"/>
          <c:tx>
            <c:strRef>
              <c:f>'q=0.025'!$S$2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9000"/>
                  <a:shade val="95000"/>
                </a:schemeClr>
              </a:contourClr>
            </a:sp3d>
          </c:spPr>
          <c:cat>
            <c:numRef>
              <c:f>'q=0.025'!$E$3:$E$19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'q=0.025'!$S$3:$S$19</c:f>
              <c:numCache>
                <c:formatCode>General</c:formatCode>
                <c:ptCount val="17"/>
                <c:pt idx="0">
                  <c:v>0.12237098534275952</c:v>
                </c:pt>
                <c:pt idx="1">
                  <c:v>0.16071037009086656</c:v>
                </c:pt>
                <c:pt idx="2">
                  <c:v>0.20222451921135193</c:v>
                </c:pt>
                <c:pt idx="3">
                  <c:v>0.24575416336778969</c:v>
                </c:pt>
                <c:pt idx="4">
                  <c:v>0.290218180478518</c:v>
                </c:pt>
                <c:pt idx="5">
                  <c:v>0.33466998369688911</c:v>
                </c:pt>
                <c:pt idx="6">
                  <c:v>0.37832408678534146</c:v>
                </c:pt>
                <c:pt idx="7">
                  <c:v>0.42056118446799512</c:v>
                </c:pt>
                <c:pt idx="8">
                  <c:v>0.46091925562767966</c:v>
                </c:pt>
                <c:pt idx="9">
                  <c:v>0.49907665482291313</c:v>
                </c:pt>
                <c:pt idx="10">
                  <c:v>0.53483153243237358</c:v>
                </c:pt>
                <c:pt idx="11">
                  <c:v>0.56808050705187518</c:v>
                </c:pt>
                <c:pt idx="12">
                  <c:v>0.59879840130552509</c:v>
                </c:pt>
                <c:pt idx="13">
                  <c:v>0.62702004029052627</c:v>
                </c:pt>
                <c:pt idx="14">
                  <c:v>0.65282455467720524</c:v>
                </c:pt>
                <c:pt idx="15">
                  <c:v>0.67632227107222276</c:v>
                </c:pt>
                <c:pt idx="16">
                  <c:v>0.69764405720106115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66-4900-81C7-F364CF33DAE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</c:bandFmts>
        <c:axId val="11842704"/>
        <c:axId val="11843184"/>
        <c:axId val="23812896"/>
      </c:surface3DChart>
      <c:catAx>
        <c:axId val="1184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122140201224847"/>
              <c:y val="0.7990477580800662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  <c:auto val="1"/>
        <c:lblAlgn val="ctr"/>
        <c:lblOffset val="100"/>
        <c:noMultiLvlLbl val="0"/>
      </c:catAx>
      <c:valAx>
        <c:axId val="118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2704"/>
        <c:crosses val="autoZero"/>
        <c:crossBetween val="midCat"/>
      </c:valAx>
      <c:serAx>
        <c:axId val="238128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1ED-40BD-8E61-B0D3E79D97E7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1ED-40BD-8E61-B0D3E79D97E7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1ED-40BD-8E61-B0D3E79D97E7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01ED-40BD-8E61-B0D3E79D97E7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01ED-40BD-8E61-B0D3E79D97E7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01ED-40BD-8E61-B0D3E79D97E7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01ED-40BD-8E61-B0D3E79D97E7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01ED-40BD-8E61-B0D3E79D97E7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01ED-40BD-8E61-B0D3E79D97E7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01ED-40BD-8E61-B0D3E79D97E7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01ED-40BD-8E61-B0D3E79D97E7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01ED-40BD-8E61-B0D3E79D97E7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01ED-40BD-8E61-B0D3E79D97E7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01ED-40BD-8E61-B0D3E79D97E7}"/>
            </c:ext>
          </c:extLst>
        </c:ser>
        <c:bandFmts/>
        <c:axId val="107604992"/>
        <c:axId val="107605472"/>
        <c:axId val="259903008"/>
      </c:surface3DChart>
      <c:catAx>
        <c:axId val="10760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  <c:auto val="1"/>
        <c:lblAlgn val="ctr"/>
        <c:lblOffset val="100"/>
        <c:noMultiLvlLbl val="0"/>
      </c:catAx>
      <c:valAx>
        <c:axId val="1076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4992"/>
        <c:crosses val="autoZero"/>
        <c:crossBetween val="midCat"/>
      </c:valAx>
      <c:serAx>
        <c:axId val="2599030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F2C-4C46-852A-1137D841FF5A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F2C-4C46-852A-1137D841FF5A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F2C-4C46-852A-1137D841FF5A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6F2C-4C46-852A-1137D841FF5A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F2C-4C46-852A-1137D841FF5A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6F2C-4C46-852A-1137D841FF5A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6F2C-4C46-852A-1137D841FF5A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6F2C-4C46-852A-1137D841FF5A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6F2C-4C46-852A-1137D841FF5A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6F2C-4C46-852A-1137D841FF5A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6F2C-4C46-852A-1137D841FF5A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6F2C-4C46-852A-1137D841FF5A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6F2C-4C46-852A-1137D841FF5A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6F2C-4C46-852A-1137D841FF5A}"/>
            </c:ext>
          </c:extLst>
        </c:ser>
        <c:bandFmts/>
        <c:axId val="104016448"/>
        <c:axId val="104015488"/>
        <c:axId val="23851520"/>
      </c:surface3DChart>
      <c:catAx>
        <c:axId val="104016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  <c:auto val="1"/>
        <c:lblAlgn val="ctr"/>
        <c:lblOffset val="100"/>
        <c:noMultiLvlLbl val="0"/>
      </c:catAx>
      <c:valAx>
        <c:axId val="1040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6448"/>
        <c:crosses val="autoZero"/>
        <c:crossBetween val="midCat"/>
      </c:valAx>
      <c:serAx>
        <c:axId val="2385152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layout>
            <c:manualLayout>
              <c:xMode val="edge"/>
              <c:yMode val="edge"/>
              <c:x val="0.86462936065030704"/>
              <c:y val="0.5167249082277229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2.5%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'q=0.025'!$F$23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0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'q=0.025'!$F$24:$F$40</c:f>
              <c:numCache>
                <c:formatCode>General</c:formatCode>
                <c:ptCount val="17"/>
                <c:pt idx="0">
                  <c:v>-5.4627036686888201E-14</c:v>
                </c:pt>
                <c:pt idx="1">
                  <c:v>-7.2260917839393983E-10</c:v>
                </c:pt>
                <c:pt idx="2">
                  <c:v>-1.1336486105548648E-6</c:v>
                </c:pt>
                <c:pt idx="3">
                  <c:v>-3.1136087222241197E-4</c:v>
                </c:pt>
                <c:pt idx="4">
                  <c:v>-2.024699271937595E-2</c:v>
                </c:pt>
                <c:pt idx="5">
                  <c:v>-0.3952814037182093</c:v>
                </c:pt>
                <c:pt idx="6">
                  <c:v>-2.7985625067664435</c:v>
                </c:pt>
                <c:pt idx="7">
                  <c:v>-8.3530212581009984</c:v>
                </c:pt>
                <c:pt idx="8">
                  <c:v>-11.807437699732708</c:v>
                </c:pt>
                <c:pt idx="9">
                  <c:v>-8.4685327608596666</c:v>
                </c:pt>
                <c:pt idx="10">
                  <c:v>-2.7567884672497782</c:v>
                </c:pt>
                <c:pt idx="11">
                  <c:v>0.60691942098975904</c:v>
                </c:pt>
                <c:pt idx="12">
                  <c:v>1.7566121570394078</c:v>
                </c:pt>
                <c:pt idx="13">
                  <c:v>2.085517491601844</c:v>
                </c:pt>
                <c:pt idx="14">
                  <c:v>2.2379516482847142</c:v>
                </c:pt>
                <c:pt idx="15">
                  <c:v>2.3653593629350516</c:v>
                </c:pt>
                <c:pt idx="16">
                  <c:v>2.4902482561931376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7-4BEB-94A8-277B05BE3AB4}"/>
            </c:ext>
          </c:extLst>
        </c:ser>
        <c:ser>
          <c:idx val="1"/>
          <c:order val="1"/>
          <c:tx>
            <c:strRef>
              <c:f>'q=0.025'!$G$23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9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'q=0.025'!$G$24:$G$40</c:f>
              <c:numCache>
                <c:formatCode>General</c:formatCode>
                <c:ptCount val="17"/>
                <c:pt idx="0">
                  <c:v>-4.6362976969040304E-7</c:v>
                </c:pt>
                <c:pt idx="1">
                  <c:v>-5.5140145663955023E-5</c:v>
                </c:pt>
                <c:pt idx="2">
                  <c:v>-2.2516053212043603E-3</c:v>
                </c:pt>
                <c:pt idx="3">
                  <c:v>-3.8360252551563244E-2</c:v>
                </c:pt>
                <c:pt idx="4">
                  <c:v>-0.31708319428265946</c:v>
                </c:pt>
                <c:pt idx="5">
                  <c:v>-1.4315430177106754</c:v>
                </c:pt>
                <c:pt idx="6">
                  <c:v>-3.8766888466145728</c:v>
                </c:pt>
                <c:pt idx="7">
                  <c:v>-6.7789755056876642</c:v>
                </c:pt>
                <c:pt idx="8">
                  <c:v>-8.0904617593699832</c:v>
                </c:pt>
                <c:pt idx="9">
                  <c:v>-6.8060054885219694</c:v>
                </c:pt>
                <c:pt idx="10">
                  <c:v>-3.9570837546758972</c:v>
                </c:pt>
                <c:pt idx="11">
                  <c:v>-1.1963255101111434</c:v>
                </c:pt>
                <c:pt idx="12">
                  <c:v>0.64399781377013987</c:v>
                </c:pt>
                <c:pt idx="13">
                  <c:v>1.6160582403138728</c:v>
                </c:pt>
                <c:pt idx="14">
                  <c:v>2.0775389072729178</c:v>
                </c:pt>
                <c:pt idx="15">
                  <c:v>2.3139523358383043</c:v>
                </c:pt>
                <c:pt idx="16">
                  <c:v>2.4703054491502359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87-4BEB-94A8-277B05BE3AB4}"/>
            </c:ext>
          </c:extLst>
        </c:ser>
        <c:ser>
          <c:idx val="2"/>
          <c:order val="2"/>
          <c:tx>
            <c:strRef>
              <c:f>'q=0.025'!$H$23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58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'q=0.025'!$H$24:$H$40</c:f>
              <c:numCache>
                <c:formatCode>General</c:formatCode>
                <c:ptCount val="17"/>
                <c:pt idx="0">
                  <c:v>-8.6201803563914855E-5</c:v>
                </c:pt>
                <c:pt idx="1">
                  <c:v>-2.1305003818059966E-3</c:v>
                </c:pt>
                <c:pt idx="2">
                  <c:v>-2.5763087354733455E-2</c:v>
                </c:pt>
                <c:pt idx="3">
                  <c:v>-0.17358804852201895</c:v>
                </c:pt>
                <c:pt idx="4">
                  <c:v>-0.72062589681377587</c:v>
                </c:pt>
                <c:pt idx="5">
                  <c:v>-1.994119819504971</c:v>
                </c:pt>
                <c:pt idx="6">
                  <c:v>-3.9133224198244037</c:v>
                </c:pt>
                <c:pt idx="7">
                  <c:v>-5.7154642054092584</c:v>
                </c:pt>
                <c:pt idx="8">
                  <c:v>-6.4375477743734448</c:v>
                </c:pt>
                <c:pt idx="9">
                  <c:v>-5.7064482755580119</c:v>
                </c:pt>
                <c:pt idx="10">
                  <c:v>-3.9490825082636527</c:v>
                </c:pt>
                <c:pt idx="11">
                  <c:v>-1.9313738091132642</c:v>
                </c:pt>
                <c:pt idx="12">
                  <c:v>-0.22816981850972295</c:v>
                </c:pt>
                <c:pt idx="13">
                  <c:v>0.95874977023843222</c:v>
                </c:pt>
                <c:pt idx="14">
                  <c:v>1.6910887403282144</c:v>
                </c:pt>
                <c:pt idx="15">
                  <c:v>2.1205353822270685</c:v>
                </c:pt>
                <c:pt idx="16">
                  <c:v>2.3820318219882957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87-4BEB-94A8-277B05BE3AB4}"/>
            </c:ext>
          </c:extLst>
        </c:ser>
        <c:ser>
          <c:idx val="3"/>
          <c:order val="3"/>
          <c:tx>
            <c:strRef>
              <c:f>'q=0.025'!$I$23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8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'q=0.025'!$I$24:$I$40</c:f>
              <c:numCache>
                <c:formatCode>General</c:formatCode>
                <c:ptCount val="17"/>
                <c:pt idx="0">
                  <c:v>-1.1219793822320777E-3</c:v>
                </c:pt>
                <c:pt idx="1">
                  <c:v>-1.2635686237937906E-2</c:v>
                </c:pt>
                <c:pt idx="2">
                  <c:v>-8.3107290387653091E-2</c:v>
                </c:pt>
                <c:pt idx="3">
                  <c:v>-0.35193391140530961</c:v>
                </c:pt>
                <c:pt idx="4">
                  <c:v>-1.0346227341568204</c:v>
                </c:pt>
                <c:pt idx="5">
                  <c:v>-2.2395169525466354</c:v>
                </c:pt>
                <c:pt idx="6">
                  <c:v>-3.7376257629271783</c:v>
                </c:pt>
                <c:pt idx="7">
                  <c:v>-4.9839065459642402</c:v>
                </c:pt>
                <c:pt idx="8">
                  <c:v>-5.4488749981212088</c:v>
                </c:pt>
                <c:pt idx="9">
                  <c:v>-4.9554231632362766</c:v>
                </c:pt>
                <c:pt idx="10">
                  <c:v>-3.7314056625720022</c:v>
                </c:pt>
                <c:pt idx="11">
                  <c:v>-2.2029583282625476</c:v>
                </c:pt>
                <c:pt idx="12">
                  <c:v>-0.74923279719133218</c:v>
                </c:pt>
                <c:pt idx="13">
                  <c:v>0.42164593749178714</c:v>
                </c:pt>
                <c:pt idx="14">
                  <c:v>1.2655728624733977</c:v>
                </c:pt>
                <c:pt idx="15">
                  <c:v>1.8343816935399522</c:v>
                </c:pt>
                <c:pt idx="16">
                  <c:v>2.2099760272392395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7-4BEB-94A8-277B05BE3AB4}"/>
            </c:ext>
          </c:extLst>
        </c:ser>
        <c:ser>
          <c:idx val="4"/>
          <c:order val="4"/>
          <c:tx>
            <c:strRef>
              <c:f>'q=0.025'!$J$23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'q=0.025'!$J$24:$J$40</c:f>
              <c:numCache>
                <c:formatCode>General</c:formatCode>
                <c:ptCount val="17"/>
                <c:pt idx="0">
                  <c:v>-5.0851070857723191E-3</c:v>
                </c:pt>
                <c:pt idx="1">
                  <c:v>-3.572425621388494E-2</c:v>
                </c:pt>
                <c:pt idx="2">
                  <c:v>-0.16298718851998267</c:v>
                </c:pt>
                <c:pt idx="3">
                  <c:v>-0.52211083931075852</c:v>
                </c:pt>
                <c:pt idx="4">
                  <c:v>-1.247205039253338</c:v>
                </c:pt>
                <c:pt idx="5">
                  <c:v>-2.3283758198318658</c:v>
                </c:pt>
                <c:pt idx="6">
                  <c:v>-3.5237333450619692</c:v>
                </c:pt>
                <c:pt idx="7">
                  <c:v>-4.4460610312404514</c:v>
                </c:pt>
                <c:pt idx="8">
                  <c:v>-4.7720758486119701</c:v>
                </c:pt>
                <c:pt idx="9">
                  <c:v>-4.405297844676582</c:v>
                </c:pt>
                <c:pt idx="10">
                  <c:v>-3.4861188177933116</c:v>
                </c:pt>
                <c:pt idx="11">
                  <c:v>-2.2807969838872673</c:v>
                </c:pt>
                <c:pt idx="12">
                  <c:v>-1.04949876294961</c:v>
                </c:pt>
                <c:pt idx="13">
                  <c:v>3.3527844325944578E-2</c:v>
                </c:pt>
                <c:pt idx="14">
                  <c:v>0.89457994342008362</c:v>
                </c:pt>
                <c:pt idx="15">
                  <c:v>1.5347614209911915</c:v>
                </c:pt>
                <c:pt idx="16">
                  <c:v>1.9938921633345763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87-4BEB-94A8-277B05BE3AB4}"/>
            </c:ext>
          </c:extLst>
        </c:ser>
        <c:ser>
          <c:idx val="5"/>
          <c:order val="5"/>
          <c:tx>
            <c:strRef>
              <c:f>'q=0.025'!$K$23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86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'q=0.025'!$K$24:$K$40</c:f>
              <c:numCache>
                <c:formatCode>General</c:formatCode>
                <c:ptCount val="17"/>
                <c:pt idx="0">
                  <c:v>-1.3658587773468487E-2</c:v>
                </c:pt>
                <c:pt idx="1">
                  <c:v>-7.003643900642062E-2</c:v>
                </c:pt>
                <c:pt idx="2">
                  <c:v>-0.25031450120628196</c:v>
                </c:pt>
                <c:pt idx="3">
                  <c:v>-0.66548588774006501</c:v>
                </c:pt>
                <c:pt idx="4">
                  <c:v>-1.3837195583594621</c:v>
                </c:pt>
                <c:pt idx="5">
                  <c:v>-2.3395733014948514</c:v>
                </c:pt>
                <c:pt idx="6">
                  <c:v>-3.3155539467435662</c:v>
                </c:pt>
                <c:pt idx="7">
                  <c:v>-4.0301690551539018</c:v>
                </c:pt>
                <c:pt idx="8">
                  <c:v>-4.2710495948945528</c:v>
                </c:pt>
                <c:pt idx="9">
                  <c:v>-3.9809011656154878</c:v>
                </c:pt>
                <c:pt idx="10">
                  <c:v>-3.2545702385291317</c:v>
                </c:pt>
                <c:pt idx="11">
                  <c:v>-2.2721171606628854</c:v>
                </c:pt>
                <c:pt idx="12">
                  <c:v>-1.2200437095512053</c:v>
                </c:pt>
                <c:pt idx="13">
                  <c:v>-0.2385239313285723</c:v>
                </c:pt>
                <c:pt idx="14">
                  <c:v>0.59572219526531667</c:v>
                </c:pt>
                <c:pt idx="15">
                  <c:v>1.260757921910008</c:v>
                </c:pt>
                <c:pt idx="16">
                  <c:v>1.7700188459220403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87-4BEB-94A8-277B05BE3AB4}"/>
            </c:ext>
          </c:extLst>
        </c:ser>
        <c:ser>
          <c:idx val="6"/>
          <c:order val="6"/>
          <c:tx>
            <c:strRef>
              <c:f>'q=0.025'!$L$23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6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'q=0.025'!$L$24:$L$40</c:f>
              <c:numCache>
                <c:formatCode>General</c:formatCode>
                <c:ptCount val="17"/>
                <c:pt idx="0">
                  <c:v>-2.7273251835650089E-2</c:v>
                </c:pt>
                <c:pt idx="1">
                  <c:v>-0.11165788829368001</c:v>
                </c:pt>
                <c:pt idx="2">
                  <c:v>-0.33512972110128192</c:v>
                </c:pt>
                <c:pt idx="3">
                  <c:v>-0.77968933499298665</c:v>
                </c:pt>
                <c:pt idx="4">
                  <c:v>-1.4677455883457213</c:v>
                </c:pt>
                <c:pt idx="5">
                  <c:v>-2.3113168260111849</c:v>
                </c:pt>
                <c:pt idx="6">
                  <c:v>-3.1242362272862723</c:v>
                </c:pt>
                <c:pt idx="7">
                  <c:v>-3.6963964515064953</c:v>
                </c:pt>
                <c:pt idx="8">
                  <c:v>-3.8806155779750919</c:v>
                </c:pt>
                <c:pt idx="9">
                  <c:v>-3.6408644469458338</c:v>
                </c:pt>
                <c:pt idx="10">
                  <c:v>-3.0454503847316809</c:v>
                </c:pt>
                <c:pt idx="11">
                  <c:v>-2.2233027465320316</c:v>
                </c:pt>
                <c:pt idx="12">
                  <c:v>-1.3132707843573481</c:v>
                </c:pt>
                <c:pt idx="13">
                  <c:v>-0.4278988728058164</c:v>
                </c:pt>
                <c:pt idx="14">
                  <c:v>0.36174530948772565</c:v>
                </c:pt>
                <c:pt idx="15">
                  <c:v>1.0244211420023746</c:v>
                </c:pt>
                <c:pt idx="16">
                  <c:v>1.5582983956792982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87-4BEB-94A8-277B05BE3AB4}"/>
            </c:ext>
          </c:extLst>
        </c:ser>
        <c:ser>
          <c:idx val="7"/>
          <c:order val="7"/>
          <c:tx>
            <c:strRef>
              <c:f>'q=0.025'!$M$23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'q=0.025'!$M$24:$M$40</c:f>
              <c:numCache>
                <c:formatCode>General</c:formatCode>
                <c:ptCount val="17"/>
                <c:pt idx="0">
                  <c:v>-4.5315216170191443E-2</c:v>
                </c:pt>
                <c:pt idx="1">
                  <c:v>-0.15667359603351935</c:v>
                </c:pt>
                <c:pt idx="2">
                  <c:v>-0.41243358588742257</c:v>
                </c:pt>
                <c:pt idx="3">
                  <c:v>-0.86797486455288186</c:v>
                </c:pt>
                <c:pt idx="4">
                  <c:v>-1.5161526277217736</c:v>
                </c:pt>
                <c:pt idx="5">
                  <c:v>-2.262941637451148</c:v>
                </c:pt>
                <c:pt idx="6">
                  <c:v>-2.9514202146160979</c:v>
                </c:pt>
                <c:pt idx="7">
                  <c:v>-3.4208926970390778</c:v>
                </c:pt>
                <c:pt idx="8">
                  <c:v>-3.5651171246154454</c:v>
                </c:pt>
                <c:pt idx="9">
                  <c:v>-3.3605431270953572</c:v>
                </c:pt>
                <c:pt idx="10">
                  <c:v>-2.8587258546656606</c:v>
                </c:pt>
                <c:pt idx="11">
                  <c:v>-2.156051252175013</c:v>
                </c:pt>
                <c:pt idx="12">
                  <c:v>-1.3591921222733974</c:v>
                </c:pt>
                <c:pt idx="13">
                  <c:v>-0.55933601134627553</c:v>
                </c:pt>
                <c:pt idx="14">
                  <c:v>0.18034568140486851</c:v>
                </c:pt>
                <c:pt idx="15">
                  <c:v>0.82591212873175746</c:v>
                </c:pt>
                <c:pt idx="16">
                  <c:v>1.3671224667803346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87-4BEB-94A8-277B05BE3AB4}"/>
            </c:ext>
          </c:extLst>
        </c:ser>
        <c:ser>
          <c:idx val="8"/>
          <c:order val="8"/>
          <c:tx>
            <c:strRef>
              <c:f>'q=0.025'!$N$23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86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'q=0.025'!$N$24:$N$40</c:f>
              <c:numCache>
                <c:formatCode>General</c:formatCode>
                <c:ptCount val="17"/>
                <c:pt idx="0">
                  <c:v>-6.6676800018103E-2</c:v>
                </c:pt>
                <c:pt idx="1">
                  <c:v>-0.20210242583360777</c:v>
                </c:pt>
                <c:pt idx="2">
                  <c:v>-0.48034113347422452</c:v>
                </c:pt>
                <c:pt idx="3">
                  <c:v>-0.93485493459873537</c:v>
                </c:pt>
                <c:pt idx="4">
                  <c:v>-1.5403401351956569</c:v>
                </c:pt>
                <c:pt idx="5">
                  <c:v>-2.2046686848302333</c:v>
                </c:pt>
                <c:pt idx="6">
                  <c:v>-2.7958941655839142</c:v>
                </c:pt>
                <c:pt idx="7">
                  <c:v>-3.188457482455104</c:v>
                </c:pt>
                <c:pt idx="8">
                  <c:v>-3.3031837426842903</c:v>
                </c:pt>
                <c:pt idx="9">
                  <c:v>-3.1242832586907099</c:v>
                </c:pt>
                <c:pt idx="10">
                  <c:v>-2.6920846019420681</c:v>
                </c:pt>
                <c:pt idx="11">
                  <c:v>-2.0811110750245878</c:v>
                </c:pt>
                <c:pt idx="12">
                  <c:v>-1.375478941923836</c:v>
                </c:pt>
                <c:pt idx="13">
                  <c:v>-0.64997816890945082</c:v>
                </c:pt>
                <c:pt idx="14">
                  <c:v>4.0079981016504007E-2</c:v>
                </c:pt>
                <c:pt idx="15">
                  <c:v>0.66115647011290246</c:v>
                </c:pt>
                <c:pt idx="16">
                  <c:v>1.198653070158489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D87-4BEB-94A8-277B05BE3AB4}"/>
            </c:ext>
          </c:extLst>
        </c:ser>
        <c:ser>
          <c:idx val="9"/>
          <c:order val="9"/>
          <c:tx>
            <c:strRef>
              <c:f>'q=0.025'!$O$23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'q=0.025'!$O$24:$O$40</c:f>
              <c:numCache>
                <c:formatCode>General</c:formatCode>
                <c:ptCount val="17"/>
                <c:pt idx="0">
                  <c:v>-9.0171556107468562E-2</c:v>
                </c:pt>
                <c:pt idx="1">
                  <c:v>-0.24597176980349608</c:v>
                </c:pt>
                <c:pt idx="2">
                  <c:v>-0.53863657468111803</c:v>
                </c:pt>
                <c:pt idx="3">
                  <c:v>-0.98458382621616669</c:v>
                </c:pt>
                <c:pt idx="4">
                  <c:v>-1.5479498629197763</c:v>
                </c:pt>
                <c:pt idx="5">
                  <c:v>-2.142085911647456</c:v>
                </c:pt>
                <c:pt idx="6">
                  <c:v>-2.6557160822422237</c:v>
                </c:pt>
                <c:pt idx="7">
                  <c:v>-2.9889056248437376</c:v>
                </c:pt>
                <c:pt idx="8">
                  <c:v>-3.0811215646103087</c:v>
                </c:pt>
                <c:pt idx="9">
                  <c:v>-2.92162073219809</c:v>
                </c:pt>
                <c:pt idx="10">
                  <c:v>-2.5428503756033582</c:v>
                </c:pt>
                <c:pt idx="11">
                  <c:v>-2.0040055196362601</c:v>
                </c:pt>
                <c:pt idx="12">
                  <c:v>-1.3728755971358768</c:v>
                </c:pt>
                <c:pt idx="13">
                  <c:v>-0.71157627456190697</c:v>
                </c:pt>
                <c:pt idx="14">
                  <c:v>-6.8337664445337953E-2</c:v>
                </c:pt>
                <c:pt idx="15">
                  <c:v>0.52508678992390845</c:v>
                </c:pt>
                <c:pt idx="16">
                  <c:v>1.0521024906265373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D87-4BEB-94A8-277B05BE3AB4}"/>
            </c:ext>
          </c:extLst>
        </c:ser>
        <c:ser>
          <c:idx val="10"/>
          <c:order val="10"/>
          <c:tx>
            <c:strRef>
              <c:f>'q=0.025'!$P$23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7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'q=0.025'!$P$24:$P$40</c:f>
              <c:numCache>
                <c:formatCode>General</c:formatCode>
                <c:ptCount val="17"/>
                <c:pt idx="0">
                  <c:v>-0.30149793923404739</c:v>
                </c:pt>
                <c:pt idx="1">
                  <c:v>-0.51010205082486704</c:v>
                </c:pt>
                <c:pt idx="2">
                  <c:v>-0.76991717068328147</c:v>
                </c:pt>
                <c:pt idx="3">
                  <c:v>-1.0571005583056319</c:v>
                </c:pt>
                <c:pt idx="4">
                  <c:v>-1.3399901006751942</c:v>
                </c:pt>
                <c:pt idx="5">
                  <c:v>-1.5858776419938108</c:v>
                </c:pt>
                <c:pt idx="6">
                  <c:v>-1.767016650851124</c:v>
                </c:pt>
                <c:pt idx="7">
                  <c:v>-1.8644763750075031</c:v>
                </c:pt>
                <c:pt idx="8">
                  <c:v>-1.869512014473476</c:v>
                </c:pt>
                <c:pt idx="9">
                  <c:v>-1.7828733128896621</c:v>
                </c:pt>
                <c:pt idx="10">
                  <c:v>-1.61281091826592</c:v>
                </c:pt>
                <c:pt idx="11">
                  <c:v>-1.3725463724077049</c:v>
                </c:pt>
                <c:pt idx="12">
                  <c:v>-1.0777953042115684</c:v>
                </c:pt>
                <c:pt idx="13">
                  <c:v>-0.74470228756789725</c:v>
                </c:pt>
                <c:pt idx="14">
                  <c:v>-0.38833931363663821</c:v>
                </c:pt>
                <c:pt idx="15">
                  <c:v>-2.1771841953947657E-2</c:v>
                </c:pt>
                <c:pt idx="16">
                  <c:v>0.34438966089273393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D87-4BEB-94A8-277B05BE3AB4}"/>
            </c:ext>
          </c:extLst>
        </c:ser>
        <c:ser>
          <c:idx val="11"/>
          <c:order val="11"/>
          <c:tx>
            <c:strRef>
              <c:f>'q=0.025'!$Q$23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58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'q=0.025'!$Q$24:$Q$40</c:f>
              <c:numCache>
                <c:formatCode>General</c:formatCode>
                <c:ptCount val="17"/>
                <c:pt idx="0">
                  <c:v>-0.39319624389666136</c:v>
                </c:pt>
                <c:pt idx="1">
                  <c:v>-0.56529604205282735</c:v>
                </c:pt>
                <c:pt idx="2">
                  <c:v>-0.75075081172200797</c:v>
                </c:pt>
                <c:pt idx="3">
                  <c:v>-0.93304846418837584</c:v>
                </c:pt>
                <c:pt idx="4">
                  <c:v>-1.0957918141310361</c:v>
                </c:pt>
                <c:pt idx="5">
                  <c:v>-1.2249157835839508</c:v>
                </c:pt>
                <c:pt idx="6">
                  <c:v>-1.3100447225838479</c:v>
                </c:pt>
                <c:pt idx="7">
                  <c:v>-1.3449997257409476</c:v>
                </c:pt>
                <c:pt idx="8">
                  <c:v>-1.3276345300255004</c:v>
                </c:pt>
                <c:pt idx="9">
                  <c:v>-1.2592362718578589</c:v>
                </c:pt>
                <c:pt idx="10">
                  <c:v>-1.1437127050072762</c:v>
                </c:pt>
                <c:pt idx="11">
                  <c:v>-0.98673770463694122</c:v>
                </c:pt>
                <c:pt idx="12">
                  <c:v>-0.79496851960790504</c:v>
                </c:pt>
                <c:pt idx="13">
                  <c:v>-0.57539625133502614</c:v>
                </c:pt>
                <c:pt idx="14">
                  <c:v>-0.33485159984946655</c:v>
                </c:pt>
                <c:pt idx="15">
                  <c:v>-7.966175372686779E-2</c:v>
                </c:pt>
                <c:pt idx="16">
                  <c:v>0.18456057677441251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D87-4BEB-94A8-277B05BE3AB4}"/>
            </c:ext>
          </c:extLst>
        </c:ser>
        <c:ser>
          <c:idx val="12"/>
          <c:order val="12"/>
          <c:tx>
            <c:strRef>
              <c:f>'q=0.025'!$R$23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8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'q=0.025'!$R$24:$R$40</c:f>
              <c:numCache>
                <c:formatCode>General</c:formatCode>
                <c:ptCount val="17"/>
                <c:pt idx="0">
                  <c:v>-0.41490618689290254</c:v>
                </c:pt>
                <c:pt idx="1">
                  <c:v>-0.54850265977393531</c:v>
                </c:pt>
                <c:pt idx="2">
                  <c:v>-0.6814568496022998</c:v>
                </c:pt>
                <c:pt idx="3">
                  <c:v>-0.80340258896108829</c:v>
                </c:pt>
                <c:pt idx="4">
                  <c:v>-0.90525864922277866</c:v>
                </c:pt>
                <c:pt idx="5">
                  <c:v>-0.97995440861061733</c:v>
                </c:pt>
                <c:pt idx="6">
                  <c:v>-1.0227231826526859</c:v>
                </c:pt>
                <c:pt idx="7">
                  <c:v>-1.0310623854024279</c:v>
                </c:pt>
                <c:pt idx="8">
                  <c:v>-1.0044751668923566</c:v>
                </c:pt>
                <c:pt idx="9">
                  <c:v>-0.94409612651508468</c:v>
                </c:pt>
                <c:pt idx="10">
                  <c:v>-0.85227999280703615</c:v>
                </c:pt>
                <c:pt idx="11">
                  <c:v>-0.73220672268110487</c:v>
                </c:pt>
                <c:pt idx="12">
                  <c:v>-0.58753439595791024</c:v>
                </c:pt>
                <c:pt idx="13">
                  <c:v>-0.42211442416761757</c:v>
                </c:pt>
                <c:pt idx="14">
                  <c:v>-0.23977198798372568</c:v>
                </c:pt>
                <c:pt idx="15">
                  <c:v>-4.4147447309172083E-2</c:v>
                </c:pt>
                <c:pt idx="16">
                  <c:v>0.16140934508908522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D87-4BEB-94A8-277B05BE3AB4}"/>
            </c:ext>
          </c:extLst>
        </c:ser>
        <c:ser>
          <c:idx val="13"/>
          <c:order val="13"/>
          <c:tx>
            <c:strRef>
              <c:f>'q=0.025'!$S$23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39000"/>
                  <a:shade val="95000"/>
                </a:schemeClr>
              </a:contourClr>
            </a:sp3d>
          </c:spPr>
          <c:cat>
            <c:numRef>
              <c:f>'q=0.025'!$E$24:$E$40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'q=0.025'!$S$24:$S$40</c:f>
              <c:numCache>
                <c:formatCode>General</c:formatCode>
                <c:ptCount val="17"/>
                <c:pt idx="0">
                  <c:v>-0.40585433835257334</c:v>
                </c:pt>
                <c:pt idx="1">
                  <c:v>-0.50919308820532083</c:v>
                </c:pt>
                <c:pt idx="2">
                  <c:v>-0.60650220923905751</c:v>
                </c:pt>
                <c:pt idx="3">
                  <c:v>-0.6911146316467166</c:v>
                </c:pt>
                <c:pt idx="4">
                  <c:v>-0.75762227886395728</c:v>
                </c:pt>
                <c:pt idx="5">
                  <c:v>-0.80209327498068383</c:v>
                </c:pt>
                <c:pt idx="6">
                  <c:v>-0.82207874995618802</c:v>
                </c:pt>
                <c:pt idx="7">
                  <c:v>-0.81648062741408345</c:v>
                </c:pt>
                <c:pt idx="8">
                  <c:v>-0.78534224418074206</c:v>
                </c:pt>
                <c:pt idx="9">
                  <c:v>-0.72960882148889317</c:v>
                </c:pt>
                <c:pt idx="10">
                  <c:v>-0.65088989416471432</c:v>
                </c:pt>
                <c:pt idx="11">
                  <c:v>-0.5512432157782432</c:v>
                </c:pt>
                <c:pt idx="12">
                  <c:v>-0.43299012315580798</c:v>
                </c:pt>
                <c:pt idx="13">
                  <c:v>-0.29856571979518076</c:v>
                </c:pt>
                <c:pt idx="14">
                  <c:v>-0.1504030165367638</c:v>
                </c:pt>
                <c:pt idx="15">
                  <c:v>9.1522426829535597E-3</c:v>
                </c:pt>
                <c:pt idx="16">
                  <c:v>0.17790048243159307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D87-4BEB-94A8-277B05BE3AB4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tint val="4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4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4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4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46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tint val="6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6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6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6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62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7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9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3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shade val="9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9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9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2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6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shade val="61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61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61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61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61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</c:bandFmts>
        <c:axId val="169659744"/>
        <c:axId val="169661184"/>
        <c:axId val="271878784"/>
      </c:surface3DChart>
      <c:catAx>
        <c:axId val="16965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  <c:auto val="1"/>
        <c:lblAlgn val="ctr"/>
        <c:lblOffset val="100"/>
        <c:noMultiLvlLbl val="0"/>
      </c:catAx>
      <c:valAx>
        <c:axId val="16966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59744"/>
        <c:crosses val="autoZero"/>
        <c:crossBetween val="midCat"/>
      </c:valAx>
      <c:serAx>
        <c:axId val="2718787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454-4B2E-A618-899743AE7A58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454-4B2E-A618-899743AE7A58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454-4B2E-A618-899743AE7A58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0454-4B2E-A618-899743AE7A58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0454-4B2E-A618-899743AE7A58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0454-4B2E-A618-899743AE7A58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0454-4B2E-A618-899743AE7A58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0454-4B2E-A618-899743AE7A58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0454-4B2E-A618-899743AE7A58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0454-4B2E-A618-899743AE7A58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0454-4B2E-A618-899743AE7A58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0454-4B2E-A618-899743AE7A58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0454-4B2E-A618-899743AE7A58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0454-4B2E-A618-899743AE7A58}"/>
            </c:ext>
          </c:extLst>
        </c:ser>
        <c:bandFmts/>
        <c:axId val="2041191616"/>
        <c:axId val="2041192096"/>
        <c:axId val="472593904"/>
      </c:surface3DChart>
      <c:catAx>
        <c:axId val="204119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  <c:auto val="1"/>
        <c:lblAlgn val="ctr"/>
        <c:lblOffset val="100"/>
        <c:noMultiLvlLbl val="0"/>
      </c:catAx>
      <c:valAx>
        <c:axId val="20411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1616"/>
        <c:crosses val="autoZero"/>
        <c:crossBetween val="midCat"/>
      </c:valAx>
      <c:serAx>
        <c:axId val="4725939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5CB-41DE-946B-9EC4464055AD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5CB-41DE-946B-9EC4464055AD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5CB-41DE-946B-9EC4464055AD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5CB-41DE-946B-9EC4464055AD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15CB-41DE-946B-9EC4464055AD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15CB-41DE-946B-9EC4464055AD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15CB-41DE-946B-9EC4464055AD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15CB-41DE-946B-9EC4464055AD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15CB-41DE-946B-9EC4464055AD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15CB-41DE-946B-9EC4464055AD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15CB-41DE-946B-9EC4464055AD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15CB-41DE-946B-9EC4464055AD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15CB-41DE-946B-9EC4464055AD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15CB-41DE-946B-9EC4464055AD}"/>
            </c:ext>
          </c:extLst>
        </c:ser>
        <c:bandFmts/>
        <c:axId val="1952532784"/>
        <c:axId val="1952529904"/>
        <c:axId val="472730992"/>
      </c:surface3DChart>
      <c:catAx>
        <c:axId val="1952532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  <c:auto val="1"/>
        <c:lblAlgn val="ctr"/>
        <c:lblOffset val="100"/>
        <c:noMultiLvlLbl val="0"/>
      </c:catAx>
      <c:valAx>
        <c:axId val="19525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32784"/>
        <c:crosses val="autoZero"/>
        <c:crossBetween val="midCat"/>
      </c:valAx>
      <c:serAx>
        <c:axId val="472730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2.5%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58092738407698"/>
          <c:y val="0.17171296296296298"/>
          <c:w val="0.83046762904636917"/>
          <c:h val="0.60250765529308836"/>
        </c:manualLayout>
      </c:layout>
      <c:surface3DChart>
        <c:wireframe val="0"/>
        <c:ser>
          <c:idx val="0"/>
          <c:order val="0"/>
          <c:tx>
            <c:strRef>
              <c:f>'q=0.025'!$F$43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39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'q=0.025'!$F$44:$F$60</c:f>
              <c:numCache>
                <c:formatCode>General</c:formatCode>
                <c:ptCount val="17"/>
                <c:pt idx="0">
                  <c:v>7.6314553483584653E-16</c:v>
                </c:pt>
                <c:pt idx="1">
                  <c:v>8.6106713322995463E-12</c:v>
                </c:pt>
                <c:pt idx="2">
                  <c:v>1.1663784324571543E-8</c:v>
                </c:pt>
                <c:pt idx="3">
                  <c:v>2.7958090497034203E-6</c:v>
                </c:pt>
                <c:pt idx="4">
                  <c:v>1.6021344881896632E-4</c:v>
                </c:pt>
                <c:pt idx="5">
                  <c:v>2.7818864000905509E-3</c:v>
                </c:pt>
                <c:pt idx="6">
                  <c:v>1.768596816914832E-2</c:v>
                </c:pt>
                <c:pt idx="7">
                  <c:v>4.7974780604673202E-2</c:v>
                </c:pt>
                <c:pt idx="8">
                  <c:v>6.2918847978720452E-2</c:v>
                </c:pt>
                <c:pt idx="9">
                  <c:v>4.4229713708524049E-2</c:v>
                </c:pt>
                <c:pt idx="10">
                  <c:v>1.8158123196990939E-2</c:v>
                </c:pt>
                <c:pt idx="11">
                  <c:v>4.678317405240405E-3</c:v>
                </c:pt>
                <c:pt idx="12">
                  <c:v>8.0379602547839973E-4</c:v>
                </c:pt>
                <c:pt idx="13">
                  <c:v>9.6973135916797844E-5</c:v>
                </c:pt>
                <c:pt idx="14">
                  <c:v>8.5854193628646315E-6</c:v>
                </c:pt>
                <c:pt idx="15">
                  <c:v>5.7934193174543035E-7</c:v>
                </c:pt>
                <c:pt idx="16">
                  <c:v>3.0788132533501306E-8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F-4BC7-BF5B-DF7E21F6BE9F}"/>
            </c:ext>
          </c:extLst>
        </c:ser>
        <c:ser>
          <c:idx val="1"/>
          <c:order val="1"/>
          <c:tx>
            <c:strRef>
              <c:f>'q=0.025'!$G$43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8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'q=0.025'!$G$44:$G$60</c:f>
              <c:numCache>
                <c:formatCode>General</c:formatCode>
                <c:ptCount val="17"/>
                <c:pt idx="0">
                  <c:v>6.5143288857852331E-9</c:v>
                </c:pt>
                <c:pt idx="1">
                  <c:v>6.6150147755047242E-7</c:v>
                </c:pt>
                <c:pt idx="2">
                  <c:v>2.3352219712897923E-5</c:v>
                </c:pt>
                <c:pt idx="3">
                  <c:v>3.4778261439120456E-4</c:v>
                </c:pt>
                <c:pt idx="4">
                  <c:v>2.5388523363756156E-3</c:v>
                </c:pt>
                <c:pt idx="5">
                  <c:v>1.0224630571061216E-2</c:v>
                </c:pt>
                <c:pt idx="6">
                  <c:v>2.4964857035161672E-2</c:v>
                </c:pt>
                <c:pt idx="7">
                  <c:v>3.9885316815508262E-2</c:v>
                </c:pt>
                <c:pt idx="8">
                  <c:v>4.4377870296444688E-2</c:v>
                </c:pt>
                <c:pt idx="9">
                  <c:v>3.6200465804258931E-2</c:v>
                </c:pt>
                <c:pt idx="10">
                  <c:v>2.2595823261599701E-2</c:v>
                </c:pt>
                <c:pt idx="11">
                  <c:v>1.1186091874790164E-2</c:v>
                </c:pt>
                <c:pt idx="12">
                  <c:v>4.5269901723816921E-3</c:v>
                </c:pt>
                <c:pt idx="13">
                  <c:v>1.5367029079202202E-3</c:v>
                </c:pt>
                <c:pt idx="14">
                  <c:v>4.4726374561700129E-4</c:v>
                </c:pt>
                <c:pt idx="15">
                  <c:v>1.1374460638423731E-4</c:v>
                </c:pt>
                <c:pt idx="16">
                  <c:v>2.5690391879454024E-5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5F-4BC7-BF5B-DF7E21F6BE9F}"/>
            </c:ext>
          </c:extLst>
        </c:ser>
        <c:ser>
          <c:idx val="2"/>
          <c:order val="2"/>
          <c:tx>
            <c:strRef>
              <c:f>'q=0.025'!$H$43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58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'q=0.025'!$H$44:$H$60</c:f>
              <c:numCache>
                <c:formatCode>General</c:formatCode>
                <c:ptCount val="17"/>
                <c:pt idx="0">
                  <c:v>1.218101888119573E-6</c:v>
                </c:pt>
                <c:pt idx="1">
                  <c:v>2.5728941432944336E-5</c:v>
                </c:pt>
                <c:pt idx="2">
                  <c:v>2.6928834784163599E-4</c:v>
                </c:pt>
                <c:pt idx="3">
                  <c:v>1.5884290444720562E-3</c:v>
                </c:pt>
                <c:pt idx="4">
                  <c:v>5.8345867021174953E-3</c:v>
                </c:pt>
                <c:pt idx="5">
                  <c:v>1.4436997053088291E-2</c:v>
                </c:pt>
                <c:pt idx="6">
                  <c:v>2.5622548818368261E-2</c:v>
                </c:pt>
                <c:pt idx="7">
                  <c:v>3.4314122193430892E-2</c:v>
                </c:pt>
                <c:pt idx="8">
                  <c:v>3.6142777076188876E-2</c:v>
                </c:pt>
                <c:pt idx="9">
                  <c:v>3.0981849036183284E-2</c:v>
                </c:pt>
                <c:pt idx="10">
                  <c:v>2.2236874101402192E-2</c:v>
                </c:pt>
                <c:pt idx="11">
                  <c:v>1.3685724061054038E-2</c:v>
                </c:pt>
                <c:pt idx="12">
                  <c:v>7.3692611734193043E-3</c:v>
                </c:pt>
                <c:pt idx="13">
                  <c:v>3.5315273059386429E-3</c:v>
                </c:pt>
                <c:pt idx="14">
                  <c:v>1.5283550463993344E-3</c:v>
                </c:pt>
                <c:pt idx="15">
                  <c:v>6.048614779734225E-4</c:v>
                </c:pt>
                <c:pt idx="16">
                  <c:v>2.2128892924487025E-4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5F-4BC7-BF5B-DF7E21F6BE9F}"/>
            </c:ext>
          </c:extLst>
        </c:ser>
        <c:ser>
          <c:idx val="3"/>
          <c:order val="3"/>
          <c:tx>
            <c:strRef>
              <c:f>'q=0.025'!$I$43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7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'q=0.025'!$I$44:$I$60</c:f>
              <c:numCache>
                <c:formatCode>General</c:formatCode>
                <c:ptCount val="17"/>
                <c:pt idx="0">
                  <c:v>1.5943893203007467E-5</c:v>
                </c:pt>
                <c:pt idx="1">
                  <c:v>1.5359294256825831E-4</c:v>
                </c:pt>
                <c:pt idx="2">
                  <c:v>8.7531838655436776E-4</c:v>
                </c:pt>
                <c:pt idx="3">
                  <c:v>3.2493881167646346E-3</c:v>
                </c:pt>
                <c:pt idx="4">
                  <c:v>8.4664279745705253E-3</c:v>
                </c:pt>
                <c:pt idx="5">
                  <c:v>1.6420836676337418E-2</c:v>
                </c:pt>
                <c:pt idx="6">
                  <c:v>2.4846930472022244E-2</c:v>
                </c:pt>
                <c:pt idx="7">
                  <c:v>3.0465380711628041E-2</c:v>
                </c:pt>
                <c:pt idx="8">
                  <c:v>3.1221433751268214E-2</c:v>
                </c:pt>
                <c:pt idx="9">
                  <c:v>2.7435173642672697E-2</c:v>
                </c:pt>
                <c:pt idx="10">
                  <c:v>2.1115448662555266E-2</c:v>
                </c:pt>
                <c:pt idx="11">
                  <c:v>1.4489929432292359E-2</c:v>
                </c:pt>
                <c:pt idx="12">
                  <c:v>8.9998431285617068E-3</c:v>
                </c:pt>
                <c:pt idx="13">
                  <c:v>5.1245140577150855E-3</c:v>
                </c:pt>
                <c:pt idx="14">
                  <c:v>2.7043215389928642E-3</c:v>
                </c:pt>
                <c:pt idx="15">
                  <c:v>1.3351260693293613E-3</c:v>
                </c:pt>
                <c:pt idx="16">
                  <c:v>6.2166720721009208E-4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5F-4BC7-BF5B-DF7E21F6BE9F}"/>
            </c:ext>
          </c:extLst>
        </c:ser>
        <c:ser>
          <c:idx val="4"/>
          <c:order val="4"/>
          <c:tx>
            <c:strRef>
              <c:f>'q=0.025'!$J$43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'q=0.025'!$J$44:$J$60</c:f>
              <c:numCache>
                <c:formatCode>General</c:formatCode>
                <c:ptCount val="17"/>
                <c:pt idx="0">
                  <c:v>7.2665409304666437E-5</c:v>
                </c:pt>
                <c:pt idx="1">
                  <c:v>4.3704661162354713E-4</c:v>
                </c:pt>
                <c:pt idx="2">
                  <c:v>1.7295058529785917E-3</c:v>
                </c:pt>
                <c:pt idx="3">
                  <c:v>4.8628261135901319E-3</c:v>
                </c:pt>
                <c:pt idx="4">
                  <c:v>1.0311009371344189E-2</c:v>
                </c:pt>
                <c:pt idx="5">
                  <c:v>1.7279581547142906E-2</c:v>
                </c:pt>
                <c:pt idx="6">
                  <c:v>2.376018869392511E-2</c:v>
                </c:pt>
                <c:pt idx="7">
                  <c:v>2.7630817266757805E-2</c:v>
                </c:pt>
                <c:pt idx="8">
                  <c:v>2.7854702761735149E-2</c:v>
                </c:pt>
                <c:pt idx="9">
                  <c:v>2.4843617408421011E-2</c:v>
                </c:pt>
                <c:pt idx="10">
                  <c:v>1.9938989792042134E-2</c:v>
                </c:pt>
                <c:pt idx="11">
                  <c:v>1.4606032289834587E-2</c:v>
                </c:pt>
                <c:pt idx="12">
                  <c:v>9.883446720924137E-3</c:v>
                </c:pt>
                <c:pt idx="13">
                  <c:v>6.2409923797132E-3</c:v>
                </c:pt>
                <c:pt idx="14">
                  <c:v>3.7097586969041061E-3</c:v>
                </c:pt>
                <c:pt idx="15">
                  <c:v>2.0913608651897944E-3</c:v>
                </c:pt>
                <c:pt idx="16">
                  <c:v>1.125391973524461E-3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5F-4BC7-BF5B-DF7E21F6BE9F}"/>
            </c:ext>
          </c:extLst>
        </c:ser>
        <c:ser>
          <c:idx val="5"/>
          <c:order val="5"/>
          <c:tx>
            <c:strRef>
              <c:f>'q=0.025'!$K$43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86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'q=0.025'!$K$44:$K$60</c:f>
              <c:numCache>
                <c:formatCode>General</c:formatCode>
                <c:ptCount val="17"/>
                <c:pt idx="0">
                  <c:v>1.9625899375442729E-4</c:v>
                </c:pt>
                <c:pt idx="1">
                  <c:v>8.6227348967900816E-4</c:v>
                </c:pt>
                <c:pt idx="2">
                  <c:v>2.6757095664759478E-3</c:v>
                </c:pt>
                <c:pt idx="3">
                  <c:v>6.251148084528175E-3</c:v>
                </c:pt>
                <c:pt idx="4">
                  <c:v>1.1553531938099583E-2</c:v>
                </c:pt>
                <c:pt idx="5">
                  <c:v>1.7564594425331741E-2</c:v>
                </c:pt>
                <c:pt idx="6">
                  <c:v>2.265935748205089E-2</c:v>
                </c:pt>
                <c:pt idx="7">
                  <c:v>2.543693362509224E-2</c:v>
                </c:pt>
                <c:pt idx="8">
                  <c:v>2.536346579587254E-2</c:v>
                </c:pt>
                <c:pt idx="9">
                  <c:v>2.2847175828831744E-2</c:v>
                </c:pt>
                <c:pt idx="10">
                  <c:v>1.885607605383393E-2</c:v>
                </c:pt>
                <c:pt idx="11">
                  <c:v>1.4427437194653748E-2</c:v>
                </c:pt>
                <c:pt idx="12">
                  <c:v>1.0336425085469248E-2</c:v>
                </c:pt>
                <c:pt idx="13">
                  <c:v>6.9930597662770403E-3</c:v>
                </c:pt>
                <c:pt idx="14">
                  <c:v>4.5000447228194778E-3</c:v>
                </c:pt>
                <c:pt idx="15">
                  <c:v>2.7714883436081262E-3</c:v>
                </c:pt>
                <c:pt idx="16">
                  <c:v>1.642406524446938E-3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5F-4BC7-BF5B-DF7E21F6BE9F}"/>
            </c:ext>
          </c:extLst>
        </c:ser>
        <c:ser>
          <c:idx val="6"/>
          <c:order val="6"/>
          <c:tx>
            <c:strRef>
              <c:f>'q=0.025'!$L$43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'q=0.025'!$L$44:$L$60</c:f>
              <c:numCache>
                <c:formatCode>General</c:formatCode>
                <c:ptCount val="17"/>
                <c:pt idx="0">
                  <c:v>3.9403672798876335E-4</c:v>
                </c:pt>
                <c:pt idx="1">
                  <c:v>1.3833581159555218E-3</c:v>
                </c:pt>
                <c:pt idx="2">
                  <c:v>3.6082759572234591E-3</c:v>
                </c:pt>
                <c:pt idx="3">
                  <c:v>7.3851481411626469E-3</c:v>
                </c:pt>
                <c:pt idx="4">
                  <c:v>1.2373760980022429E-2</c:v>
                </c:pt>
                <c:pt idx="5">
                  <c:v>1.7547069329848078E-2</c:v>
                </c:pt>
                <c:pt idx="6">
                  <c:v>2.162834060369043E-2</c:v>
                </c:pt>
                <c:pt idx="7">
                  <c:v>2.3675149907212253E-2</c:v>
                </c:pt>
                <c:pt idx="8">
                  <c:v>2.3422642768761898E-2</c:v>
                </c:pt>
                <c:pt idx="9">
                  <c:v>2.1248911827391921E-2</c:v>
                </c:pt>
                <c:pt idx="10">
                  <c:v>1.7890402820770986E-2</c:v>
                </c:pt>
                <c:pt idx="11">
                  <c:v>1.4120960942328351E-2</c:v>
                </c:pt>
                <c:pt idx="12">
                  <c:v>1.0538123352703505E-2</c:v>
                </c:pt>
                <c:pt idx="13">
                  <c:v>7.4895235959469581E-3</c:v>
                </c:pt>
                <c:pt idx="14">
                  <c:v>5.1005421514270797E-3</c:v>
                </c:pt>
                <c:pt idx="15">
                  <c:v>3.3461881817637802E-3</c:v>
                </c:pt>
                <c:pt idx="16">
                  <c:v>2.1244248486102192E-3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5F-4BC7-BF5B-DF7E21F6BE9F}"/>
            </c:ext>
          </c:extLst>
        </c:ser>
        <c:ser>
          <c:idx val="7"/>
          <c:order val="7"/>
          <c:tx>
            <c:strRef>
              <c:f>'q=0.025'!$M$43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6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'q=0.025'!$M$44:$M$60</c:f>
              <c:numCache>
                <c:formatCode>General</c:formatCode>
                <c:ptCount val="17"/>
                <c:pt idx="0">
                  <c:v>6.5826581504077879E-4</c:v>
                </c:pt>
                <c:pt idx="1">
                  <c:v>1.9531520745762949E-3</c:v>
                </c:pt>
                <c:pt idx="2">
                  <c:v>4.4722860144852392E-3</c:v>
                </c:pt>
                <c:pt idx="3">
                  <c:v>8.2888260436561317E-3</c:v>
                </c:pt>
                <c:pt idx="4">
                  <c:v>1.2902568794550415E-2</c:v>
                </c:pt>
                <c:pt idx="5">
                  <c:v>1.7366555438205492E-2</c:v>
                </c:pt>
                <c:pt idx="6">
                  <c:v>2.0686601707241899E-2</c:v>
                </c:pt>
                <c:pt idx="7">
                  <c:v>2.2220200266150951E-2</c:v>
                </c:pt>
                <c:pt idx="8">
                  <c:v>2.185448684112426E-2</c:v>
                </c:pt>
                <c:pt idx="9">
                  <c:v>1.9931916901688111E-2</c:v>
                </c:pt>
                <c:pt idx="10">
                  <c:v>1.7034561693195147E-2</c:v>
                </c:pt>
                <c:pt idx="11">
                  <c:v>1.3762736404308824E-2</c:v>
                </c:pt>
                <c:pt idx="12">
                  <c:v>1.0589908576952575E-2</c:v>
                </c:pt>
                <c:pt idx="13">
                  <c:v>7.8095975501006514E-3</c:v>
                </c:pt>
                <c:pt idx="14">
                  <c:v>5.5494535406559664E-3</c:v>
                </c:pt>
                <c:pt idx="15">
                  <c:v>3.8173553122785504E-3</c:v>
                </c:pt>
                <c:pt idx="16">
                  <c:v>2.5520909732385934E-3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5F-4BC7-BF5B-DF7E21F6BE9F}"/>
            </c:ext>
          </c:extLst>
        </c:ser>
        <c:ser>
          <c:idx val="8"/>
          <c:order val="8"/>
          <c:tx>
            <c:strRef>
              <c:f>'q=0.025'!$N$43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86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'q=0.025'!$N$44:$N$60</c:f>
              <c:numCache>
                <c:formatCode>General</c:formatCode>
                <c:ptCount val="17"/>
                <c:pt idx="0">
                  <c:v>9.7380568497603228E-4</c:v>
                </c:pt>
                <c:pt idx="1">
                  <c:v>2.5350128194934615E-3</c:v>
                </c:pt>
                <c:pt idx="2">
                  <c:v>5.2453386030723945E-3</c:v>
                </c:pt>
                <c:pt idx="3">
                  <c:v>8.9994892712426944E-3</c:v>
                </c:pt>
                <c:pt idx="4">
                  <c:v>1.3229509635825013E-2</c:v>
                </c:pt>
                <c:pt idx="5">
                  <c:v>1.7098288194086458E-2</c:v>
                </c:pt>
                <c:pt idx="6">
                  <c:v>1.9832772595840632E-2</c:v>
                </c:pt>
                <c:pt idx="7">
                  <c:v>2.0992111853019635E-2</c:v>
                </c:pt>
                <c:pt idx="8">
                  <c:v>2.0552518333007429E-2</c:v>
                </c:pt>
                <c:pt idx="9">
                  <c:v>1.8822111483802844E-2</c:v>
                </c:pt>
                <c:pt idx="10">
                  <c:v>1.6274385648988431E-2</c:v>
                </c:pt>
                <c:pt idx="11">
                  <c:v>1.3389275694288653E-2</c:v>
                </c:pt>
                <c:pt idx="12">
                  <c:v>1.0550667085471583E-2</c:v>
                </c:pt>
                <c:pt idx="13">
                  <c:v>8.0074865467572223E-3</c:v>
                </c:pt>
                <c:pt idx="14">
                  <c:v>5.8813240485914298E-3</c:v>
                </c:pt>
                <c:pt idx="15">
                  <c:v>4.1975207687976572E-3</c:v>
                </c:pt>
                <c:pt idx="16">
                  <c:v>2.9213375449205579E-3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5F-4BC7-BF5B-DF7E21F6BE9F}"/>
            </c:ext>
          </c:extLst>
        </c:ser>
        <c:ser>
          <c:idx val="9"/>
          <c:order val="9"/>
          <c:tx>
            <c:strRef>
              <c:f>'q=0.025'!$O$43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'q=0.025'!$O$44:$O$60</c:f>
              <c:numCache>
                <c:formatCode>General</c:formatCode>
                <c:ptCount val="17"/>
                <c:pt idx="0">
                  <c:v>1.3240107479399613E-3</c:v>
                </c:pt>
                <c:pt idx="1">
                  <c:v>3.1041152863849042E-3</c:v>
                </c:pt>
                <c:pt idx="2">
                  <c:v>5.9228549560261731E-3</c:v>
                </c:pt>
                <c:pt idx="3">
                  <c:v>9.5534478295053512E-3</c:v>
                </c:pt>
                <c:pt idx="4">
                  <c:v>1.3415294159435653E-2</c:v>
                </c:pt>
                <c:pt idx="5">
                  <c:v>1.6784414329747446E-2</c:v>
                </c:pt>
                <c:pt idx="6">
                  <c:v>1.905905037567153E-2</c:v>
                </c:pt>
                <c:pt idx="7">
                  <c:v>1.9937241257794409E-2</c:v>
                </c:pt>
                <c:pt idx="8">
                  <c:v>1.9448539401837474E-2</c:v>
                </c:pt>
                <c:pt idx="9">
                  <c:v>1.7870066241809687E-2</c:v>
                </c:pt>
                <c:pt idx="10">
                  <c:v>1.5595737508180331E-2</c:v>
                </c:pt>
                <c:pt idx="11">
                  <c:v>1.3018511164347312E-2</c:v>
                </c:pt>
                <c:pt idx="12">
                  <c:v>1.0455684950945303E-2</c:v>
                </c:pt>
                <c:pt idx="13">
                  <c:v>8.1199372055011671E-3</c:v>
                </c:pt>
                <c:pt idx="14">
                  <c:v>6.1237495704636784E-3</c:v>
                </c:pt>
                <c:pt idx="15">
                  <c:v>4.5013156719772834E-3</c:v>
                </c:pt>
                <c:pt idx="16">
                  <c:v>3.23513652913539E-3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5F-4BC7-BF5B-DF7E21F6BE9F}"/>
            </c:ext>
          </c:extLst>
        </c:ser>
        <c:ser>
          <c:idx val="10"/>
          <c:order val="10"/>
          <c:tx>
            <c:strRef>
              <c:f>'q=0.025'!$P$43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8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'q=0.025'!$P$44:$P$60</c:f>
              <c:numCache>
                <c:formatCode>General</c:formatCode>
                <c:ptCount val="17"/>
                <c:pt idx="0">
                  <c:v>4.6630609877972668E-3</c:v>
                </c:pt>
                <c:pt idx="1">
                  <c:v>6.8255959610931905E-3</c:v>
                </c:pt>
                <c:pt idx="2">
                  <c:v>9.0434328843526784E-3</c:v>
                </c:pt>
                <c:pt idx="3">
                  <c:v>1.1048250845271654E-2</c:v>
                </c:pt>
                <c:pt idx="4">
                  <c:v>1.2625465541931447E-2</c:v>
                </c:pt>
                <c:pt idx="5">
                  <c:v>1.3648671110459356E-2</c:v>
                </c:pt>
                <c:pt idx="6">
                  <c:v>1.4083955236087348E-2</c:v>
                </c:pt>
                <c:pt idx="7">
                  <c:v>1.3973281967143765E-2</c:v>
                </c:pt>
                <c:pt idx="8">
                  <c:v>1.3408460414541053E-2</c:v>
                </c:pt>
                <c:pt idx="9">
                  <c:v>1.2504879729680576E-2</c:v>
                </c:pt>
                <c:pt idx="10">
                  <c:v>1.1380333565500975E-2</c:v>
                </c:pt>
                <c:pt idx="11">
                  <c:v>1.0140830958936146E-2</c:v>
                </c:pt>
                <c:pt idx="12">
                  <c:v>8.8730353567441616E-3</c:v>
                </c:pt>
                <c:pt idx="13">
                  <c:v>7.6418739814658552E-3</c:v>
                </c:pt>
                <c:pt idx="14">
                  <c:v>6.4915886755641918E-3</c:v>
                </c:pt>
                <c:pt idx="15">
                  <c:v>5.4486938825516317E-3</c:v>
                </c:pt>
                <c:pt idx="16">
                  <c:v>4.5256889881654843E-3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5F-4BC7-BF5B-DF7E21F6BE9F}"/>
            </c:ext>
          </c:extLst>
        </c:ser>
        <c:ser>
          <c:idx val="11"/>
          <c:order val="11"/>
          <c:tx>
            <c:strRef>
              <c:f>'q=0.025'!$Q$43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58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'q=0.025'!$Q$44:$Q$60</c:f>
              <c:numCache>
                <c:formatCode>General</c:formatCode>
                <c:ptCount val="17"/>
                <c:pt idx="0">
                  <c:v>6.3933469678089131E-3</c:v>
                </c:pt>
                <c:pt idx="1">
                  <c:v>7.998443326076559E-3</c:v>
                </c:pt>
                <c:pt idx="2">
                  <c:v>9.384217054388716E-3</c:v>
                </c:pt>
                <c:pt idx="3">
                  <c:v>1.0450457573138144E-2</c:v>
                </c:pt>
                <c:pt idx="4">
                  <c:v>1.1149629898511088E-2</c:v>
                </c:pt>
                <c:pt idx="5">
                  <c:v>1.1480190062483351E-2</c:v>
                </c:pt>
                <c:pt idx="6">
                  <c:v>1.147439366909251E-2</c:v>
                </c:pt>
                <c:pt idx="7">
                  <c:v>1.1185108277982381E-2</c:v>
                </c:pt>
                <c:pt idx="8">
                  <c:v>1.0674319690848946E-2</c:v>
                </c:pt>
                <c:pt idx="9">
                  <c:v>1.0004482334660393E-2</c:v>
                </c:pt>
                <c:pt idx="10">
                  <c:v>9.2328405129299823E-3</c:v>
                </c:pt>
                <c:pt idx="11">
                  <c:v>8.4083013501442296E-3</c:v>
                </c:pt>
                <c:pt idx="12">
                  <c:v>7.570236316992841E-3</c:v>
                </c:pt>
                <c:pt idx="13">
                  <c:v>6.7485881088049848E-3</c:v>
                </c:pt>
                <c:pt idx="14">
                  <c:v>5.9647580914895405E-3</c:v>
                </c:pt>
                <c:pt idx="15">
                  <c:v>5.2328791572192014E-3</c:v>
                </c:pt>
                <c:pt idx="16">
                  <c:v>4.5612028423239834E-3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5F-4BC7-BF5B-DF7E21F6BE9F}"/>
            </c:ext>
          </c:extLst>
        </c:ser>
        <c:ser>
          <c:idx val="12"/>
          <c:order val="12"/>
          <c:tx>
            <c:strRef>
              <c:f>'q=0.025'!$R$43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9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'q=0.025'!$R$44:$R$60</c:f>
              <c:numCache>
                <c:formatCode>General</c:formatCode>
                <c:ptCount val="17"/>
                <c:pt idx="0">
                  <c:v>7.0845744829521025E-3</c:v>
                </c:pt>
                <c:pt idx="1">
                  <c:v>8.1939786190292751E-3</c:v>
                </c:pt>
                <c:pt idx="2">
                  <c:v>9.0466401056985002E-3</c:v>
                </c:pt>
                <c:pt idx="3">
                  <c:v>9.6186274414096981E-3</c:v>
                </c:pt>
                <c:pt idx="4">
                  <c:v>9.9157115346477642E-3</c:v>
                </c:pt>
                <c:pt idx="5">
                  <c:v>9.9640371887827744E-3</c:v>
                </c:pt>
                <c:pt idx="6">
                  <c:v>9.801424695646389E-3</c:v>
                </c:pt>
                <c:pt idx="7">
                  <c:v>9.4703926272176192E-3</c:v>
                </c:pt>
                <c:pt idx="8">
                  <c:v>9.013174061541198E-3</c:v>
                </c:pt>
                <c:pt idx="9">
                  <c:v>8.4685504660579579E-3</c:v>
                </c:pt>
                <c:pt idx="10">
                  <c:v>7.8701391588422969E-3</c:v>
                </c:pt>
                <c:pt idx="11">
                  <c:v>7.2457365209712687E-3</c:v>
                </c:pt>
                <c:pt idx="12">
                  <c:v>6.6173629607822653E-3</c:v>
                </c:pt>
                <c:pt idx="13">
                  <c:v>6.0017286279610395E-3</c:v>
                </c:pt>
                <c:pt idx="14">
                  <c:v>5.4109143865345155E-3</c:v>
                </c:pt>
                <c:pt idx="15">
                  <c:v>4.85312816798228E-3</c:v>
                </c:pt>
                <c:pt idx="16">
                  <c:v>4.333448440625538E-3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5F-4BC7-BF5B-DF7E21F6BE9F}"/>
            </c:ext>
          </c:extLst>
        </c:ser>
        <c:ser>
          <c:idx val="13"/>
          <c:order val="13"/>
          <c:tx>
            <c:strRef>
              <c:f>'q=0.025'!$S$43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0000"/>
                  <a:shade val="95000"/>
                </a:schemeClr>
              </a:contourClr>
            </a:sp3d>
          </c:spPr>
          <c:cat>
            <c:numRef>
              <c:f>'q=0.025'!$E$44:$E$60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'q=0.025'!$S$44:$S$60</c:f>
              <c:numCache>
                <c:formatCode>General</c:formatCode>
                <c:ptCount val="17"/>
                <c:pt idx="0">
                  <c:v>7.2726795356320732E-3</c:v>
                </c:pt>
                <c:pt idx="1">
                  <c:v>8.0244970537136015E-3</c:v>
                </c:pt>
                <c:pt idx="2">
                  <c:v>8.5422102761671496E-3</c:v>
                </c:pt>
                <c:pt idx="3">
                  <c:v>8.8334257849433436E-3</c:v>
                </c:pt>
                <c:pt idx="4">
                  <c:v>8.9205437209896217E-3</c:v>
                </c:pt>
                <c:pt idx="5">
                  <c:v>8.8339813815194596E-3</c:v>
                </c:pt>
                <c:pt idx="6">
                  <c:v>8.6070488431846427E-3</c:v>
                </c:pt>
                <c:pt idx="7">
                  <c:v>8.2724479351663337E-3</c:v>
                </c:pt>
                <c:pt idx="8">
                  <c:v>7.8601289802415729E-3</c:v>
                </c:pt>
                <c:pt idx="9">
                  <c:v>7.3961743072228454E-3</c:v>
                </c:pt>
                <c:pt idx="10">
                  <c:v>6.9023986925338884E-3</c:v>
                </c:pt>
                <c:pt idx="11">
                  <c:v>6.3964127761183265E-3</c:v>
                </c:pt>
                <c:pt idx="12">
                  <c:v>5.8919581129393576E-3</c:v>
                </c:pt>
                <c:pt idx="13">
                  <c:v>5.3993787979980164E-3</c:v>
                </c:pt>
                <c:pt idx="14">
                  <c:v>4.9261399033828056E-3</c:v>
                </c:pt>
                <c:pt idx="15">
                  <c:v>4.4773369258046796E-3</c:v>
                </c:pt>
                <c:pt idx="16">
                  <c:v>4.0561645490783046E-3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5F-4BC7-BF5B-DF7E21F6BE9F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20000"/>
                    <a:shade val="95000"/>
                  </a:schemeClr>
                </a:contourClr>
              </a:sp3d>
            </c:spPr>
          </c:bandFmt>
        </c:bandFmts>
        <c:axId val="99043872"/>
        <c:axId val="99041472"/>
        <c:axId val="472579216"/>
      </c:surface3DChart>
      <c:catAx>
        <c:axId val="9904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3444781502451274"/>
              <c:y val="0.8484632773504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  <c:auto val="1"/>
        <c:lblAlgn val="ctr"/>
        <c:lblOffset val="100"/>
        <c:noMultiLvlLbl val="0"/>
      </c:catAx>
      <c:valAx>
        <c:axId val="9904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3872"/>
        <c:crosses val="autoZero"/>
        <c:crossBetween val="midCat"/>
      </c:valAx>
      <c:serAx>
        <c:axId val="47257921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9B6-4A40-BE86-835E996B96F5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9B6-4A40-BE86-835E996B96F5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9B6-4A40-BE86-835E996B96F5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9B6-4A40-BE86-835E996B96F5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F9B6-4A40-BE86-835E996B96F5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F9B6-4A40-BE86-835E996B96F5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F9B6-4A40-BE86-835E996B96F5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F9B6-4A40-BE86-835E996B96F5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F9B6-4A40-BE86-835E996B96F5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F9B6-4A40-BE86-835E996B96F5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F9B6-4A40-BE86-835E996B96F5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F9B6-4A40-BE86-835E996B96F5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F9B6-4A40-BE86-835E996B96F5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F9B6-4A40-BE86-835E996B96F5}"/>
            </c:ext>
          </c:extLst>
        </c:ser>
        <c:bandFmts/>
        <c:axId val="19676128"/>
        <c:axId val="19672768"/>
        <c:axId val="772060080"/>
      </c:surface3DChart>
      <c:catAx>
        <c:axId val="19676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  <c:auto val="1"/>
        <c:lblAlgn val="ctr"/>
        <c:lblOffset val="100"/>
        <c:noMultiLvlLbl val="0"/>
      </c:catAx>
      <c:valAx>
        <c:axId val="19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6128"/>
        <c:crosses val="autoZero"/>
        <c:crossBetween val="midCat"/>
      </c:valAx>
      <c:serAx>
        <c:axId val="7720600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2.5%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'q=0.025'!$F$63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39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'q=0.025'!$F$64:$F$80</c:f>
              <c:numCache>
                <c:formatCode>General</c:formatCode>
                <c:ptCount val="17"/>
                <c:pt idx="0">
                  <c:v>5.4946478508180956E-14</c:v>
                </c:pt>
                <c:pt idx="1">
                  <c:v>7.2760172757931167E-10</c:v>
                </c:pt>
                <c:pt idx="2">
                  <c:v>1.1430508638080113E-6</c:v>
                </c:pt>
                <c:pt idx="3">
                  <c:v>3.1452851809163481E-4</c:v>
                </c:pt>
                <c:pt idx="4">
                  <c:v>2.0507321448827689E-2</c:v>
                </c:pt>
                <c:pt idx="5">
                  <c:v>0.40198258481308463</c:v>
                </c:pt>
                <c:pt idx="6">
                  <c:v>2.8651268434020283</c:v>
                </c:pt>
                <c:pt idx="7">
                  <c:v>8.6594478991435135</c:v>
                </c:pt>
                <c:pt idx="8">
                  <c:v>12.583769595744091</c:v>
                </c:pt>
                <c:pt idx="9">
                  <c:v>9.7526518727295528</c:v>
                </c:pt>
                <c:pt idx="10">
                  <c:v>4.394265813671808</c:v>
                </c:pt>
                <c:pt idx="11">
                  <c:v>1.2374149536860874</c:v>
                </c:pt>
                <c:pt idx="12">
                  <c:v>0.23149325533777915</c:v>
                </c:pt>
                <c:pt idx="13">
                  <c:v>3.0304104973999324E-2</c:v>
                </c:pt>
                <c:pt idx="14">
                  <c:v>2.9018717446482453E-3</c:v>
                </c:pt>
                <c:pt idx="15">
                  <c:v>2.1117013412120936E-4</c:v>
                </c:pt>
                <c:pt idx="16">
                  <c:v>1.2068947953132512E-5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6-44F1-9BA5-ED37C19AEC37}"/>
            </c:ext>
          </c:extLst>
        </c:ser>
        <c:ser>
          <c:idx val="1"/>
          <c:order val="1"/>
          <c:tx>
            <c:strRef>
              <c:f>'q=0.025'!$G$63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8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'q=0.025'!$G$64:$G$80</c:f>
              <c:numCache>
                <c:formatCode>General</c:formatCode>
                <c:ptCount val="17"/>
                <c:pt idx="0">
                  <c:v>9.3806335955307369E-7</c:v>
                </c:pt>
                <c:pt idx="1">
                  <c:v>1.1179374970602983E-4</c:v>
                </c:pt>
                <c:pt idx="2">
                  <c:v>4.5770350637279926E-3</c:v>
                </c:pt>
                <c:pt idx="3">
                  <c:v>7.8251088238021002E-2</c:v>
                </c:pt>
                <c:pt idx="4">
                  <c:v>0.64994619811215748</c:v>
                </c:pt>
                <c:pt idx="5">
                  <c:v>2.9549182350366912</c:v>
                </c:pt>
                <c:pt idx="6">
                  <c:v>8.0886136793923811</c:v>
                </c:pt>
                <c:pt idx="7">
                  <c:v>14.398599370398481</c:v>
                </c:pt>
                <c:pt idx="8">
                  <c:v>17.751148118577877</c:v>
                </c:pt>
                <c:pt idx="9">
                  <c:v>15.964405419678188</c:v>
                </c:pt>
                <c:pt idx="10">
                  <c:v>10.936378458614254</c:v>
                </c:pt>
                <c:pt idx="11">
                  <c:v>5.9174426017639972</c:v>
                </c:pt>
                <c:pt idx="12">
                  <c:v>2.6075463392918548</c:v>
                </c:pt>
                <c:pt idx="13">
                  <c:v>0.96043931745013744</c:v>
                </c:pt>
                <c:pt idx="14">
                  <c:v>0.30235029203709285</c:v>
                </c:pt>
                <c:pt idx="15">
                  <c:v>8.2919818054108987E-2</c:v>
                </c:pt>
                <c:pt idx="16">
                  <c:v>2.0141267233491956E-2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6-44F1-9BA5-ED37C19AEC37}"/>
            </c:ext>
          </c:extLst>
        </c:ser>
        <c:ser>
          <c:idx val="2"/>
          <c:order val="2"/>
          <c:tx>
            <c:strRef>
              <c:f>'q=0.025'!$H$63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58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'q=0.025'!$H$64:$H$80</c:f>
              <c:numCache>
                <c:formatCode>General</c:formatCode>
                <c:ptCount val="17"/>
                <c:pt idx="0">
                  <c:v>2.6311000783382771E-4</c:v>
                </c:pt>
                <c:pt idx="1">
                  <c:v>6.5222866532513874E-3</c:v>
                </c:pt>
                <c:pt idx="2">
                  <c:v>7.9170774265440974E-2</c:v>
                </c:pt>
                <c:pt idx="3">
                  <c:v>0.53609480250931896</c:v>
                </c:pt>
                <c:pt idx="4">
                  <c:v>2.2404812936131182</c:v>
                </c:pt>
                <c:pt idx="5">
                  <c:v>6.2584382225137727</c:v>
                </c:pt>
                <c:pt idx="6">
                  <c:v>12.452558725726972</c:v>
                </c:pt>
                <c:pt idx="7">
                  <c:v>18.581097167742822</c:v>
                </c:pt>
                <c:pt idx="8">
                  <c:v>21.685666245713325</c:v>
                </c:pt>
                <c:pt idx="9">
                  <c:v>20.494493137435239</c:v>
                </c:pt>
                <c:pt idx="10">
                  <c:v>16.143970597617987</c:v>
                </c:pt>
                <c:pt idx="11">
                  <c:v>10.859622042446379</c:v>
                </c:pt>
                <c:pt idx="12">
                  <c:v>6.3670416538342778</c:v>
                </c:pt>
                <c:pt idx="13">
                  <c:v>3.3108068493174776</c:v>
                </c:pt>
                <c:pt idx="14">
                  <c:v>1.5497520170489247</c:v>
                </c:pt>
                <c:pt idx="15">
                  <c:v>0.66141602616393724</c:v>
                </c:pt>
                <c:pt idx="16">
                  <c:v>0.26023578079196741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6-44F1-9BA5-ED37C19AEC37}"/>
            </c:ext>
          </c:extLst>
        </c:ser>
        <c:ser>
          <c:idx val="3"/>
          <c:order val="3"/>
          <c:tx>
            <c:strRef>
              <c:f>'q=0.025'!$I$63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7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'q=0.025'!$I$64:$I$80</c:f>
              <c:numCache>
                <c:formatCode>General</c:formatCode>
                <c:ptCount val="17"/>
                <c:pt idx="0">
                  <c:v>4.5918412424661506E-3</c:v>
                </c:pt>
                <c:pt idx="1">
                  <c:v>5.1914414588071313E-2</c:v>
                </c:pt>
                <c:pt idx="2">
                  <c:v>0.34312480752931218</c:v>
                </c:pt>
                <c:pt idx="3">
                  <c:v>1.4622246525440856</c:v>
                </c:pt>
                <c:pt idx="4">
                  <c:v>4.334811122980109</c:v>
                </c:pt>
                <c:pt idx="5">
                  <c:v>9.4912435989230293</c:v>
                </c:pt>
                <c:pt idx="6">
                  <c:v>16.100810945870418</c:v>
                </c:pt>
                <c:pt idx="7">
                  <c:v>21.996004873795449</c:v>
                </c:pt>
                <c:pt idx="8">
                  <c:v>24.977147001014572</c:v>
                </c:pt>
                <c:pt idx="9">
                  <c:v>24.197823152837319</c:v>
                </c:pt>
                <c:pt idx="10">
                  <c:v>20.4397543053535</c:v>
                </c:pt>
                <c:pt idx="11">
                  <c:v>15.330345339365318</c:v>
                </c:pt>
                <c:pt idx="12">
                  <c:v>10.367819284103087</c:v>
                </c:pt>
                <c:pt idx="13">
                  <c:v>6.405642572143857</c:v>
                </c:pt>
                <c:pt idx="14">
                  <c:v>3.6562427207183528</c:v>
                </c:pt>
                <c:pt idx="15">
                  <c:v>1.9466138090822089</c:v>
                </c:pt>
                <c:pt idx="16">
                  <c:v>0.97477418090542434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6-44F1-9BA5-ED37C19AEC37}"/>
            </c:ext>
          </c:extLst>
        </c:ser>
        <c:ser>
          <c:idx val="4"/>
          <c:order val="4"/>
          <c:tx>
            <c:strRef>
              <c:f>'q=0.025'!$J$63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'q=0.025'!$J$64:$J$80</c:f>
              <c:numCache>
                <c:formatCode>General</c:formatCode>
                <c:ptCount val="17"/>
                <c:pt idx="0">
                  <c:v>2.6159547349679926E-2</c:v>
                </c:pt>
                <c:pt idx="1">
                  <c:v>0.18465219341094871</c:v>
                </c:pt>
                <c:pt idx="2">
                  <c:v>0.84745786795951006</c:v>
                </c:pt>
                <c:pt idx="3">
                  <c:v>2.7353396888944497</c:v>
                </c:pt>
                <c:pt idx="4">
                  <c:v>6.5990459976602827</c:v>
                </c:pt>
                <c:pt idx="5">
                  <c:v>12.48449766781075</c:v>
                </c:pt>
                <c:pt idx="6">
                  <c:v>19.245752842079344</c:v>
                </c:pt>
                <c:pt idx="7">
                  <c:v>24.936812583248919</c:v>
                </c:pt>
                <c:pt idx="8">
                  <c:v>27.854702761735151</c:v>
                </c:pt>
                <c:pt idx="9">
                  <c:v>27.39008819278417</c:v>
                </c:pt>
                <c:pt idx="10">
                  <c:v>24.126177648370987</c:v>
                </c:pt>
                <c:pt idx="11">
                  <c:v>19.316477703306241</c:v>
                </c:pt>
                <c:pt idx="12">
                  <c:v>14.232163278130757</c:v>
                </c:pt>
                <c:pt idx="13">
                  <c:v>9.7515505933018769</c:v>
                </c:pt>
                <c:pt idx="14">
                  <c:v>6.2694921977679403</c:v>
                </c:pt>
                <c:pt idx="15">
                  <c:v>3.8115051768084003</c:v>
                </c:pt>
                <c:pt idx="16">
                  <c:v>2.2057682681079438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A6-44F1-9BA5-ED37C19AEC37}"/>
            </c:ext>
          </c:extLst>
        </c:ser>
        <c:ser>
          <c:idx val="5"/>
          <c:order val="5"/>
          <c:tx>
            <c:strRef>
              <c:f>'q=0.025'!$K$63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86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'q=0.025'!$K$64:$K$80</c:f>
              <c:numCache>
                <c:formatCode>General</c:formatCode>
                <c:ptCount val="17"/>
                <c:pt idx="0">
                  <c:v>8.4783885301912595E-2</c:v>
                </c:pt>
                <c:pt idx="1">
                  <c:v>0.43717265926725718</c:v>
                </c:pt>
                <c:pt idx="2">
                  <c:v>1.5733172250878573</c:v>
                </c:pt>
                <c:pt idx="3">
                  <c:v>4.2195249570565192</c:v>
                </c:pt>
                <c:pt idx="4">
                  <c:v>8.8731125284604797</c:v>
                </c:pt>
                <c:pt idx="5">
                  <c:v>15.228503366762622</c:v>
                </c:pt>
                <c:pt idx="6">
                  <c:v>22.024895472553464</c:v>
                </c:pt>
                <c:pt idx="7">
                  <c:v>27.548199115974899</c:v>
                </c:pt>
                <c:pt idx="8">
                  <c:v>30.436158955047052</c:v>
                </c:pt>
                <c:pt idx="9">
                  <c:v>30.226813621544398</c:v>
                </c:pt>
                <c:pt idx="10">
                  <c:v>27.379022430166874</c:v>
                </c:pt>
                <c:pt idx="11">
                  <c:v>22.8963428279155</c:v>
                </c:pt>
                <c:pt idx="12">
                  <c:v>17.861342547690864</c:v>
                </c:pt>
                <c:pt idx="13">
                  <c:v>13.111987061769451</c:v>
                </c:pt>
                <c:pt idx="14">
                  <c:v>9.1260906978779008</c:v>
                </c:pt>
                <c:pt idx="15">
                  <c:v>6.0612450074709736</c:v>
                </c:pt>
                <c:pt idx="16">
                  <c:v>3.8629401454991985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A6-44F1-9BA5-ED37C19AEC37}"/>
            </c:ext>
          </c:extLst>
        </c:ser>
        <c:ser>
          <c:idx val="6"/>
          <c:order val="6"/>
          <c:tx>
            <c:strRef>
              <c:f>'q=0.025'!$L$63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'q=0.025'!$L$64:$L$80</c:f>
              <c:numCache>
                <c:formatCode>General</c:formatCode>
                <c:ptCount val="17"/>
                <c:pt idx="0">
                  <c:v>0.19859451090633676</c:v>
                </c:pt>
                <c:pt idx="1">
                  <c:v>0.81825632558769124</c:v>
                </c:pt>
                <c:pt idx="2">
                  <c:v>2.4752773066552924</c:v>
                </c:pt>
                <c:pt idx="3">
                  <c:v>5.8158041611655849</c:v>
                </c:pt>
                <c:pt idx="4">
                  <c:v>11.086889838100099</c:v>
                </c:pt>
                <c:pt idx="5">
                  <c:v>17.74886062714133</c:v>
                </c:pt>
                <c:pt idx="6">
                  <c:v>24.526538244584948</c:v>
                </c:pt>
                <c:pt idx="7">
                  <c:v>29.913551907762681</c:v>
                </c:pt>
                <c:pt idx="8">
                  <c:v>32.791699876266655</c:v>
                </c:pt>
                <c:pt idx="9">
                  <c:v>32.797695405579432</c:v>
                </c:pt>
                <c:pt idx="10">
                  <c:v>30.306342378386052</c:v>
                </c:pt>
                <c:pt idx="11">
                  <c:v>26.144959184720943</c:v>
                </c:pt>
                <c:pt idx="12">
                  <c:v>21.244856679050269</c:v>
                </c:pt>
                <c:pt idx="13">
                  <c:v>16.383332866133973</c:v>
                </c:pt>
                <c:pt idx="14">
                  <c:v>12.067882730276471</c:v>
                </c:pt>
                <c:pt idx="15">
                  <c:v>8.5377991457702844</c:v>
                </c:pt>
                <c:pt idx="16">
                  <c:v>5.8294217845864411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A6-44F1-9BA5-ED37C19AEC37}"/>
            </c:ext>
          </c:extLst>
        </c:ser>
        <c:ser>
          <c:idx val="7"/>
          <c:order val="7"/>
          <c:tx>
            <c:strRef>
              <c:f>'q=0.025'!$M$63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6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'q=0.025'!$M$64:$M$80</c:f>
              <c:numCache>
                <c:formatCode>General</c:formatCode>
                <c:ptCount val="17"/>
                <c:pt idx="0">
                  <c:v>0.37916110946348858</c:v>
                </c:pt>
                <c:pt idx="1">
                  <c:v>1.3203308024135754</c:v>
                </c:pt>
                <c:pt idx="2">
                  <c:v>3.5062722353564273</c:v>
                </c:pt>
                <c:pt idx="3">
                  <c:v>7.4599434392905177</c:v>
                </c:pt>
                <c:pt idx="4">
                  <c:v>13.212230445619623</c:v>
                </c:pt>
                <c:pt idx="5">
                  <c:v>20.075738086565547</c:v>
                </c:pt>
                <c:pt idx="6">
                  <c:v>26.809835812585497</c:v>
                </c:pt>
                <c:pt idx="7">
                  <c:v>32.085969184321975</c:v>
                </c:pt>
                <c:pt idx="8">
                  <c:v>34.967178945798814</c:v>
                </c:pt>
                <c:pt idx="9">
                  <c:v>35.159901414577824</c:v>
                </c:pt>
                <c:pt idx="10">
                  <c:v>32.978911438025804</c:v>
                </c:pt>
                <c:pt idx="11">
                  <c:v>29.12195023151747</c:v>
                </c:pt>
                <c:pt idx="12">
                  <c:v>24.399149361298733</c:v>
                </c:pt>
                <c:pt idx="13">
                  <c:v>19.52399387525163</c:v>
                </c:pt>
                <c:pt idx="14">
                  <c:v>15.005722373933729</c:v>
                </c:pt>
                <c:pt idx="15">
                  <c:v>11.131408090604252</c:v>
                </c:pt>
                <c:pt idx="16">
                  <c:v>8.0033572920762293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A6-44F1-9BA5-ED37C19AEC37}"/>
            </c:ext>
          </c:extLst>
        </c:ser>
        <c:ser>
          <c:idx val="8"/>
          <c:order val="8"/>
          <c:tx>
            <c:strRef>
              <c:f>'q=0.025'!$N$63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86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'q=0.025'!$N$64:$N$80</c:f>
              <c:numCache>
                <c:formatCode>General</c:formatCode>
                <c:ptCount val="17"/>
                <c:pt idx="0">
                  <c:v>0.6310260838644689</c:v>
                </c:pt>
                <c:pt idx="1">
                  <c:v>1.9278772492247775</c:v>
                </c:pt>
                <c:pt idx="2">
                  <c:v>4.6263886479098515</c:v>
                </c:pt>
                <c:pt idx="3">
                  <c:v>9.1119828871332285</c:v>
                </c:pt>
                <c:pt idx="4">
                  <c:v>15.240395100470414</c:v>
                </c:pt>
                <c:pt idx="5">
                  <c:v>22.23632379640944</c:v>
                </c:pt>
                <c:pt idx="6">
                  <c:v>28.916182444735632</c:v>
                </c:pt>
                <c:pt idx="7">
                  <c:v>34.101685705230395</c:v>
                </c:pt>
                <c:pt idx="8">
                  <c:v>36.994532999413373</c:v>
                </c:pt>
                <c:pt idx="9">
                  <c:v>37.352480239606734</c:v>
                </c:pt>
                <c:pt idx="10">
                  <c:v>35.4456119434968</c:v>
                </c:pt>
                <c:pt idx="11">
                  <c:v>31.873170790254132</c:v>
                </c:pt>
                <c:pt idx="12">
                  <c:v>27.347329085542338</c:v>
                </c:pt>
                <c:pt idx="13">
                  <c:v>22.521055912754687</c:v>
                </c:pt>
                <c:pt idx="14">
                  <c:v>17.890987755815129</c:v>
                </c:pt>
                <c:pt idx="15">
                  <c:v>13.769966882040713</c:v>
                </c:pt>
                <c:pt idx="16">
                  <c:v>10.306478858479727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A6-44F1-9BA5-ED37C19AEC37}"/>
            </c:ext>
          </c:extLst>
        </c:ser>
        <c:ser>
          <c:idx val="9"/>
          <c:order val="9"/>
          <c:tx>
            <c:strRef>
              <c:f>'q=0.025'!$O$63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'q=0.025'!$O$64:$O$80</c:f>
              <c:numCache>
                <c:formatCode>General</c:formatCode>
                <c:ptCount val="17"/>
                <c:pt idx="0">
                  <c:v>0.95328773851677195</c:v>
                </c:pt>
                <c:pt idx="1">
                  <c:v>2.6229774169952438</c:v>
                </c:pt>
                <c:pt idx="2">
                  <c:v>5.8043978569056494</c:v>
                </c:pt>
                <c:pt idx="3">
                  <c:v>10.747628808193522</c:v>
                </c:pt>
                <c:pt idx="4">
                  <c:v>17.171576524077636</c:v>
                </c:pt>
                <c:pt idx="5">
                  <c:v>24.253478706485058</c:v>
                </c:pt>
                <c:pt idx="6">
                  <c:v>30.875661608587876</c:v>
                </c:pt>
                <c:pt idx="7">
                  <c:v>35.986720470318907</c:v>
                </c:pt>
                <c:pt idx="8">
                  <c:v>38.897078803674944</c:v>
                </c:pt>
                <c:pt idx="9">
                  <c:v>39.40349606319036</c:v>
                </c:pt>
                <c:pt idx="10">
                  <c:v>37.741684769796407</c:v>
                </c:pt>
                <c:pt idx="11">
                  <c:v>34.433962029698641</c:v>
                </c:pt>
                <c:pt idx="12">
                  <c:v>30.112372658722471</c:v>
                </c:pt>
                <c:pt idx="13">
                  <c:v>25.37480376719115</c:v>
                </c:pt>
                <c:pt idx="14">
                  <c:v>20.698273548167233</c:v>
                </c:pt>
                <c:pt idx="15">
                  <c:v>16.407295624357197</c:v>
                </c:pt>
                <c:pt idx="16">
                  <c:v>12.681735194210727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A6-44F1-9BA5-ED37C19AEC37}"/>
            </c:ext>
          </c:extLst>
        </c:ser>
        <c:ser>
          <c:idx val="10"/>
          <c:order val="10"/>
          <c:tx>
            <c:strRef>
              <c:f>'q=0.025'!$P$63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8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'q=0.025'!$P$64:$P$80</c:f>
              <c:numCache>
                <c:formatCode>General</c:formatCode>
                <c:ptCount val="17"/>
                <c:pt idx="0">
                  <c:v>6.7148078224280647</c:v>
                </c:pt>
                <c:pt idx="1">
                  <c:v>11.535257174247494</c:v>
                </c:pt>
                <c:pt idx="2">
                  <c:v>17.725128453331255</c:v>
                </c:pt>
                <c:pt idx="3">
                  <c:v>24.858564401861223</c:v>
                </c:pt>
                <c:pt idx="4">
                  <c:v>32.321191787344517</c:v>
                </c:pt>
                <c:pt idx="5">
                  <c:v>39.444659509227542</c:v>
                </c:pt>
                <c:pt idx="6">
                  <c:v>45.632014964923023</c:v>
                </c:pt>
                <c:pt idx="7">
                  <c:v>50.443547901388989</c:v>
                </c:pt>
                <c:pt idx="8">
                  <c:v>53.633841658164222</c:v>
                </c:pt>
                <c:pt idx="9">
                  <c:v>55.146519607891356</c:v>
                </c:pt>
                <c:pt idx="10">
                  <c:v>55.080814457024729</c:v>
                </c:pt>
                <c:pt idx="11">
                  <c:v>53.644995772772212</c:v>
                </c:pt>
                <c:pt idx="12">
                  <c:v>51.108683654846374</c:v>
                </c:pt>
                <c:pt idx="13">
                  <c:v>47.761712384161598</c:v>
                </c:pt>
                <c:pt idx="14">
                  <c:v>43.883139446813942</c:v>
                </c:pt>
                <c:pt idx="15">
                  <c:v>39.720978403801404</c:v>
                </c:pt>
                <c:pt idx="16">
                  <c:v>35.481401667217405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A6-44F1-9BA5-ED37C19AEC37}"/>
            </c:ext>
          </c:extLst>
        </c:ser>
        <c:ser>
          <c:idx val="11"/>
          <c:order val="11"/>
          <c:tx>
            <c:strRef>
              <c:f>'q=0.025'!$Q$63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58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'q=0.025'!$Q$64:$Q$80</c:f>
              <c:numCache>
                <c:formatCode>General</c:formatCode>
                <c:ptCount val="17"/>
                <c:pt idx="0">
                  <c:v>13.809629450467256</c:v>
                </c:pt>
                <c:pt idx="1">
                  <c:v>20.276053831604074</c:v>
                </c:pt>
                <c:pt idx="2">
                  <c:v>27.589598139902826</c:v>
                </c:pt>
                <c:pt idx="3">
                  <c:v>35.270294309341232</c:v>
                </c:pt>
                <c:pt idx="4">
                  <c:v>42.814578810282562</c:v>
                </c:pt>
                <c:pt idx="5">
                  <c:v>49.766623920865328</c:v>
                </c:pt>
                <c:pt idx="6">
                  <c:v>55.765553231789582</c:v>
                </c:pt>
                <c:pt idx="7">
                  <c:v>60.567361325274589</c:v>
                </c:pt>
                <c:pt idx="8">
                  <c:v>64.045918145093665</c:v>
                </c:pt>
                <c:pt idx="9">
                  <c:v>66.179650643778501</c:v>
                </c:pt>
                <c:pt idx="10">
                  <c:v>67.030422123871674</c:v>
                </c:pt>
                <c:pt idx="11">
                  <c:v>66.719871213394441</c:v>
                </c:pt>
                <c:pt idx="12">
                  <c:v>65.406841778818148</c:v>
                </c:pt>
                <c:pt idx="13">
                  <c:v>63.268013520046722</c:v>
                </c:pt>
                <c:pt idx="14">
                  <c:v>60.482647047703935</c:v>
                </c:pt>
                <c:pt idx="15">
                  <c:v>57.221533584191967</c:v>
                </c:pt>
                <c:pt idx="16">
                  <c:v>53.639745425730048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A6-44F1-9BA5-ED37C19AEC37}"/>
            </c:ext>
          </c:extLst>
        </c:ser>
        <c:ser>
          <c:idx val="12"/>
          <c:order val="12"/>
          <c:tx>
            <c:strRef>
              <c:f>'q=0.025'!$R$63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9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'q=0.025'!$R$64:$R$80</c:f>
              <c:numCache>
                <c:formatCode>General</c:formatCode>
                <c:ptCount val="17"/>
                <c:pt idx="0">
                  <c:v>20.403574510902054</c:v>
                </c:pt>
                <c:pt idx="1">
                  <c:v>27.69564773231895</c:v>
                </c:pt>
                <c:pt idx="2">
                  <c:v>35.462829214338115</c:v>
                </c:pt>
                <c:pt idx="3">
                  <c:v>43.283823486343643</c:v>
                </c:pt>
                <c:pt idx="4">
                  <c:v>50.768443057396553</c:v>
                </c:pt>
                <c:pt idx="5">
                  <c:v>57.592134951164439</c:v>
                </c:pt>
                <c:pt idx="6">
                  <c:v>63.513232027788604</c:v>
                </c:pt>
                <c:pt idx="7">
                  <c:v>68.37623476851121</c:v>
                </c:pt>
                <c:pt idx="8">
                  <c:v>72.105392492329585</c:v>
                </c:pt>
                <c:pt idx="9">
                  <c:v>74.692615110631195</c:v>
                </c:pt>
                <c:pt idx="10">
                  <c:v>76.182947057593438</c:v>
                </c:pt>
                <c:pt idx="11">
                  <c:v>76.659892391876028</c:v>
                </c:pt>
                <c:pt idx="12">
                  <c:v>76.232021308211685</c:v>
                </c:pt>
                <c:pt idx="13">
                  <c:v>75.021607849512989</c:v>
                </c:pt>
                <c:pt idx="14">
                  <c:v>73.155562505946648</c:v>
                </c:pt>
                <c:pt idx="15">
                  <c:v>70.758608689181642</c:v>
                </c:pt>
                <c:pt idx="16">
                  <c:v>67.948471549008431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5A6-44F1-9BA5-ED37C19AEC37}"/>
            </c:ext>
          </c:extLst>
        </c:ser>
        <c:ser>
          <c:idx val="13"/>
          <c:order val="13"/>
          <c:tx>
            <c:strRef>
              <c:f>'q=0.025'!$S$63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0000"/>
                  <a:shade val="95000"/>
                </a:schemeClr>
              </a:contourClr>
            </a:sp3d>
          </c:spPr>
          <c:cat>
            <c:numRef>
              <c:f>'q=0.025'!$E$64:$E$80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'q=0.025'!$S$64:$S$80</c:f>
              <c:numCache>
                <c:formatCode>General</c:formatCode>
                <c:ptCount val="17"/>
                <c:pt idx="0">
                  <c:v>26.181646328275466</c:v>
                </c:pt>
                <c:pt idx="1">
                  <c:v>33.903500051939965</c:v>
                </c:pt>
                <c:pt idx="2">
                  <c:v>41.856830353219046</c:v>
                </c:pt>
                <c:pt idx="3">
                  <c:v>49.68802004030632</c:v>
                </c:pt>
                <c:pt idx="4">
                  <c:v>57.091479814333582</c:v>
                </c:pt>
                <c:pt idx="5">
                  <c:v>63.825515481478099</c:v>
                </c:pt>
                <c:pt idx="6">
                  <c:v>69.717095629795622</c:v>
                </c:pt>
                <c:pt idx="7">
                  <c:v>74.658842614876164</c:v>
                </c:pt>
                <c:pt idx="8">
                  <c:v>78.601289802415749</c:v>
                </c:pt>
                <c:pt idx="9">
                  <c:v>81.542821737131888</c:v>
                </c:pt>
                <c:pt idx="10">
                  <c:v>83.51902417966005</c:v>
                </c:pt>
                <c:pt idx="11">
                  <c:v>84.59255896416488</c:v>
                </c:pt>
                <c:pt idx="12">
                  <c:v>84.844196826326751</c:v>
                </c:pt>
                <c:pt idx="13">
                  <c:v>84.365293718719016</c:v>
                </c:pt>
                <c:pt idx="14">
                  <c:v>83.251764367169415</c:v>
                </c:pt>
                <c:pt idx="15">
                  <c:v>81.599465472790314</c:v>
                </c:pt>
                <c:pt idx="16">
                  <c:v>79.500825161934785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5A6-44F1-9BA5-ED37C19AEC37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</c:bandFmts>
        <c:axId val="2049537328"/>
        <c:axId val="2049534928"/>
        <c:axId val="472652656"/>
      </c:surface3DChart>
      <c:catAx>
        <c:axId val="20495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  <c:auto val="1"/>
        <c:lblAlgn val="ctr"/>
        <c:lblOffset val="100"/>
        <c:noMultiLvlLbl val="0"/>
      </c:catAx>
      <c:valAx>
        <c:axId val="204953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7328"/>
        <c:crosses val="autoZero"/>
        <c:crossBetween val="midCat"/>
      </c:valAx>
      <c:serAx>
        <c:axId val="4726526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70%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9B0-43F1-8BFC-785536B99C5D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9B0-43F1-8BFC-785536B99C5D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9B0-43F1-8BFC-785536B99C5D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9B0-43F1-8BFC-785536B99C5D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19B0-43F1-8BFC-785536B99C5D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19B0-43F1-8BFC-785536B99C5D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19B0-43F1-8BFC-785536B99C5D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19B0-43F1-8BFC-785536B99C5D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19B0-43F1-8BFC-785536B99C5D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19B0-43F1-8BFC-785536B99C5D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19B0-43F1-8BFC-785536B99C5D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19B0-43F1-8BFC-785536B99C5D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19B0-43F1-8BFC-785536B99C5D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19B0-43F1-8BFC-785536B99C5D}"/>
            </c:ext>
          </c:extLst>
        </c:ser>
        <c:bandFmts/>
        <c:axId val="2041188256"/>
        <c:axId val="104014048"/>
        <c:axId val="264750352"/>
      </c:surface3DChart>
      <c:catAx>
        <c:axId val="204118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  <c:auto val="1"/>
        <c:lblAlgn val="ctr"/>
        <c:lblOffset val="100"/>
        <c:noMultiLvlLbl val="0"/>
      </c:catAx>
      <c:valAx>
        <c:axId val="10401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88256"/>
        <c:crosses val="autoZero"/>
        <c:crossBetween val="midCat"/>
      </c:valAx>
      <c:serAx>
        <c:axId val="26475035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2.5%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'q=0.025'!$F$83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39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'q=0.025'!$F$84:$F$100</c:f>
              <c:numCache>
                <c:formatCode>General</c:formatCode>
                <c:ptCount val="17"/>
                <c:pt idx="0">
                  <c:v>2.105698459689852E-15</c:v>
                </c:pt>
                <c:pt idx="1">
                  <c:v>3.2838547288223906E-11</c:v>
                </c:pt>
                <c:pt idx="2">
                  <c:v>6.1672761171565206E-8</c:v>
                </c:pt>
                <c:pt idx="3">
                  <c:v>2.0702625542727056E-5</c:v>
                </c:pt>
                <c:pt idx="4">
                  <c:v>1.6930905023458892E-3</c:v>
                </c:pt>
                <c:pt idx="5">
                  <c:v>4.3282482526367273E-2</c:v>
                </c:pt>
                <c:pt idx="6">
                  <c:v>0.42561431666855515</c:v>
                </c:pt>
                <c:pt idx="7">
                  <c:v>1.9295386924086397</c:v>
                </c:pt>
                <c:pt idx="8">
                  <c:v>4.7745615896881741</c:v>
                </c:pt>
                <c:pt idx="9">
                  <c:v>7.6227265899163505</c:v>
                </c:pt>
                <c:pt idx="10">
                  <c:v>9.2577378854668098</c:v>
                </c:pt>
                <c:pt idx="11">
                  <c:v>9.8341522908235426</c:v>
                </c:pt>
                <c:pt idx="12">
                  <c:v>9.9665658653332425</c:v>
                </c:pt>
                <c:pt idx="13">
                  <c:v>9.9874329431352589</c:v>
                </c:pt>
                <c:pt idx="14">
                  <c:v>9.9897923004034208</c:v>
                </c:pt>
                <c:pt idx="15">
                  <c:v>9.9899913337416653</c:v>
                </c:pt>
                <c:pt idx="16">
                  <c:v>9.9900042971467329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04-4F2D-BCD5-006EEDD475F1}"/>
            </c:ext>
          </c:extLst>
        </c:ser>
        <c:ser>
          <c:idx val="1"/>
          <c:order val="1"/>
          <c:tx>
            <c:strRef>
              <c:f>'q=0.025'!$G$83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8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'q=0.025'!$G$84:$G$100</c:f>
              <c:numCache>
                <c:formatCode>General</c:formatCode>
                <c:ptCount val="17"/>
                <c:pt idx="0">
                  <c:v>7.0469267894842726E-8</c:v>
                </c:pt>
                <c:pt idx="1">
                  <c:v>9.8328160386197444E-6</c:v>
                </c:pt>
                <c:pt idx="2">
                  <c:v>4.7729436377053319E-4</c:v>
                </c:pt>
                <c:pt idx="3">
                  <c:v>9.8348937896981063E-3</c:v>
                </c:pt>
                <c:pt idx="4">
                  <c:v>0.1005956022482493</c:v>
                </c:pt>
                <c:pt idx="5">
                  <c:v>0.57939421002325475</c:v>
                </c:pt>
                <c:pt idx="6">
                  <c:v>2.0861539579663408</c:v>
                </c:pt>
                <c:pt idx="7">
                  <c:v>5.135415484518826</c:v>
                </c:pt>
                <c:pt idx="8">
                  <c:v>9.3574597798305952</c:v>
                </c:pt>
                <c:pt idx="9">
                  <c:v>13.569467990382485</c:v>
                </c:pt>
                <c:pt idx="10">
                  <c:v>16.731732518089093</c:v>
                </c:pt>
                <c:pt idx="11">
                  <c:v>18.58556086512478</c:v>
                </c:pt>
                <c:pt idx="12">
                  <c:v>19.46126129163865</c:v>
                </c:pt>
                <c:pt idx="13">
                  <c:v>19.803672880489721</c:v>
                </c:pt>
                <c:pt idx="14">
                  <c:v>19.917097147190233</c:v>
                </c:pt>
                <c:pt idx="15">
                  <c:v>19.94956963120681</c:v>
                </c:pt>
                <c:pt idx="16">
                  <c:v>19.957745042313086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04-4F2D-BCD5-006EEDD475F1}"/>
            </c:ext>
          </c:extLst>
        </c:ser>
        <c:ser>
          <c:idx val="2"/>
          <c:order val="2"/>
          <c:tx>
            <c:strRef>
              <c:f>'q=0.025'!$H$83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58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'q=0.025'!$H$84:$H$100</c:f>
              <c:numCache>
                <c:formatCode>General</c:formatCode>
                <c:ptCount val="17"/>
                <c:pt idx="0">
                  <c:v>2.9091413942470592E-5</c:v>
                </c:pt>
                <c:pt idx="1">
                  <c:v>8.4004473402227056E-4</c:v>
                </c:pt>
                <c:pt idx="2">
                  <c:v>1.2005679133453699E-2</c:v>
                </c:pt>
                <c:pt idx="3">
                  <c:v>9.7035529034190091E-2</c:v>
                </c:pt>
                <c:pt idx="4">
                  <c:v>0.49255829941083973</c:v>
                </c:pt>
                <c:pt idx="5">
                  <c:v>1.7083963314194306</c:v>
                </c:pt>
                <c:pt idx="6">
                  <c:v>4.3401379566586495</c:v>
                </c:pt>
                <c:pt idx="7">
                  <c:v>8.5646299459236523</c:v>
                </c:pt>
                <c:pt idx="8">
                  <c:v>13.813076890990503</c:v>
                </c:pt>
                <c:pt idx="9">
                  <c:v>19.042524943986621</c:v>
                </c:pt>
                <c:pt idx="10">
                  <c:v>23.347730023922345</c:v>
                </c:pt>
                <c:pt idx="11">
                  <c:v>26.350794044405639</c:v>
                </c:pt>
                <c:pt idx="12">
                  <c:v>28.163945577138815</c:v>
                </c:pt>
                <c:pt idx="13">
                  <c:v>29.12890110186401</c:v>
                </c:pt>
                <c:pt idx="14">
                  <c:v>29.588693160429241</c:v>
                </c:pt>
                <c:pt idx="15">
                  <c:v>29.787501227074735</c:v>
                </c:pt>
                <c:pt idx="16">
                  <c:v>29.866418936432076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04-4F2D-BCD5-006EEDD475F1}"/>
            </c:ext>
          </c:extLst>
        </c:ser>
        <c:ser>
          <c:idx val="3"/>
          <c:order val="3"/>
          <c:tx>
            <c:strRef>
              <c:f>'q=0.025'!$I$83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7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'q=0.025'!$I$84:$I$100</c:f>
              <c:numCache>
                <c:formatCode>General</c:formatCode>
                <c:ptCount val="17"/>
                <c:pt idx="0">
                  <c:v>6.6487347395997344E-4</c:v>
                </c:pt>
                <c:pt idx="1">
                  <c:v>8.7166046252088458E-3</c:v>
                </c:pt>
                <c:pt idx="2">
                  <c:v>6.7425631770301808E-2</c:v>
                </c:pt>
                <c:pt idx="3">
                  <c:v>0.34021309681566797</c:v>
                </c:pt>
                <c:pt idx="4">
                  <c:v>1.2115917679643928</c:v>
                </c:pt>
                <c:pt idx="5">
                  <c:v>3.2442710870066378</c:v>
                </c:pt>
                <c:pt idx="6">
                  <c:v>6.879624719939164</c:v>
                </c:pt>
                <c:pt idx="7">
                  <c:v>12.066089805336738</c:v>
                </c:pt>
                <c:pt idx="8">
                  <c:v>18.164602673684985</c:v>
                </c:pt>
                <c:pt idx="9">
                  <c:v>24.237153189656581</c:v>
                </c:pt>
                <c:pt idx="10">
                  <c:v>29.474960467675167</c:v>
                </c:pt>
                <c:pt idx="11">
                  <c:v>33.463712042172574</c:v>
                </c:pt>
                <c:pt idx="12">
                  <c:v>36.18919022875118</c:v>
                </c:pt>
                <c:pt idx="13">
                  <c:v>37.883275258475507</c:v>
                </c:pt>
                <c:pt idx="14">
                  <c:v>38.852497908128228</c:v>
                </c:pt>
                <c:pt idx="15">
                  <c:v>39.368085522469144</c:v>
                </c:pt>
                <c:pt idx="16">
                  <c:v>39.625343789972035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04-4F2D-BCD5-006EEDD475F1}"/>
            </c:ext>
          </c:extLst>
        </c:ser>
        <c:ser>
          <c:idx val="4"/>
          <c:order val="4"/>
          <c:tx>
            <c:strRef>
              <c:f>'q=0.025'!$J$83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'q=0.025'!$J$84:$J$100</c:f>
              <c:numCache>
                <c:formatCode>General</c:formatCode>
                <c:ptCount val="17"/>
                <c:pt idx="0">
                  <c:v>4.6541654403394134E-3</c:v>
                </c:pt>
                <c:pt idx="1">
                  <c:v>3.7940690760638433E-2</c:v>
                </c:pt>
                <c:pt idx="2">
                  <c:v>0.2027189526123723</c:v>
                </c:pt>
                <c:pt idx="3">
                  <c:v>0.76941077652567125</c:v>
                </c:pt>
                <c:pt idx="4">
                  <c:v>2.209651297903342</c:v>
                </c:pt>
                <c:pt idx="5">
                  <c:v>5.0507898494997212</c:v>
                </c:pt>
                <c:pt idx="6">
                  <c:v>9.5765257323513993</c:v>
                </c:pt>
                <c:pt idx="7">
                  <c:v>15.588208359910595</c:v>
                </c:pt>
                <c:pt idx="8">
                  <c:v>22.42554698974585</c:v>
                </c:pt>
                <c:pt idx="9">
                  <c:v>29.231128718334531</c:v>
                </c:pt>
                <c:pt idx="10">
                  <c:v>35.268678063176687</c:v>
                </c:pt>
                <c:pt idx="11">
                  <c:v>40.116392403525992</c:v>
                </c:pt>
                <c:pt idx="12">
                  <c:v>43.685250261735433</c:v>
                </c:pt>
                <c:pt idx="13">
                  <c:v>46.120988106452764</c:v>
                </c:pt>
                <c:pt idx="14">
                  <c:v>47.676739069976144</c:v>
                </c:pt>
                <c:pt idx="15">
                  <c:v>48.61426034955236</c:v>
                </c:pt>
                <c:pt idx="16">
                  <c:v>49.15104006889235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4-4F2D-BCD5-006EEDD475F1}"/>
            </c:ext>
          </c:extLst>
        </c:ser>
        <c:ser>
          <c:idx val="5"/>
          <c:order val="5"/>
          <c:tx>
            <c:strRef>
              <c:f>'q=0.025'!$K$83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86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'q=0.025'!$K$84:$K$100</c:f>
              <c:numCache>
                <c:formatCode>General</c:formatCode>
                <c:ptCount val="17"/>
                <c:pt idx="0">
                  <c:v>1.7806411853700042E-2</c:v>
                </c:pt>
                <c:pt idx="1">
                  <c:v>0.10564547442602165</c:v>
                </c:pt>
                <c:pt idx="2">
                  <c:v>0.4405574612900402</c:v>
                </c:pt>
                <c:pt idx="3">
                  <c:v>1.3810629796509994</c:v>
                </c:pt>
                <c:pt idx="4">
                  <c:v>3.4305448572554673</c:v>
                </c:pt>
                <c:pt idx="5">
                  <c:v>7.0427715809633229</c:v>
                </c:pt>
                <c:pt idx="6">
                  <c:v>12.366525958643454</c:v>
                </c:pt>
                <c:pt idx="7">
                  <c:v>19.107493706027185</c:v>
                </c:pt>
                <c:pt idx="8">
                  <c:v>26.605095852007466</c:v>
                </c:pt>
                <c:pt idx="9">
                  <c:v>34.065921634114602</c:v>
                </c:pt>
                <c:pt idx="10">
                  <c:v>40.810541953568915</c:v>
                </c:pt>
                <c:pt idx="11">
                  <c:v>46.421144567791927</c:v>
                </c:pt>
                <c:pt idx="12">
                  <c:v>50.762781920897147</c:v>
                </c:pt>
                <c:pt idx="13">
                  <c:v>53.917013579207527</c:v>
                </c:pt>
                <c:pt idx="14">
                  <c:v>56.085475495412531</c:v>
                </c:pt>
                <c:pt idx="15">
                  <c:v>57.50573612502717</c:v>
                </c:pt>
                <c:pt idx="16">
                  <c:v>58.397150911107737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04-4F2D-BCD5-006EEDD475F1}"/>
            </c:ext>
          </c:extLst>
        </c:ser>
        <c:ser>
          <c:idx val="6"/>
          <c:order val="6"/>
          <c:tx>
            <c:strRef>
              <c:f>'q=0.025'!$L$83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'q=0.025'!$L$84:$L$100</c:f>
              <c:numCache>
                <c:formatCode>General</c:formatCode>
                <c:ptCount val="17"/>
                <c:pt idx="0">
                  <c:v>4.7899788187958876E-2</c:v>
                </c:pt>
                <c:pt idx="1">
                  <c:v>0.22632002053575634</c:v>
                </c:pt>
                <c:pt idx="2">
                  <c:v>0.78997278408481253</c:v>
                </c:pt>
                <c:pt idx="3">
                  <c:v>2.1580288933448779</c:v>
                </c:pt>
                <c:pt idx="4">
                  <c:v>4.827091784937295</c:v>
                </c:pt>
                <c:pt idx="5">
                  <c:v>9.1656649028146138</c:v>
                </c:pt>
                <c:pt idx="6">
                  <c:v>15.213006278304778</c:v>
                </c:pt>
                <c:pt idx="7">
                  <c:v>22.611590143991041</c:v>
                </c:pt>
                <c:pt idx="8">
                  <c:v>30.710044125946045</c:v>
                </c:pt>
                <c:pt idx="9">
                  <c:v>38.767259361878786</c:v>
                </c:pt>
                <c:pt idx="10">
                  <c:v>46.149869472846298</c:v>
                </c:pt>
                <c:pt idx="11">
                  <c:v>52.448831867365897</c:v>
                </c:pt>
                <c:pt idx="12">
                  <c:v>57.500194315361021</c:v>
                </c:pt>
                <c:pt idx="13">
                  <c:v>61.337850036487922</c:v>
                </c:pt>
                <c:pt idx="14">
                  <c:v>64.118704140422423</c:v>
                </c:pt>
                <c:pt idx="15">
                  <c:v>66.051860763395865</c:v>
                </c:pt>
                <c:pt idx="16">
                  <c:v>67.347573149819382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04-4F2D-BCD5-006EEDD475F1}"/>
            </c:ext>
          </c:extLst>
        </c:ser>
        <c:ser>
          <c:idx val="7"/>
          <c:order val="7"/>
          <c:tx>
            <c:strRef>
              <c:f>'q=0.025'!$M$83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6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'q=0.025'!$M$84:$M$100</c:f>
              <c:numCache>
                <c:formatCode>General</c:formatCode>
                <c:ptCount val="17"/>
                <c:pt idx="0">
                  <c:v>0.10294283538146176</c:v>
                </c:pt>
                <c:pt idx="1">
                  <c:v>0.40979903861485306</c:v>
                </c:pt>
                <c:pt idx="2">
                  <c:v>1.2509015294646824</c:v>
                </c:pt>
                <c:pt idx="3">
                  <c:v>3.0797208319189258</c:v>
                </c:pt>
                <c:pt idx="4">
                  <c:v>6.3624231461279352</c:v>
                </c:pt>
                <c:pt idx="5">
                  <c:v>11.383007075952746</c:v>
                </c:pt>
                <c:pt idx="6">
                  <c:v>18.093261741271899</c:v>
                </c:pt>
                <c:pt idx="7">
                  <c:v>26.093436148127605</c:v>
                </c:pt>
                <c:pt idx="8">
                  <c:v>34.745695814504138</c:v>
                </c:pt>
                <c:pt idx="9">
                  <c:v>43.352677591425177</c:v>
                </c:pt>
                <c:pt idx="10">
                  <c:v>51.31931061627386</c:v>
                </c:pt>
                <c:pt idx="11">
                  <c:v>58.247226457291376</c:v>
                </c:pt>
                <c:pt idx="12">
                  <c:v>63.9538618694856</c:v>
                </c:pt>
                <c:pt idx="13">
                  <c:v>68.437376442263428</c:v>
                </c:pt>
                <c:pt idx="14">
                  <c:v>71.817166019090791</c:v>
                </c:pt>
                <c:pt idx="15">
                  <c:v>74.27414348806056</c:v>
                </c:pt>
                <c:pt idx="16">
                  <c:v>76.004189766190791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04-4F2D-BCD5-006EEDD475F1}"/>
            </c:ext>
          </c:extLst>
        </c:ser>
        <c:ser>
          <c:idx val="8"/>
          <c:order val="8"/>
          <c:tx>
            <c:strRef>
              <c:f>'q=0.025'!$N$83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86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'q=0.025'!$N$84:$N$100</c:f>
              <c:numCache>
                <c:formatCode>General</c:formatCode>
                <c:ptCount val="17"/>
                <c:pt idx="0">
                  <c:v>0.18994145613178132</c:v>
                </c:pt>
                <c:pt idx="1">
                  <c:v>0.6614791274669195</c:v>
                </c:pt>
                <c:pt idx="2">
                  <c:v>1.8182118027512655</c:v>
                </c:pt>
                <c:pt idx="3">
                  <c:v>4.1262245117300056</c:v>
                </c:pt>
                <c:pt idx="4">
                  <c:v>8.0081177456180939</c:v>
                </c:pt>
                <c:pt idx="5">
                  <c:v>13.669433528585742</c:v>
                </c:pt>
                <c:pt idx="6">
                  <c:v>20.99233408627434</c:v>
                </c:pt>
                <c:pt idx="7">
                  <c:v>29.548793984790478</c:v>
                </c:pt>
                <c:pt idx="8">
                  <c:v>38.71634959003061</c:v>
                </c:pt>
                <c:pt idx="9">
                  <c:v>47.834922952155594</c:v>
                </c:pt>
                <c:pt idx="10">
                  <c:v>56.341935995726814</c:v>
                </c:pt>
                <c:pt idx="11">
                  <c:v>63.850278207770565</c:v>
                </c:pt>
                <c:pt idx="12">
                  <c:v>70.165419915772958</c:v>
                </c:pt>
                <c:pt idx="13">
                  <c:v>75.258411416821446</c:v>
                </c:pt>
                <c:pt idx="14">
                  <c:v>79.217550510907145</c:v>
                </c:pt>
                <c:pt idx="15">
                  <c:v>82.197642280277563</c:v>
                </c:pt>
                <c:pt idx="16">
                  <c:v>84.378125626298669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04-4F2D-BCD5-006EEDD475F1}"/>
            </c:ext>
          </c:extLst>
        </c:ser>
        <c:ser>
          <c:idx val="9"/>
          <c:order val="9"/>
          <c:tx>
            <c:strRef>
              <c:f>'q=0.025'!$O$83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'q=0.025'!$O$84:$O$100</c:f>
              <c:numCache>
                <c:formatCode>General</c:formatCode>
                <c:ptCount val="17"/>
                <c:pt idx="0">
                  <c:v>0.31435085784565775</c:v>
                </c:pt>
                <c:pt idx="1">
                  <c:v>0.98329726607053713</c:v>
                </c:pt>
                <c:pt idx="2">
                  <c:v>2.4843349654412155</c:v>
                </c:pt>
                <c:pt idx="3">
                  <c:v>5.2797072280344226</c:v>
                </c:pt>
                <c:pt idx="4">
                  <c:v>9.7421678429128047</c:v>
                </c:pt>
                <c:pt idx="5">
                  <c:v>16.00669052183126</c:v>
                </c:pt>
                <c:pt idx="6">
                  <c:v>23.899916379923557</c:v>
                </c:pt>
                <c:pt idx="7">
                  <c:v>32.975056485877694</c:v>
                </c:pt>
                <c:pt idx="8">
                  <c:v>42.625587403763994</c:v>
                </c:pt>
                <c:pt idx="9">
                  <c:v>52.223704763570225</c:v>
                </c:pt>
                <c:pt idx="10">
                  <c:v>61.234857288970119</c:v>
                </c:pt>
                <c:pt idx="11">
                  <c:v>69.283147897716219</c:v>
                </c:pt>
                <c:pt idx="12">
                  <c:v>76.166469259500985</c:v>
                </c:pt>
                <c:pt idx="13">
                  <c:v>81.835068044457927</c:v>
                </c:pt>
                <c:pt idx="14">
                  <c:v>86.351503569536462</c:v>
                </c:pt>
                <c:pt idx="15">
                  <c:v>89.847133366777385</c:v>
                </c:pt>
                <c:pt idx="16">
                  <c:v>92.484609087935368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04-4F2D-BCD5-006EEDD475F1}"/>
            </c:ext>
          </c:extLst>
        </c:ser>
        <c:ser>
          <c:idx val="10"/>
          <c:order val="10"/>
          <c:tx>
            <c:strRef>
              <c:f>'q=0.025'!$P$83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8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'q=0.025'!$P$84:$P$100</c:f>
              <c:numCache>
                <c:formatCode>General</c:formatCode>
                <c:ptCount val="17"/>
                <c:pt idx="0">
                  <c:v>3.9228855089875214</c:v>
                </c:pt>
                <c:pt idx="1">
                  <c:v>7.5120527325579793</c:v>
                </c:pt>
                <c:pt idx="2">
                  <c:v>12.881823669038321</c:v>
                </c:pt>
                <c:pt idx="3">
                  <c:v>20.193640901122578</c:v>
                </c:pt>
                <c:pt idx="4">
                  <c:v>29.406619525493394</c:v>
                </c:pt>
                <c:pt idx="5">
                  <c:v>40.28932048501531</c:v>
                </c:pt>
                <c:pt idx="6">
                  <c:v>52.466345842550894</c:v>
                </c:pt>
                <c:pt idx="7">
                  <c:v>65.481405302968582</c:v>
                </c:pt>
                <c:pt idx="8">
                  <c:v>78.860027978597216</c:v>
                </c:pt>
                <c:pt idx="9">
                  <c:v>92.160649880288943</c:v>
                </c:pt>
                <c:pt idx="10">
                  <c:v>105.00902939865654</c:v>
                </c:pt>
                <c:pt idx="11">
                  <c:v>117.11586031612848</c:v>
                </c:pt>
                <c:pt idx="12">
                  <c:v>128.28042100913783</c:v>
                </c:pt>
                <c:pt idx="13">
                  <c:v>138.38430791935519</c:v>
                </c:pt>
                <c:pt idx="14">
                  <c:v>147.37928368597957</c:v>
                </c:pt>
                <c:pt idx="15">
                  <c:v>155.27258188420234</c:v>
                </c:pt>
                <c:pt idx="16">
                  <c:v>162.11208143802705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04-4F2D-BCD5-006EEDD475F1}"/>
            </c:ext>
          </c:extLst>
        </c:ser>
        <c:ser>
          <c:idx val="11"/>
          <c:order val="11"/>
          <c:tx>
            <c:strRef>
              <c:f>'q=0.025'!$Q$83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58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'q=0.025'!$Q$84:$Q$100</c:f>
              <c:numCache>
                <c:formatCode>General</c:formatCode>
                <c:ptCount val="17"/>
                <c:pt idx="0">
                  <c:v>10.982626447778118</c:v>
                </c:pt>
                <c:pt idx="1">
                  <c:v>17.750760626515458</c:v>
                </c:pt>
                <c:pt idx="2">
                  <c:v>26.582961836566767</c:v>
                </c:pt>
                <c:pt idx="3">
                  <c:v>37.406694692048724</c:v>
                </c:pt>
                <c:pt idx="4">
                  <c:v>50.002468929469146</c:v>
                </c:pt>
                <c:pt idx="5">
                  <c:v>64.04359395090917</c:v>
                </c:pt>
                <c:pt idx="6">
                  <c:v>79.141682968327174</c:v>
                </c:pt>
                <c:pt idx="7">
                  <c:v>94.889180864850744</c:v>
                </c:pt>
                <c:pt idx="8">
                  <c:v>110.89381238715949</c:v>
                </c:pt>
                <c:pt idx="9">
                  <c:v>126.802989808834</c:v>
                </c:pt>
                <c:pt idx="10">
                  <c:v>142.3184192033666</c:v>
                </c:pt>
                <c:pt idx="11">
                  <c:v>157.20239568734314</c:v>
                </c:pt>
                <c:pt idx="12">
                  <c:v>171.27778366127481</c:v>
                </c:pt>
                <c:pt idx="13">
                  <c:v>184.42369050009776</c:v>
                </c:pt>
                <c:pt idx="14">
                  <c:v>196.56858174780226</c:v>
                </c:pt>
                <c:pt idx="15">
                  <c:v>207.68221331270308</c:v>
                </c:pt>
                <c:pt idx="16">
                  <c:v>217.76737298926861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04-4F2D-BCD5-006EEDD475F1}"/>
            </c:ext>
          </c:extLst>
        </c:ser>
        <c:ser>
          <c:idx val="12"/>
          <c:order val="12"/>
          <c:tx>
            <c:strRef>
              <c:f>'q=0.025'!$R$83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9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'q=0.025'!$R$84:$R$100</c:f>
              <c:numCache>
                <c:formatCode>General</c:formatCode>
                <c:ptCount val="17"/>
                <c:pt idx="0">
                  <c:v>19.931287382752028</c:v>
                </c:pt>
                <c:pt idx="1">
                  <c:v>29.513953842372629</c:v>
                </c:pt>
                <c:pt idx="2">
                  <c:v>41.189415164212903</c:v>
                </c:pt>
                <c:pt idx="3">
                  <c:v>54.760621561934123</c:v>
                </c:pt>
                <c:pt idx="4">
                  <c:v>69.936398642254659</c:v>
                </c:pt>
                <c:pt idx="5">
                  <c:v>86.369388842633086</c:v>
                </c:pt>
                <c:pt idx="6">
                  <c:v>103.69051651660106</c:v>
                </c:pt>
                <c:pt idx="7">
                  <c:v>121.53682976239467</c:v>
                </c:pt>
                <c:pt idx="8">
                  <c:v>139.57170998971654</c:v>
                </c:pt>
                <c:pt idx="9">
                  <c:v>157.49781701704299</c:v>
                </c:pt>
                <c:pt idx="10">
                  <c:v>175.06387045800776</c:v>
                </c:pt>
                <c:pt idx="11">
                  <c:v>192.06664046017445</c:v>
                </c:pt>
                <c:pt idx="12">
                  <c:v>208.34950561939618</c:v>
                </c:pt>
                <c:pt idx="13">
                  <c:v>223.79876739424134</c:v>
                </c:pt>
                <c:pt idx="14">
                  <c:v>238.33868025585306</c:v>
                </c:pt>
                <c:pt idx="15">
                  <c:v>251.92592102942012</c:v>
                </c:pt>
                <c:pt idx="16">
                  <c:v>264.54400921017037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04-4F2D-BCD5-006EEDD475F1}"/>
            </c:ext>
          </c:extLst>
        </c:ser>
        <c:ser>
          <c:idx val="13"/>
          <c:order val="13"/>
          <c:tx>
            <c:strRef>
              <c:f>'q=0.025'!$S$83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0000"/>
                  <a:shade val="95000"/>
                </a:schemeClr>
              </a:contourClr>
            </a:sp3d>
          </c:spPr>
          <c:cat>
            <c:numRef>
              <c:f>'q=0.025'!$E$84:$E$100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'q=0.025'!$S$84:$S$100</c:f>
              <c:numCache>
                <c:formatCode>General</c:formatCode>
                <c:ptCount val="17"/>
                <c:pt idx="0">
                  <c:v>29.759147985787362</c:v>
                </c:pt>
                <c:pt idx="1">
                  <c:v>41.748039626692083</c:v>
                </c:pt>
                <c:pt idx="2">
                  <c:v>55.764456329145709</c:v>
                </c:pt>
                <c:pt idx="3">
                  <c:v>71.546981814613346</c:v>
                </c:pt>
                <c:pt idx="4">
                  <c:v>88.777690547630769</c:v>
                </c:pt>
                <c:pt idx="5">
                  <c:v>107.11315183684813</c:v>
                </c:pt>
                <c:pt idx="6">
                  <c:v>126.20945234110793</c:v>
                </c:pt>
                <c:pt idx="7">
                  <c:v>145.74061937359039</c:v>
                </c:pt>
                <c:pt idx="8">
                  <c:v>165.41087953990137</c:v>
                </c:pt>
                <c:pt idx="9">
                  <c:v>184.96170998069042</c:v>
                </c:pt>
                <c:pt idx="10">
                  <c:v>204.17481014898081</c:v>
                </c:pt>
                <c:pt idx="11">
                  <c:v>222.87208530914629</c:v>
                </c:pt>
                <c:pt idx="12">
                  <c:v>240.91359166103169</c:v>
                </c:pt>
                <c:pt idx="13">
                  <c:v>258.19421321835392</c:v>
                </c:pt>
                <c:pt idx="14">
                  <c:v>274.63966069216684</c:v>
                </c:pt>
                <c:pt idx="15">
                  <c:v>290.20222222590479</c:v>
                </c:pt>
                <c:pt idx="16">
                  <c:v>304.85656268748386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04-4F2D-BCD5-006EEDD475F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20000"/>
                    <a:shade val="95000"/>
                  </a:schemeClr>
                </a:contourClr>
              </a:sp3d>
            </c:spPr>
          </c:bandFmt>
        </c:bandFmts>
        <c:axId val="102552592"/>
        <c:axId val="102549712"/>
        <c:axId val="707534880"/>
      </c:surface3DChart>
      <c:catAx>
        <c:axId val="102552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  <c:auto val="1"/>
        <c:lblAlgn val="ctr"/>
        <c:lblOffset val="100"/>
        <c:noMultiLvlLbl val="0"/>
      </c:catAx>
      <c:valAx>
        <c:axId val="1025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52592"/>
        <c:crosses val="autoZero"/>
        <c:crossBetween val="midCat"/>
      </c:valAx>
      <c:serAx>
        <c:axId val="7075348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7%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'q=0.07'!$F$2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0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'q=0.07'!$F$3:$F$19</c:f>
              <c:numCache>
                <c:formatCode>General</c:formatCode>
                <c:ptCount val="17"/>
                <c:pt idx="0">
                  <c:v>1.9608556839489535E-16</c:v>
                </c:pt>
                <c:pt idx="1">
                  <c:v>3.0882202202113942E-12</c:v>
                </c:pt>
                <c:pt idx="2">
                  <c:v>5.8526322510886828E-9</c:v>
                </c:pt>
                <c:pt idx="3">
                  <c:v>1.9811225663179295E-6</c:v>
                </c:pt>
                <c:pt idx="4">
                  <c:v>1.6327163925172378E-4</c:v>
                </c:pt>
                <c:pt idx="5">
                  <c:v>4.203492453197546E-3</c:v>
                </c:pt>
                <c:pt idx="6">
                  <c:v>4.1599660479489674E-2</c:v>
                </c:pt>
                <c:pt idx="7">
                  <c:v>0.18965507546692534</c:v>
                </c:pt>
                <c:pt idx="8">
                  <c:v>0.47147359232644859</c:v>
                </c:pt>
                <c:pt idx="9">
                  <c:v>0.75528229087894938</c:v>
                </c:pt>
                <c:pt idx="10">
                  <c:v>0.91913750309549358</c:v>
                </c:pt>
                <c:pt idx="11">
                  <c:v>0.97722227015989305</c:v>
                </c:pt>
                <c:pt idx="12">
                  <c:v>0.99063637674218641</c:v>
                </c:pt>
                <c:pt idx="13">
                  <c:v>0.99276114106786628</c:v>
                </c:pt>
                <c:pt idx="14">
                  <c:v>0.99300256746239302</c:v>
                </c:pt>
                <c:pt idx="15">
                  <c:v>0.99302303118713287</c:v>
                </c:pt>
                <c:pt idx="16">
                  <c:v>0.99302437017153999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B-488E-AFA7-D64D82C14516}"/>
            </c:ext>
          </c:extLst>
        </c:ser>
        <c:ser>
          <c:idx val="1"/>
          <c:order val="1"/>
          <c:tx>
            <c:strRef>
              <c:f>'q=0.07'!$G$2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9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'q=0.07'!$G$3:$G$19</c:f>
              <c:numCache>
                <c:formatCode>General</c:formatCode>
                <c:ptCount val="17"/>
                <c:pt idx="0">
                  <c:v>3.257060781158151E-9</c:v>
                </c:pt>
                <c:pt idx="1">
                  <c:v>4.5890385251482446E-7</c:v>
                </c:pt>
                <c:pt idx="2">
                  <c:v>2.2474779400242488E-5</c:v>
                </c:pt>
                <c:pt idx="3">
                  <c:v>4.6690165860169166E-4</c:v>
                </c:pt>
                <c:pt idx="4">
                  <c:v>4.8115256977174625E-3</c:v>
                </c:pt>
                <c:pt idx="5">
                  <c:v>2.7901927756982647E-2</c:v>
                </c:pt>
                <c:pt idx="6">
                  <c:v>0.10107946011110019</c:v>
                </c:pt>
                <c:pt idx="7">
                  <c:v>0.2501642270721085</c:v>
                </c:pt>
                <c:pt idx="8">
                  <c:v>0.45790922290570824</c:v>
                </c:pt>
                <c:pt idx="9">
                  <c:v>0.66642664420620323</c:v>
                </c:pt>
                <c:pt idx="10">
                  <c:v>0.82389119007714773</c:v>
                </c:pt>
                <c:pt idx="11">
                  <c:v>0.91671946822144479</c:v>
                </c:pt>
                <c:pt idx="12">
                  <c:v>0.96080488214312743</c:v>
                </c:pt>
                <c:pt idx="13">
                  <c:v>0.97813197450691935</c:v>
                </c:pt>
                <c:pt idx="14">
                  <c:v>0.98390012553142192</c:v>
                </c:pt>
                <c:pt idx="15">
                  <c:v>0.98555940972742384</c:v>
                </c:pt>
                <c:pt idx="16">
                  <c:v>0.9859790874222516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5B-488E-AFA7-D64D82C14516}"/>
            </c:ext>
          </c:extLst>
        </c:ser>
        <c:ser>
          <c:idx val="2"/>
          <c:order val="2"/>
          <c:tx>
            <c:strRef>
              <c:f>'q=0.07'!$H$2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58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'q=0.07'!$H$3:$H$19</c:f>
              <c:numCache>
                <c:formatCode>General</c:formatCode>
                <c:ptCount val="17"/>
                <c:pt idx="0">
                  <c:v>8.8987292525424073E-7</c:v>
                </c:pt>
                <c:pt idx="1">
                  <c:v>2.5943905677246078E-5</c:v>
                </c:pt>
                <c:pt idx="2">
                  <c:v>3.7405067625088972E-4</c:v>
                </c:pt>
                <c:pt idx="3">
                  <c:v>3.0476112860951935E-3</c:v>
                </c:pt>
                <c:pt idx="4">
                  <c:v>1.5583563125001972E-2</c:v>
                </c:pt>
                <c:pt idx="5">
                  <c:v>5.4410523749259899E-2</c:v>
                </c:pt>
                <c:pt idx="6">
                  <c:v>0.13905500371204449</c:v>
                </c:pt>
                <c:pt idx="7">
                  <c:v>0.27585016910854004</c:v>
                </c:pt>
                <c:pt idx="8">
                  <c:v>0.44690115026058003</c:v>
                </c:pt>
                <c:pt idx="9">
                  <c:v>0.61838340457990726</c:v>
                </c:pt>
                <c:pt idx="10">
                  <c:v>0.76038939812915751</c:v>
                </c:pt>
                <c:pt idx="11">
                  <c:v>0.8600027207481763</c:v>
                </c:pt>
                <c:pt idx="12">
                  <c:v>0.92047077045959214</c:v>
                </c:pt>
                <c:pt idx="13">
                  <c:v>0.95281857499920719</c:v>
                </c:pt>
                <c:pt idx="14">
                  <c:v>0.96830881292717552</c:v>
                </c:pt>
                <c:pt idx="15">
                  <c:v>0.97503872414654391</c:v>
                </c:pt>
                <c:pt idx="16">
                  <c:v>0.97772254586506047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5B-488E-AFA7-D64D82C14516}"/>
            </c:ext>
          </c:extLst>
        </c:ser>
        <c:ser>
          <c:idx val="3"/>
          <c:order val="3"/>
          <c:tx>
            <c:strRef>
              <c:f>'q=0.07'!$I$2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8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'q=0.07'!$I$3:$I$19</c:f>
              <c:numCache>
                <c:formatCode>General</c:formatCode>
                <c:ptCount val="17"/>
                <c:pt idx="0">
                  <c:v>1.5142940085197296E-5</c:v>
                </c:pt>
                <c:pt idx="1">
                  <c:v>2.0042289175810948E-4</c:v>
                </c:pt>
                <c:pt idx="2">
                  <c:v>1.5638339874384369E-3</c:v>
                </c:pt>
                <c:pt idx="3">
                  <c:v>7.9534021755031763E-3</c:v>
                </c:pt>
                <c:pt idx="4">
                  <c:v>2.8529060168868869E-2</c:v>
                </c:pt>
                <c:pt idx="5">
                  <c:v>7.6892311231767208E-2</c:v>
                </c:pt>
                <c:pt idx="6">
                  <c:v>0.16401156735510164</c:v>
                </c:pt>
                <c:pt idx="7">
                  <c:v>0.289152251103314</c:v>
                </c:pt>
                <c:pt idx="8">
                  <c:v>0.43725542715950638</c:v>
                </c:pt>
                <c:pt idx="9">
                  <c:v>0.58564104669789885</c:v>
                </c:pt>
                <c:pt idx="10">
                  <c:v>0.71438557852382922</c:v>
                </c:pt>
                <c:pt idx="11">
                  <c:v>0.81298249010354873</c:v>
                </c:pt>
                <c:pt idx="12">
                  <c:v>0.88071754168527938</c:v>
                </c:pt>
                <c:pt idx="13">
                  <c:v>0.92303852329983072</c:v>
                </c:pt>
                <c:pt idx="14">
                  <c:v>0.94737211933622945</c:v>
                </c:pt>
                <c:pt idx="15">
                  <c:v>0.96037879248869307</c:v>
                </c:pt>
                <c:pt idx="16">
                  <c:v>0.96689865771706718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5B-488E-AFA7-D64D82C14516}"/>
            </c:ext>
          </c:extLst>
        </c:ser>
        <c:ser>
          <c:idx val="4"/>
          <c:order val="4"/>
          <c:tx>
            <c:strRef>
              <c:f>'q=0.07'!$J$2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'q=0.07'!$J$3:$J$19</c:f>
              <c:numCache>
                <c:formatCode>General</c:formatCode>
                <c:ptCount val="17"/>
                <c:pt idx="0">
                  <c:v>8.4191020844182684E-5</c:v>
                </c:pt>
                <c:pt idx="1">
                  <c:v>6.9282302776329304E-4</c:v>
                </c:pt>
                <c:pt idx="2">
                  <c:v>3.7336955779232227E-3</c:v>
                </c:pt>
                <c:pt idx="3">
                  <c:v>1.428233253442157E-2</c:v>
                </c:pt>
                <c:pt idx="4">
                  <c:v>4.130984231478714E-2</c:v>
                </c:pt>
                <c:pt idx="5">
                  <c:v>9.5035427178553941E-2</c:v>
                </c:pt>
                <c:pt idx="6">
                  <c:v>0.18123660537654465</c:v>
                </c:pt>
                <c:pt idx="7">
                  <c:v>0.2965264399097996</c:v>
                </c:pt>
                <c:pt idx="8">
                  <c:v>0.42850530771109535</c:v>
                </c:pt>
                <c:pt idx="9">
                  <c:v>0.56068655357655783</c:v>
                </c:pt>
                <c:pt idx="10">
                  <c:v>0.67864508591699158</c:v>
                </c:pt>
                <c:pt idx="11">
                  <c:v>0.77389333248074943</c:v>
                </c:pt>
                <c:pt idx="12">
                  <c:v>0.84439460287452384</c:v>
                </c:pt>
                <c:pt idx="13">
                  <c:v>0.89276175697426152</c:v>
                </c:pt>
                <c:pt idx="14">
                  <c:v>0.92380908307040954</c:v>
                </c:pt>
                <c:pt idx="15">
                  <c:v>0.94260864429889557</c:v>
                </c:pt>
                <c:pt idx="16">
                  <c:v>0.95342221857973553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5B-488E-AFA7-D64D82C14516}"/>
            </c:ext>
          </c:extLst>
        </c:ser>
        <c:ser>
          <c:idx val="5"/>
          <c:order val="5"/>
          <c:tx>
            <c:strRef>
              <c:f>'q=0.07'!$K$2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86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'q=0.07'!$K$3:$K$19</c:f>
              <c:numCache>
                <c:formatCode>General</c:formatCode>
                <c:ptCount val="17"/>
                <c:pt idx="0">
                  <c:v>2.6649924358005929E-4</c:v>
                </c:pt>
                <c:pt idx="1">
                  <c:v>1.5959974207575083E-3</c:v>
                </c:pt>
                <c:pt idx="2">
                  <c:v>6.7124097337604117E-3</c:v>
                </c:pt>
                <c:pt idx="3">
                  <c:v>2.1205679197962828E-2</c:v>
                </c:pt>
                <c:pt idx="4">
                  <c:v>5.3046642334983969E-2</c:v>
                </c:pt>
                <c:pt idx="5">
                  <c:v>0.10959854250974697</c:v>
                </c:pt>
                <c:pt idx="6">
                  <c:v>0.19355135109339403</c:v>
                </c:pt>
                <c:pt idx="7">
                  <c:v>0.30058445304328058</c:v>
                </c:pt>
                <c:pt idx="8">
                  <c:v>0.42040922131631192</c:v>
                </c:pt>
                <c:pt idx="9">
                  <c:v>0.54038762451502154</c:v>
                </c:pt>
                <c:pt idx="10">
                  <c:v>0.64949181381196208</c:v>
                </c:pt>
                <c:pt idx="11">
                  <c:v>0.74076591829429328</c:v>
                </c:pt>
                <c:pt idx="12">
                  <c:v>0.81177952118119401</c:v>
                </c:pt>
                <c:pt idx="13">
                  <c:v>0.8636398886734109</c:v>
                </c:pt>
                <c:pt idx="14">
                  <c:v>0.89947091421305447</c:v>
                </c:pt>
                <c:pt idx="15">
                  <c:v>0.92305173541704943</c:v>
                </c:pt>
                <c:pt idx="16">
                  <c:v>0.93792060764385077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5B-488E-AFA7-D64D82C14516}"/>
            </c:ext>
          </c:extLst>
        </c:ser>
        <c:ser>
          <c:idx val="6"/>
          <c:order val="6"/>
          <c:tx>
            <c:strRef>
              <c:f>'q=0.07'!$L$2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6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'q=0.07'!$L$3:$L$19</c:f>
              <c:numCache>
                <c:formatCode>General</c:formatCode>
                <c:ptCount val="17"/>
                <c:pt idx="0">
                  <c:v>6.1009259587114833E-4</c:v>
                </c:pt>
                <c:pt idx="1">
                  <c:v>2.909503753225563E-3</c:v>
                </c:pt>
                <c:pt idx="2">
                  <c:v>1.0241746347444227E-2</c:v>
                </c:pt>
                <c:pt idx="3">
                  <c:v>2.8193781691959966E-2</c:v>
                </c:pt>
                <c:pt idx="4">
                  <c:v>6.3505360426728497E-2</c:v>
                </c:pt>
                <c:pt idx="5">
                  <c:v>0.12134749848961204</c:v>
                </c:pt>
                <c:pt idx="6">
                  <c:v>0.20255833203834359</c:v>
                </c:pt>
                <c:pt idx="7">
                  <c:v>0.30260030167610813</c:v>
                </c:pt>
                <c:pt idx="8">
                  <c:v>0.41282232911457445</c:v>
                </c:pt>
                <c:pt idx="9">
                  <c:v>0.5231657822584701</c:v>
                </c:pt>
                <c:pt idx="10">
                  <c:v>0.62487068733844864</c:v>
                </c:pt>
                <c:pt idx="11">
                  <c:v>0.71213911913302397</c:v>
                </c:pt>
                <c:pt idx="12">
                  <c:v>0.78250274369049233</c:v>
                </c:pt>
                <c:pt idx="13">
                  <c:v>0.83623819584841907</c:v>
                </c:pt>
                <c:pt idx="14">
                  <c:v>0.87537086529863106</c:v>
                </c:pt>
                <c:pt idx="15">
                  <c:v>0.90270544875236292</c:v>
                </c:pt>
                <c:pt idx="16">
                  <c:v>0.92111155298167391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5B-488E-AFA7-D64D82C14516}"/>
            </c:ext>
          </c:extLst>
        </c:ser>
        <c:ser>
          <c:idx val="7"/>
          <c:order val="7"/>
          <c:tx>
            <c:strRef>
              <c:f>'q=0.07'!$M$2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'q=0.07'!$M$3:$M$19</c:f>
              <c:numCache>
                <c:formatCode>General</c:formatCode>
                <c:ptCount val="17"/>
                <c:pt idx="0">
                  <c:v>1.1391134563941369E-3</c:v>
                </c:pt>
                <c:pt idx="1">
                  <c:v>4.5766796961434104E-3</c:v>
                </c:pt>
                <c:pt idx="2">
                  <c:v>1.4087805723636739E-2</c:v>
                </c:pt>
                <c:pt idx="3">
                  <c:v>3.4949502619724189E-2</c:v>
                </c:pt>
                <c:pt idx="4">
                  <c:v>7.2703909710642181E-2</c:v>
                </c:pt>
                <c:pt idx="5">
                  <c:v>0.1308922958054001</c:v>
                </c:pt>
                <c:pt idx="6">
                  <c:v>0.20923137654877122</c:v>
                </c:pt>
                <c:pt idx="7">
                  <c:v>0.30327453741051519</c:v>
                </c:pt>
                <c:pt idx="8">
                  <c:v>0.40564936467902102</c:v>
                </c:pt>
                <c:pt idx="9">
                  <c:v>0.50812305342405695</c:v>
                </c:pt>
                <c:pt idx="10">
                  <c:v>0.60353628923573965</c:v>
                </c:pt>
                <c:pt idx="11">
                  <c:v>0.68698010167945389</c:v>
                </c:pt>
                <c:pt idx="12">
                  <c:v>0.7560874720584464</c:v>
                </c:pt>
                <c:pt idx="13">
                  <c:v>0.81066564243287631</c:v>
                </c:pt>
                <c:pt idx="14">
                  <c:v>0.85201389213836642</c:v>
                </c:pt>
                <c:pt idx="15">
                  <c:v>0.88221711779606782</c:v>
                </c:pt>
                <c:pt idx="16">
                  <c:v>0.90358286683733269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5B-488E-AFA7-D64D82C14516}"/>
            </c:ext>
          </c:extLst>
        </c:ser>
        <c:ser>
          <c:idx val="8"/>
          <c:order val="8"/>
          <c:tx>
            <c:strRef>
              <c:f>'q=0.07'!$N$2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6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'q=0.07'!$N$3:$N$19</c:f>
              <c:numCache>
                <c:formatCode>General</c:formatCode>
                <c:ptCount val="17"/>
                <c:pt idx="0">
                  <c:v>1.8550214355654087E-3</c:v>
                </c:pt>
                <c:pt idx="1">
                  <c:v>6.5197569086291284E-3</c:v>
                </c:pt>
                <c:pt idx="2">
                  <c:v>1.8070820219701404E-2</c:v>
                </c:pt>
                <c:pt idx="3">
                  <c:v>4.132129975365214E-2</c:v>
                </c:pt>
                <c:pt idx="4">
                  <c:v>8.0749009632073349E-2</c:v>
                </c:pt>
                <c:pt idx="5">
                  <c:v>0.13869543337151144</c:v>
                </c:pt>
                <c:pt idx="6">
                  <c:v>0.21419664866464569</c:v>
                </c:pt>
                <c:pt idx="7">
                  <c:v>0.30302599184106999</c:v>
                </c:pt>
                <c:pt idx="8">
                  <c:v>0.39882351367698005</c:v>
                </c:pt>
                <c:pt idx="9">
                  <c:v>0.4947033819406384</c:v>
                </c:pt>
                <c:pt idx="10">
                  <c:v>0.58468452107925639</c:v>
                </c:pt>
                <c:pt idx="11">
                  <c:v>0.664553358366203</c:v>
                </c:pt>
                <c:pt idx="12">
                  <c:v>0.73209475510595112</c:v>
                </c:pt>
                <c:pt idx="13">
                  <c:v>0.7868488687694124</c:v>
                </c:pt>
                <c:pt idx="14">
                  <c:v>0.82962605306002646</c:v>
                </c:pt>
                <c:pt idx="15">
                  <c:v>0.86197991873177682</c:v>
                </c:pt>
                <c:pt idx="16">
                  <c:v>0.88576243906602126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5B-488E-AFA7-D64D82C14516}"/>
            </c:ext>
          </c:extLst>
        </c:ser>
        <c:ser>
          <c:idx val="9"/>
          <c:order val="9"/>
          <c:tx>
            <c:strRef>
              <c:f>'q=0.07'!$O$2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'q=0.07'!$O$3:$O$19</c:f>
              <c:numCache>
                <c:formatCode>General</c:formatCode>
                <c:ptCount val="17"/>
                <c:pt idx="0">
                  <c:v>2.7435094303351793E-3</c:v>
                </c:pt>
                <c:pt idx="1">
                  <c:v>8.660483786849053E-3</c:v>
                </c:pt>
                <c:pt idx="2">
                  <c:v>2.2063043252679826E-2</c:v>
                </c:pt>
                <c:pt idx="3">
                  <c:v>4.7242585535057315E-2</c:v>
                </c:pt>
                <c:pt idx="4">
                  <c:v>8.7770329137090361E-2</c:v>
                </c:pt>
                <c:pt idx="5">
                  <c:v>0.14510556794644494</c:v>
                </c:pt>
                <c:pt idx="6">
                  <c:v>0.21787568225048523</c:v>
                </c:pt>
                <c:pt idx="7">
                  <c:v>0.30212104055154826</c:v>
                </c:pt>
                <c:pt idx="8">
                  <c:v>0.3922956467044133</c:v>
                </c:pt>
                <c:pt idx="9">
                  <c:v>0.4825400928675293</c:v>
                </c:pt>
                <c:pt idx="10">
                  <c:v>0.56776957499417258</c:v>
                </c:pt>
                <c:pt idx="11">
                  <c:v>0.64432448120112495</c:v>
                </c:pt>
                <c:pt idx="12">
                  <c:v>0.7101541699545828</c:v>
                </c:pt>
                <c:pt idx="13">
                  <c:v>0.76464920238105538</c:v>
                </c:pt>
                <c:pt idx="14">
                  <c:v>0.80828521782152674</c:v>
                </c:pt>
                <c:pt idx="15">
                  <c:v>0.84222117839862476</c:v>
                </c:pt>
                <c:pt idx="16">
                  <c:v>0.86794479330362395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5B-488E-AFA7-D64D82C14516}"/>
            </c:ext>
          </c:extLst>
        </c:ser>
        <c:ser>
          <c:idx val="10"/>
          <c:order val="10"/>
          <c:tx>
            <c:strRef>
              <c:f>'q=0.07'!$P$2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7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'q=0.07'!$P$3:$P$19</c:f>
              <c:numCache>
                <c:formatCode>General</c:formatCode>
                <c:ptCount val="17"/>
                <c:pt idx="0">
                  <c:v>1.5960619208823246E-2</c:v>
                </c:pt>
                <c:pt idx="1">
                  <c:v>3.0834169111223921E-2</c:v>
                </c:pt>
                <c:pt idx="2">
                  <c:v>5.3299323814196935E-2</c:v>
                </c:pt>
                <c:pt idx="3">
                  <c:v>8.4161385136238873E-2</c:v>
                </c:pt>
                <c:pt idx="4">
                  <c:v>0.12337124324216384</c:v>
                </c:pt>
                <c:pt idx="5">
                  <c:v>0.17004870159744256</c:v>
                </c:pt>
                <c:pt idx="6">
                  <c:v>0.22266154102381089</c:v>
                </c:pt>
                <c:pt idx="7">
                  <c:v>0.27928579654662583</c:v>
                </c:pt>
                <c:pt idx="8">
                  <c:v>0.33787495271201956</c:v>
                </c:pt>
                <c:pt idx="9">
                  <c:v>0.39648691210522236</c:v>
                </c:pt>
                <c:pt idx="10">
                  <c:v>0.4534434059359152</c:v>
                </c:pt>
                <c:pt idx="11">
                  <c:v>0.50741801951823051</c:v>
                </c:pt>
                <c:pt idx="12">
                  <c:v>0.55746275885136831</c:v>
                </c:pt>
                <c:pt idx="13">
                  <c:v>0.60298936836152306</c:v>
                </c:pt>
                <c:pt idx="14">
                  <c:v>0.64372241620525195</c:v>
                </c:pt>
                <c:pt idx="15">
                  <c:v>0.67963878211671425</c:v>
                </c:pt>
                <c:pt idx="16">
                  <c:v>0.71090448250504423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5B-488E-AFA7-D64D82C14516}"/>
            </c:ext>
          </c:extLst>
        </c:ser>
        <c:ser>
          <c:idx val="11"/>
          <c:order val="11"/>
          <c:tx>
            <c:strRef>
              <c:f>'q=0.07'!$Q$2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8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'q=0.07'!$Q$3:$Q$19</c:f>
              <c:numCache>
                <c:formatCode>General</c:formatCode>
                <c:ptCount val="17"/>
                <c:pt idx="0">
                  <c:v>2.7803556584964386E-2</c:v>
                </c:pt>
                <c:pt idx="1">
                  <c:v>4.5328202596534251E-2</c:v>
                </c:pt>
                <c:pt idx="2">
                  <c:v>6.8416803721765757E-2</c:v>
                </c:pt>
                <c:pt idx="3">
                  <c:v>9.6963990213943974E-2</c:v>
                </c:pt>
                <c:pt idx="4">
                  <c:v>0.13046172661335881</c:v>
                </c:pt>
                <c:pt idx="5">
                  <c:v>0.16809521111842013</c:v>
                </c:pt>
                <c:pt idx="6">
                  <c:v>0.2088594757532225</c:v>
                </c:pt>
                <c:pt idx="7">
                  <c:v>0.25167279742883419</c:v>
                </c:pt>
                <c:pt idx="8">
                  <c:v>0.29547193599453581</c:v>
                </c:pt>
                <c:pt idx="9">
                  <c:v>0.33928245822515962</c:v>
                </c:pt>
                <c:pt idx="10">
                  <c:v>0.38226350060588793</c:v>
                </c:pt>
                <c:pt idx="11">
                  <c:v>0.42373003406204618</c:v>
                </c:pt>
                <c:pt idx="12">
                  <c:v>0.46315741935078025</c:v>
                </c:pt>
                <c:pt idx="13">
                  <c:v>0.50017338302774028</c:v>
                </c:pt>
                <c:pt idx="14">
                  <c:v>0.53454206582412345</c:v>
                </c:pt>
                <c:pt idx="15">
                  <c:v>0.56614393211119729</c:v>
                </c:pt>
                <c:pt idx="16">
                  <c:v>0.59495436988670336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5B-488E-AFA7-D64D82C14516}"/>
            </c:ext>
          </c:extLst>
        </c:ser>
        <c:ser>
          <c:idx val="12"/>
          <c:order val="12"/>
          <c:tx>
            <c:strRef>
              <c:f>'q=0.07'!$R$2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8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'q=0.07'!$R$3:$R$19</c:f>
              <c:numCache>
                <c:formatCode>General</c:formatCode>
                <c:ptCount val="17"/>
                <c:pt idx="0">
                  <c:v>3.5344210007866542E-2</c:v>
                </c:pt>
                <c:pt idx="1">
                  <c:v>5.2786614353984192E-2</c:v>
                </c:pt>
                <c:pt idx="2">
                  <c:v>7.4242691374169514E-2</c:v>
                </c:pt>
                <c:pt idx="3">
                  <c:v>9.9405445011892565E-2</c:v>
                </c:pt>
                <c:pt idx="4">
                  <c:v>0.12777806135677403</c:v>
                </c:pt>
                <c:pt idx="5">
                  <c:v>0.15874157975465233</c:v>
                </c:pt>
                <c:pt idx="6">
                  <c:v>0.19161898392647322</c:v>
                </c:pt>
                <c:pt idx="7">
                  <c:v>0.225728971715385</c:v>
                </c:pt>
                <c:pt idx="8">
                  <c:v>0.26042664535004689</c:v>
                </c:pt>
                <c:pt idx="9">
                  <c:v>0.29513108826238116</c:v>
                </c:pt>
                <c:pt idx="10">
                  <c:v>0.32934137014314413</c:v>
                </c:pt>
                <c:pt idx="11">
                  <c:v>0.36264322797365273</c:v>
                </c:pt>
                <c:pt idx="12">
                  <c:v>0.39470880175119832</c:v>
                </c:pt>
                <c:pt idx="13">
                  <c:v>0.42529160307535063</c:v>
                </c:pt>
                <c:pt idx="14">
                  <c:v>0.45421853794342582</c:v>
                </c:pt>
                <c:pt idx="15">
                  <c:v>0.48138040501710327</c:v>
                </c:pt>
                <c:pt idx="16">
                  <c:v>0.50672191220213902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5B-488E-AFA7-D64D82C14516}"/>
            </c:ext>
          </c:extLst>
        </c:ser>
        <c:ser>
          <c:idx val="13"/>
          <c:order val="13"/>
          <c:tx>
            <c:strRef>
              <c:f>'q=0.07'!$S$2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9000"/>
                  <a:shade val="95000"/>
                </a:schemeClr>
              </a:contourClr>
            </a:sp3d>
          </c:spPr>
          <c:cat>
            <c:numRef>
              <c:f>'q=0.07'!$E$3:$E$19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'q=0.07'!$S$3:$S$19</c:f>
              <c:numCache>
                <c:formatCode>General</c:formatCode>
                <c:ptCount val="17"/>
                <c:pt idx="0">
                  <c:v>3.9447677446501107E-2</c:v>
                </c:pt>
                <c:pt idx="1">
                  <c:v>5.5811269216130499E-2</c:v>
                </c:pt>
                <c:pt idx="2">
                  <c:v>7.5126400705838578E-2</c:v>
                </c:pt>
                <c:pt idx="3">
                  <c:v>9.7069811572635417E-2</c:v>
                </c:pt>
                <c:pt idx="4">
                  <c:v>0.12122676458229997</c:v>
                </c:pt>
                <c:pt idx="5">
                  <c:v>0.14713382357536847</c:v>
                </c:pt>
                <c:pt idx="6">
                  <c:v>0.17431477736142106</c:v>
                </c:pt>
                <c:pt idx="7">
                  <c:v>0.202308233296631</c:v>
                </c:pt>
                <c:pt idx="8">
                  <c:v>0.2306869911399255</c:v>
                </c:pt>
                <c:pt idx="9">
                  <c:v>0.25907018041212038</c:v>
                </c:pt>
                <c:pt idx="10">
                  <c:v>0.28712951349467131</c:v>
                </c:pt>
                <c:pt idx="11">
                  <c:v>0.31459105914199037</c:v>
                </c:pt>
                <c:pt idx="12">
                  <c:v>0.3412338181418843</c:v>
                </c:pt>
                <c:pt idx="13">
                  <c:v>0.36688618033252862</c:v>
                </c:pt>
                <c:pt idx="14">
                  <c:v>0.39142111932427437</c:v>
                </c:pt>
                <c:pt idx="15">
                  <c:v>0.41475077111194786</c:v>
                </c:pt>
                <c:pt idx="16">
                  <c:v>0.43682086101538187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5B-488E-AFA7-D64D82C1451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</c:bandFmts>
        <c:axId val="11842704"/>
        <c:axId val="11843184"/>
        <c:axId val="23812896"/>
      </c:surface3DChart>
      <c:catAx>
        <c:axId val="1184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122140201224847"/>
              <c:y val="0.7990477580800662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  <c:auto val="1"/>
        <c:lblAlgn val="ctr"/>
        <c:lblOffset val="100"/>
        <c:noMultiLvlLbl val="0"/>
      </c:catAx>
      <c:valAx>
        <c:axId val="118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2704"/>
        <c:crosses val="autoZero"/>
        <c:crossBetween val="midCat"/>
      </c:valAx>
      <c:serAx>
        <c:axId val="238128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6F8-428A-827E-934A637F9433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6F8-428A-827E-934A637F9433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6F8-428A-827E-934A637F9433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56F8-428A-827E-934A637F9433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56F8-428A-827E-934A637F9433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56F8-428A-827E-934A637F9433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56F8-428A-827E-934A637F9433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56F8-428A-827E-934A637F9433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56F8-428A-827E-934A637F9433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56F8-428A-827E-934A637F9433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56F8-428A-827E-934A637F9433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56F8-428A-827E-934A637F9433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56F8-428A-827E-934A637F9433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56F8-428A-827E-934A637F9433}"/>
            </c:ext>
          </c:extLst>
        </c:ser>
        <c:bandFmts/>
        <c:axId val="107604992"/>
        <c:axId val="107605472"/>
        <c:axId val="259903008"/>
      </c:surface3DChart>
      <c:catAx>
        <c:axId val="10760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  <c:auto val="1"/>
        <c:lblAlgn val="ctr"/>
        <c:lblOffset val="100"/>
        <c:noMultiLvlLbl val="0"/>
      </c:catAx>
      <c:valAx>
        <c:axId val="1076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4992"/>
        <c:crosses val="autoZero"/>
        <c:crossBetween val="midCat"/>
      </c:valAx>
      <c:serAx>
        <c:axId val="2599030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11-48CE-B024-1B1339FB97BD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E11-48CE-B024-1B1339FB97BD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11-48CE-B024-1B1339FB97BD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6E11-48CE-B024-1B1339FB97BD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E11-48CE-B024-1B1339FB97BD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6E11-48CE-B024-1B1339FB97BD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6E11-48CE-B024-1B1339FB97BD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6E11-48CE-B024-1B1339FB97BD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6E11-48CE-B024-1B1339FB97BD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6E11-48CE-B024-1B1339FB97BD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6E11-48CE-B024-1B1339FB97BD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6E11-48CE-B024-1B1339FB97BD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6E11-48CE-B024-1B1339FB97BD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6E11-48CE-B024-1B1339FB97BD}"/>
            </c:ext>
          </c:extLst>
        </c:ser>
        <c:bandFmts/>
        <c:axId val="104016448"/>
        <c:axId val="104015488"/>
        <c:axId val="23851520"/>
      </c:surface3DChart>
      <c:catAx>
        <c:axId val="104016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  <c:auto val="1"/>
        <c:lblAlgn val="ctr"/>
        <c:lblOffset val="100"/>
        <c:noMultiLvlLbl val="0"/>
      </c:catAx>
      <c:valAx>
        <c:axId val="1040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6448"/>
        <c:crosses val="autoZero"/>
        <c:crossBetween val="midCat"/>
      </c:valAx>
      <c:serAx>
        <c:axId val="2385152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layout>
            <c:manualLayout>
              <c:xMode val="edge"/>
              <c:yMode val="edge"/>
              <c:x val="0.86462936065030704"/>
              <c:y val="0.5167249082277229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7%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'q=0.07'!$F$23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0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'q=0.07'!$F$24:$F$40</c:f>
              <c:numCache>
                <c:formatCode>General</c:formatCode>
                <c:ptCount val="17"/>
                <c:pt idx="0">
                  <c:v>-3.0022603158624176E-14</c:v>
                </c:pt>
                <c:pt idx="1">
                  <c:v>-4.3320049824787597E-10</c:v>
                </c:pt>
                <c:pt idx="2">
                  <c:v>-7.3569591406058785E-7</c:v>
                </c:pt>
                <c:pt idx="3">
                  <c:v>-2.1716621262563672E-4</c:v>
                </c:pt>
                <c:pt idx="4">
                  <c:v>-1.506624838192349E-2</c:v>
                </c:pt>
                <c:pt idx="5">
                  <c:v>-0.31115522834829035</c:v>
                </c:pt>
                <c:pt idx="6">
                  <c:v>-2.3029614387229378</c:v>
                </c:pt>
                <c:pt idx="7">
                  <c:v>-7.0344110027168796</c:v>
                </c:pt>
                <c:pt idx="8">
                  <c:v>-9.6524373960857908</c:v>
                </c:pt>
                <c:pt idx="9">
                  <c:v>-5.4264324466088141</c:v>
                </c:pt>
                <c:pt idx="10">
                  <c:v>1.3000754084660899</c:v>
                </c:pt>
                <c:pt idx="11">
                  <c:v>5.445498497147522</c:v>
                </c:pt>
                <c:pt idx="12">
                  <c:v>7.0409081880682249</c:v>
                </c:pt>
                <c:pt idx="13">
                  <c:v>7.6472941990383996</c:v>
                </c:pt>
                <c:pt idx="14">
                  <c:v>8.0314786955912769</c:v>
                </c:pt>
                <c:pt idx="15">
                  <c:v>8.3827750097751821</c:v>
                </c:pt>
                <c:pt idx="16">
                  <c:v>8.7306209220409556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1-4054-A7ED-DB6033406447}"/>
            </c:ext>
          </c:extLst>
        </c:ser>
        <c:ser>
          <c:idx val="1"/>
          <c:order val="1"/>
          <c:tx>
            <c:strRef>
              <c:f>'q=0.07'!$G$23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9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'q=0.07'!$G$24:$G$40</c:f>
              <c:numCache>
                <c:formatCode>General</c:formatCode>
                <c:ptCount val="17"/>
                <c:pt idx="0">
                  <c:v>-2.4887168539287262E-7</c:v>
                </c:pt>
                <c:pt idx="1">
                  <c:v>-3.2192184728108338E-5</c:v>
                </c:pt>
                <c:pt idx="2">
                  <c:v>-1.4177757096347035E-3</c:v>
                </c:pt>
                <c:pt idx="3">
                  <c:v>-2.5836069322636872E-2</c:v>
                </c:pt>
                <c:pt idx="4">
                  <c:v>-0.22639110394402395</c:v>
                </c:pt>
                <c:pt idx="5">
                  <c:v>-1.0717690606803219</c:v>
                </c:pt>
                <c:pt idx="6">
                  <c:v>-2.9968661625511941</c:v>
                </c:pt>
                <c:pt idx="7">
                  <c:v>-5.2710482796360036</c:v>
                </c:pt>
                <c:pt idx="8">
                  <c:v>-5.9859940732904855</c:v>
                </c:pt>
                <c:pt idx="9">
                  <c:v>-4.0702856243746517</c:v>
                </c:pt>
                <c:pt idx="10">
                  <c:v>-0.4789015604180662</c:v>
                </c:pt>
                <c:pt idx="11">
                  <c:v>3.0429941186588092</c:v>
                </c:pt>
                <c:pt idx="12">
                  <c:v>5.5202791333129166</c:v>
                </c:pt>
                <c:pt idx="13">
                  <c:v>6.9576348461900031</c:v>
                </c:pt>
                <c:pt idx="14">
                  <c:v>7.7539653432111191</c:v>
                </c:pt>
                <c:pt idx="15">
                  <c:v>8.2549180904866866</c:v>
                </c:pt>
                <c:pt idx="16">
                  <c:v>8.6462477331401359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71-4054-A7ED-DB6033406447}"/>
            </c:ext>
          </c:extLst>
        </c:ser>
        <c:ser>
          <c:idx val="2"/>
          <c:order val="2"/>
          <c:tx>
            <c:strRef>
              <c:f>'q=0.07'!$H$23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58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'q=0.07'!$H$24:$H$40</c:f>
              <c:numCache>
                <c:formatCode>General</c:formatCode>
                <c:ptCount val="17"/>
                <c:pt idx="0">
                  <c:v>-4.5206628721331535E-5</c:v>
                </c:pt>
                <c:pt idx="1">
                  <c:v>-1.211857034076924E-3</c:v>
                </c:pt>
                <c:pt idx="2">
                  <c:v>-1.5751376479826849E-2</c:v>
                </c:pt>
                <c:pt idx="3">
                  <c:v>-0.11303045945511106</c:v>
                </c:pt>
                <c:pt idx="4">
                  <c:v>-0.49466046415162002</c:v>
                </c:pt>
                <c:pt idx="5">
                  <c:v>-1.4248750321736114</c:v>
                </c:pt>
                <c:pt idx="6">
                  <c:v>-2.8591637441796447</c:v>
                </c:pt>
                <c:pt idx="7">
                  <c:v>-4.1463179215100165</c:v>
                </c:pt>
                <c:pt idx="8">
                  <c:v>-4.3758526771260389</c:v>
                </c:pt>
                <c:pt idx="9">
                  <c:v>-3.1244193991656148</c:v>
                </c:pt>
                <c:pt idx="10">
                  <c:v>-0.76496965393053884</c:v>
                </c:pt>
                <c:pt idx="11">
                  <c:v>1.9109616151549984</c:v>
                </c:pt>
                <c:pt idx="12">
                  <c:v>4.2479141522561505</c:v>
                </c:pt>
                <c:pt idx="13">
                  <c:v>5.9775396105205107</c:v>
                </c:pt>
                <c:pt idx="14">
                  <c:v>7.142817925624696</c:v>
                </c:pt>
                <c:pt idx="15">
                  <c:v>7.9139132498317339</c:v>
                </c:pt>
                <c:pt idx="16">
                  <c:v>8.456626229494244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71-4054-A7ED-DB6033406447}"/>
            </c:ext>
          </c:extLst>
        </c:ser>
        <c:ser>
          <c:idx val="3"/>
          <c:order val="3"/>
          <c:tx>
            <c:strRef>
              <c:f>'q=0.07'!$I$23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8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'q=0.07'!$I$24:$I$40</c:f>
              <c:numCache>
                <c:formatCode>General</c:formatCode>
                <c:ptCount val="17"/>
                <c:pt idx="0">
                  <c:v>-5.7497735861117326E-4</c:v>
                </c:pt>
                <c:pt idx="1">
                  <c:v>-7.005025674763056E-3</c:v>
                </c:pt>
                <c:pt idx="2">
                  <c:v>-4.9363552235808454E-2</c:v>
                </c:pt>
                <c:pt idx="3">
                  <c:v>-0.22174213519895841</c:v>
                </c:pt>
                <c:pt idx="4">
                  <c:v>-0.68374651151952692</c:v>
                </c:pt>
                <c:pt idx="5">
                  <c:v>-1.5306355153690088</c:v>
                </c:pt>
                <c:pt idx="6">
                  <c:v>-2.5899986099198369</c:v>
                </c:pt>
                <c:pt idx="7">
                  <c:v>-3.3913490239274582</c:v>
                </c:pt>
                <c:pt idx="8">
                  <c:v>-3.4257449997109206</c:v>
                </c:pt>
                <c:pt idx="9">
                  <c:v>-2.4780989505760251</c:v>
                </c:pt>
                <c:pt idx="10">
                  <c:v>-0.7366480513773821</c:v>
                </c:pt>
                <c:pt idx="11">
                  <c:v>1.3678309975708682</c:v>
                </c:pt>
                <c:pt idx="12">
                  <c:v>3.411062542629252</c:v>
                </c:pt>
                <c:pt idx="13">
                  <c:v>5.1324129053543022</c:v>
                </c:pt>
                <c:pt idx="14">
                  <c:v>6.4549738114617705</c:v>
                </c:pt>
                <c:pt idx="15">
                  <c:v>7.4239888528288303</c:v>
                </c:pt>
                <c:pt idx="16">
                  <c:v>8.132934322844509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71-4054-A7ED-DB6033406447}"/>
            </c:ext>
          </c:extLst>
        </c:ser>
        <c:ser>
          <c:idx val="4"/>
          <c:order val="4"/>
          <c:tx>
            <c:strRef>
              <c:f>'q=0.07'!$J$23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'q=0.07'!$J$24:$J$40</c:f>
              <c:numCache>
                <c:formatCode>General</c:formatCode>
                <c:ptCount val="17"/>
                <c:pt idx="0">
                  <c:v>-2.5469976687150981E-3</c:v>
                </c:pt>
                <c:pt idx="1">
                  <c:v>-1.9308161436483947E-2</c:v>
                </c:pt>
                <c:pt idx="2">
                  <c:v>-9.4093261204088605E-2</c:v>
                </c:pt>
                <c:pt idx="3">
                  <c:v>-0.31853075200710301</c:v>
                </c:pt>
                <c:pt idx="4">
                  <c:v>-0.79433936598559285</c:v>
                </c:pt>
                <c:pt idx="5">
                  <c:v>-1.5244842503411808</c:v>
                </c:pt>
                <c:pt idx="6">
                  <c:v>-2.321079787629218</c:v>
                </c:pt>
                <c:pt idx="7">
                  <c:v>-2.846571300675925</c:v>
                </c:pt>
                <c:pt idx="8">
                  <c:v>-2.7846978726410665</c:v>
                </c:pt>
                <c:pt idx="9">
                  <c:v>-2.009288221059399</c:v>
                </c:pt>
                <c:pt idx="10">
                  <c:v>-0.6302626556300126</c:v>
                </c:pt>
                <c:pt idx="11">
                  <c:v>1.0891075584319001</c:v>
                </c:pt>
                <c:pt idx="12">
                  <c:v>2.8625673246224252</c:v>
                </c:pt>
                <c:pt idx="13">
                  <c:v>4.4777377480187024</c:v>
                </c:pt>
                <c:pt idx="14">
                  <c:v>5.8290703353832418</c:v>
                </c:pt>
                <c:pt idx="15">
                  <c:v>6.9013059546401756</c:v>
                </c:pt>
                <c:pt idx="16">
                  <c:v>7.7329953649973024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71-4054-A7ED-DB6033406447}"/>
            </c:ext>
          </c:extLst>
        </c:ser>
        <c:ser>
          <c:idx val="5"/>
          <c:order val="5"/>
          <c:tx>
            <c:strRef>
              <c:f>'q=0.07'!$K$23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86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'q=0.07'!$K$24:$K$40</c:f>
              <c:numCache>
                <c:formatCode>General</c:formatCode>
                <c:ptCount val="17"/>
                <c:pt idx="0">
                  <c:v>-6.6875320438903535E-3</c:v>
                </c:pt>
                <c:pt idx="1">
                  <c:v>-3.6912342258265188E-2</c:v>
                </c:pt>
                <c:pt idx="2">
                  <c:v>-0.14050160403803519</c:v>
                </c:pt>
                <c:pt idx="3">
                  <c:v>-0.39332636036995861</c:v>
                </c:pt>
                <c:pt idx="4">
                  <c:v>-0.84995783962402283</c:v>
                </c:pt>
                <c:pt idx="5">
                  <c:v>-1.4690124189669946</c:v>
                </c:pt>
                <c:pt idx="6">
                  <c:v>-2.0790832940128201</c:v>
                </c:pt>
                <c:pt idx="7">
                  <c:v>-2.4323985615830033</c:v>
                </c:pt>
                <c:pt idx="8">
                  <c:v>-2.3173352268215073</c:v>
                </c:pt>
                <c:pt idx="9">
                  <c:v>-1.652653701275796</c:v>
                </c:pt>
                <c:pt idx="10">
                  <c:v>-0.50887721924986629</c:v>
                </c:pt>
                <c:pt idx="11">
                  <c:v>0.93983307658369508</c:v>
                </c:pt>
                <c:pt idx="12">
                  <c:v>2.4915620802051039</c:v>
                </c:pt>
                <c:pt idx="13">
                  <c:v>3.9787333299073837</c:v>
                </c:pt>
                <c:pt idx="14">
                  <c:v>5.2974330268770684</c:v>
                </c:pt>
                <c:pt idx="15">
                  <c:v>6.4069573660144226</c:v>
                </c:pt>
                <c:pt idx="16">
                  <c:v>7.3128044221294672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71-4054-A7ED-DB6033406447}"/>
            </c:ext>
          </c:extLst>
        </c:ser>
        <c:ser>
          <c:idx val="6"/>
          <c:order val="6"/>
          <c:tx>
            <c:strRef>
              <c:f>'q=0.07'!$L$23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6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'q=0.07'!$L$24:$L$40</c:f>
              <c:numCache>
                <c:formatCode>General</c:formatCode>
                <c:ptCount val="17"/>
                <c:pt idx="0">
                  <c:v>-1.3055280985200488E-2</c:v>
                </c:pt>
                <c:pt idx="1">
                  <c:v>-5.7397236294228292E-2</c:v>
                </c:pt>
                <c:pt idx="2">
                  <c:v>-0.18294478636389294</c:v>
                </c:pt>
                <c:pt idx="3">
                  <c:v>-0.44661639946674286</c:v>
                </c:pt>
                <c:pt idx="4">
                  <c:v>-0.87000952165428447</c:v>
                </c:pt>
                <c:pt idx="5">
                  <c:v>-1.3928303636232684</c:v>
                </c:pt>
                <c:pt idx="6">
                  <c:v>-1.8668775557059536</c:v>
                </c:pt>
                <c:pt idx="7">
                  <c:v>-2.1054062333461361</c:v>
                </c:pt>
                <c:pt idx="8">
                  <c:v>-1.9589127364445296</c:v>
                </c:pt>
                <c:pt idx="9">
                  <c:v>-1.3715568594303118</c:v>
                </c:pt>
                <c:pt idx="10">
                  <c:v>-0.39166326395085971</c:v>
                </c:pt>
                <c:pt idx="11">
                  <c:v>0.85876294217826654</c:v>
                </c:pt>
                <c:pt idx="12">
                  <c:v>2.2317520172035028</c:v>
                </c:pt>
                <c:pt idx="13">
                  <c:v>3.5949402365481826</c:v>
                </c:pt>
                <c:pt idx="14">
                  <c:v>4.8549836353989875</c:v>
                </c:pt>
                <c:pt idx="15">
                  <c:v>5.9625251982060536</c:v>
                </c:pt>
                <c:pt idx="16">
                  <c:v>6.9049193028400069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71-4054-A7ED-DB6033406447}"/>
            </c:ext>
          </c:extLst>
        </c:ser>
        <c:ser>
          <c:idx val="7"/>
          <c:order val="7"/>
          <c:tx>
            <c:strRef>
              <c:f>'q=0.07'!$M$23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'q=0.07'!$M$24:$M$40</c:f>
              <c:numCache>
                <c:formatCode>General</c:formatCode>
                <c:ptCount val="17"/>
                <c:pt idx="0">
                  <c:v>-2.1209489049230895E-2</c:v>
                </c:pt>
                <c:pt idx="1">
                  <c:v>-7.8563297989577674E-2</c:v>
                </c:pt>
                <c:pt idx="2">
                  <c:v>-0.219012641025501</c:v>
                </c:pt>
                <c:pt idx="3">
                  <c:v>-0.48200558256714643</c:v>
                </c:pt>
                <c:pt idx="4">
                  <c:v>-0.86759877069908808</c:v>
                </c:pt>
                <c:pt idx="5">
                  <c:v>-1.3094598872932273</c:v>
                </c:pt>
                <c:pt idx="6">
                  <c:v>-1.6816261809317601</c:v>
                </c:pt>
                <c:pt idx="7">
                  <c:v>-1.8398544777613717</c:v>
                </c:pt>
                <c:pt idx="8">
                  <c:v>-1.6740619891087012</c:v>
                </c:pt>
                <c:pt idx="9">
                  <c:v>-1.1439649401393051</c:v>
                </c:pt>
                <c:pt idx="10">
                  <c:v>-0.28432596608174876</c:v>
                </c:pt>
                <c:pt idx="11">
                  <c:v>0.8156058881963002</c:v>
                </c:pt>
                <c:pt idx="12">
                  <c:v>2.0439068016873607</c:v>
                </c:pt>
                <c:pt idx="13">
                  <c:v>3.294916247108584</c:v>
                </c:pt>
                <c:pt idx="14">
                  <c:v>4.4874613425937664</c:v>
                </c:pt>
                <c:pt idx="15">
                  <c:v>5.5712386930413338</c:v>
                </c:pt>
                <c:pt idx="16">
                  <c:v>6.5243714736823444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71-4054-A7ED-DB6033406447}"/>
            </c:ext>
          </c:extLst>
        </c:ser>
        <c:ser>
          <c:idx val="8"/>
          <c:order val="8"/>
          <c:tx>
            <c:strRef>
              <c:f>'q=0.07'!$N$23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86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'q=0.07'!$N$24:$N$40</c:f>
              <c:numCache>
                <c:formatCode>General</c:formatCode>
                <c:ptCount val="17"/>
                <c:pt idx="0">
                  <c:v>-3.0516631641289232E-2</c:v>
                </c:pt>
                <c:pt idx="1">
                  <c:v>-9.8871775767291267E-2</c:v>
                </c:pt>
                <c:pt idx="2">
                  <c:v>-0.24816921244485252</c:v>
                </c:pt>
                <c:pt idx="3">
                  <c:v>-0.50340884327197044</c:v>
                </c:pt>
                <c:pt idx="4">
                  <c:v>-0.85118325372382997</c:v>
                </c:pt>
                <c:pt idx="5">
                  <c:v>-1.2254445114678099</c:v>
                </c:pt>
                <c:pt idx="6">
                  <c:v>-1.5194808636716552</c:v>
                </c:pt>
                <c:pt idx="7">
                  <c:v>-1.6194512889025519</c:v>
                </c:pt>
                <c:pt idx="8">
                  <c:v>-1.4416155880395145</c:v>
                </c:pt>
                <c:pt idx="9">
                  <c:v>-0.95580946472341788</c:v>
                </c:pt>
                <c:pt idx="10">
                  <c:v>-0.18799144011540125</c:v>
                </c:pt>
                <c:pt idx="11">
                  <c:v>0.79430476313098897</c:v>
                </c:pt>
                <c:pt idx="12">
                  <c:v>1.9041723764514575</c:v>
                </c:pt>
                <c:pt idx="13">
                  <c:v>3.0561624497993822</c:v>
                </c:pt>
                <c:pt idx="14">
                  <c:v>4.1804579109998175</c:v>
                </c:pt>
                <c:pt idx="15">
                  <c:v>5.2291785175212908</c:v>
                </c:pt>
                <c:pt idx="16">
                  <c:v>6.1763144225607487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71-4054-A7ED-DB6033406447}"/>
            </c:ext>
          </c:extLst>
        </c:ser>
        <c:ser>
          <c:idx val="9"/>
          <c:order val="9"/>
          <c:tx>
            <c:strRef>
              <c:f>'q=0.07'!$O$23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'q=0.07'!$O$24:$O$40</c:f>
              <c:numCache>
                <c:formatCode>General</c:formatCode>
                <c:ptCount val="17"/>
                <c:pt idx="0">
                  <c:v>-4.0358788398330979E-2</c:v>
                </c:pt>
                <c:pt idx="1">
                  <c:v>-0.11741012879411633</c:v>
                </c:pt>
                <c:pt idx="2">
                  <c:v>-0.27079053655021912</c:v>
                </c:pt>
                <c:pt idx="3">
                  <c:v>-0.51420102421796965</c:v>
                </c:pt>
                <c:pt idx="4">
                  <c:v>-0.82618832372034656</c:v>
                </c:pt>
                <c:pt idx="5">
                  <c:v>-1.1439469246660821</c:v>
                </c:pt>
                <c:pt idx="6">
                  <c:v>-1.3768428555890011</c:v>
                </c:pt>
                <c:pt idx="7">
                  <c:v>-1.433336370744775</c:v>
                </c:pt>
                <c:pt idx="8">
                  <c:v>-1.2480297123500512</c:v>
                </c:pt>
                <c:pt idx="9">
                  <c:v>-0.79765776730093485</c:v>
                </c:pt>
                <c:pt idx="10">
                  <c:v>-0.1021871130264671</c:v>
                </c:pt>
                <c:pt idx="11">
                  <c:v>0.78587381292344904</c:v>
                </c:pt>
                <c:pt idx="12">
                  <c:v>1.7975503900693468</c:v>
                </c:pt>
                <c:pt idx="13">
                  <c:v>2.8628312622863481</c:v>
                </c:pt>
                <c:pt idx="14">
                  <c:v>3.9217797028267682</c:v>
                </c:pt>
                <c:pt idx="15">
                  <c:v>4.9302500208104334</c:v>
                </c:pt>
                <c:pt idx="16">
                  <c:v>5.8609518681071435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71-4054-A7ED-DB6033406447}"/>
            </c:ext>
          </c:extLst>
        </c:ser>
        <c:ser>
          <c:idx val="10"/>
          <c:order val="10"/>
          <c:tx>
            <c:strRef>
              <c:f>'q=0.07'!$P$23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7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'q=0.07'!$P$24:$P$40</c:f>
              <c:numCache>
                <c:formatCode>General</c:formatCode>
                <c:ptCount val="17"/>
                <c:pt idx="0">
                  <c:v>-0.10804606638798925</c:v>
                </c:pt>
                <c:pt idx="1">
                  <c:v>-0.19057318837365822</c:v>
                </c:pt>
                <c:pt idx="2">
                  <c:v>-0.29471250244226843</c:v>
                </c:pt>
                <c:pt idx="3">
                  <c:v>-0.40617122810515954</c:v>
                </c:pt>
                <c:pt idx="4">
                  <c:v>-0.50337002336163894</c:v>
                </c:pt>
                <c:pt idx="5">
                  <c:v>-0.56119977666660681</c:v>
                </c:pt>
                <c:pt idx="6">
                  <c:v>-0.55545985727848146</c:v>
                </c:pt>
                <c:pt idx="7">
                  <c:v>-0.46670400507512899</c:v>
                </c:pt>
                <c:pt idx="8">
                  <c:v>-0.28270653732118589</c:v>
                </c:pt>
                <c:pt idx="9">
                  <c:v>6.6985199811098184E-4</c:v>
                </c:pt>
                <c:pt idx="10">
                  <c:v>0.37998833856242697</c:v>
                </c:pt>
                <c:pt idx="11">
                  <c:v>0.8456912695188139</c:v>
                </c:pt>
                <c:pt idx="12">
                  <c:v>1.3840077158326514</c:v>
                </c:pt>
                <c:pt idx="13">
                  <c:v>1.9789075102904023</c:v>
                </c:pt>
                <c:pt idx="14">
                  <c:v>2.6138225089814413</c:v>
                </c:pt>
                <c:pt idx="15">
                  <c:v>3.2729866026047594</c:v>
                </c:pt>
                <c:pt idx="16">
                  <c:v>3.9423519748359044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71-4054-A7ED-DB6033406447}"/>
            </c:ext>
          </c:extLst>
        </c:ser>
        <c:ser>
          <c:idx val="11"/>
          <c:order val="11"/>
          <c:tx>
            <c:strRef>
              <c:f>'q=0.07'!$Q$23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58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'q=0.07'!$Q$24:$Q$40</c:f>
              <c:numCache>
                <c:formatCode>General</c:formatCode>
                <c:ptCount val="17"/>
                <c:pt idx="0">
                  <c:v>-0.1121884017986304</c:v>
                </c:pt>
                <c:pt idx="1">
                  <c:v>-0.1638255377076967</c:v>
                </c:pt>
                <c:pt idx="2">
                  <c:v>-0.21562871510674592</c:v>
                </c:pt>
                <c:pt idx="3">
                  <c:v>-0.25729674735349406</c:v>
                </c:pt>
                <c:pt idx="4">
                  <c:v>-0.2772520100476249</c:v>
                </c:pt>
                <c:pt idx="5">
                  <c:v>-0.26416692262124419</c:v>
                </c:pt>
                <c:pt idx="6">
                  <c:v>-0.2082674196554144</c:v>
                </c:pt>
                <c:pt idx="7">
                  <c:v>-0.10223115341238875</c:v>
                </c:pt>
                <c:pt idx="8">
                  <c:v>5.8367395839372893E-2</c:v>
                </c:pt>
                <c:pt idx="9">
                  <c:v>0.27501716905265239</c:v>
                </c:pt>
                <c:pt idx="10">
                  <c:v>0.54653754894994622</c:v>
                </c:pt>
                <c:pt idx="11">
                  <c:v>0.86953935064545673</c:v>
                </c:pt>
                <c:pt idx="12">
                  <c:v>1.2389767358501977</c:v>
                </c:pt>
                <c:pt idx="13">
                  <c:v>1.6487088827496796</c:v>
                </c:pt>
                <c:pt idx="14">
                  <c:v>2.0920154959169115</c:v>
                </c:pt>
                <c:pt idx="15">
                  <c:v>2.562033509212795</c:v>
                </c:pt>
                <c:pt idx="16">
                  <c:v>3.0521010328505005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71-4054-A7ED-DB6033406447}"/>
            </c:ext>
          </c:extLst>
        </c:ser>
        <c:ser>
          <c:idx val="12"/>
          <c:order val="12"/>
          <c:tx>
            <c:strRef>
              <c:f>'q=0.07'!$R$23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8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'q=0.07'!$R$24:$R$40</c:f>
              <c:numCache>
                <c:formatCode>General</c:formatCode>
                <c:ptCount val="17"/>
                <c:pt idx="0">
                  <c:v>-9.288613127358783E-2</c:v>
                </c:pt>
                <c:pt idx="1">
                  <c:v>-0.1205524131528804</c:v>
                </c:pt>
                <c:pt idx="2">
                  <c:v>-0.14163549318656082</c:v>
                </c:pt>
                <c:pt idx="3">
                  <c:v>-0.14951909497735061</c:v>
                </c:pt>
                <c:pt idx="4">
                  <c:v>-0.13757638440817543</c:v>
                </c:pt>
                <c:pt idx="5">
                  <c:v>-9.9803743291167923E-2</c:v>
                </c:pt>
                <c:pt idx="6">
                  <c:v>-3.1282121615843872E-2</c:v>
                </c:pt>
                <c:pt idx="7">
                  <c:v>7.1553774251506441E-2</c:v>
                </c:pt>
                <c:pt idx="8">
                  <c:v>0.21082221350955321</c:v>
                </c:pt>
                <c:pt idx="9">
                  <c:v>0.38724154178027992</c:v>
                </c:pt>
                <c:pt idx="10">
                  <c:v>0.60027576768322666</c:v>
                </c:pt>
                <c:pt idx="11">
                  <c:v>0.84833884462890374</c:v>
                </c:pt>
                <c:pt idx="12">
                  <c:v>1.1290244223776735</c:v>
                </c:pt>
                <c:pt idx="13">
                  <c:v>1.4393360177044543</c:v>
                </c:pt>
                <c:pt idx="14">
                  <c:v>1.7759005479093388</c:v>
                </c:pt>
                <c:pt idx="15">
                  <c:v>2.135155042484302</c:v>
                </c:pt>
                <c:pt idx="16">
                  <c:v>2.5135017377445408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71-4054-A7ED-DB6033406447}"/>
            </c:ext>
          </c:extLst>
        </c:ser>
        <c:ser>
          <c:idx val="13"/>
          <c:order val="13"/>
          <c:tx>
            <c:strRef>
              <c:f>'q=0.07'!$S$23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39000"/>
                  <a:shade val="95000"/>
                </a:schemeClr>
              </a:contourClr>
            </a:sp3d>
          </c:spPr>
          <c:cat>
            <c:numRef>
              <c:f>'q=0.07'!$E$24:$E$40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'q=0.07'!$S$24:$S$40</c:f>
              <c:numCache>
                <c:formatCode>General</c:formatCode>
                <c:ptCount val="17"/>
                <c:pt idx="0">
                  <c:v>-6.9524650760805162E-2</c:v>
                </c:pt>
                <c:pt idx="1">
                  <c:v>-8.1514135319366354E-2</c:v>
                </c:pt>
                <c:pt idx="2">
                  <c:v>-8.509849800574909E-2</c:v>
                </c:pt>
                <c:pt idx="3">
                  <c:v>-7.5931503790695243E-2</c:v>
                </c:pt>
                <c:pt idx="4">
                  <c:v>-4.9923436954850575E-2</c:v>
                </c:pt>
                <c:pt idx="5">
                  <c:v>-3.5264063650960464E-3</c:v>
                </c:pt>
                <c:pt idx="6">
                  <c:v>6.6081974890624728E-2</c:v>
                </c:pt>
                <c:pt idx="7">
                  <c:v>0.1609099319944991</c:v>
                </c:pt>
                <c:pt idx="8">
                  <c:v>0.28214130881515742</c:v>
                </c:pt>
                <c:pt idx="9">
                  <c:v>0.4301836043004359</c:v>
                </c:pt>
                <c:pt idx="10">
                  <c:v>0.60475457486619422</c:v>
                </c:pt>
                <c:pt idx="11">
                  <c:v>0.80499041245659986</c:v>
                </c:pt>
                <c:pt idx="12">
                  <c:v>1.0295620872435396</c:v>
                </c:pt>
                <c:pt idx="13">
                  <c:v>1.2767900749043259</c:v>
                </c:pt>
                <c:pt idx="14">
                  <c:v>1.5447509230195986</c:v>
                </c:pt>
                <c:pt idx="15">
                  <c:v>1.8313717587144969</c:v>
                </c:pt>
                <c:pt idx="16">
                  <c:v>2.134510867133034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71-4054-A7ED-DB6033406447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tint val="4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4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4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4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46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tint val="6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6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6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6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62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7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9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3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shade val="9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9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9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2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6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shade val="61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61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61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61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61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</c:bandFmts>
        <c:axId val="169659744"/>
        <c:axId val="169661184"/>
        <c:axId val="271878784"/>
      </c:surface3DChart>
      <c:catAx>
        <c:axId val="16965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  <c:auto val="1"/>
        <c:lblAlgn val="ctr"/>
        <c:lblOffset val="100"/>
        <c:noMultiLvlLbl val="0"/>
      </c:catAx>
      <c:valAx>
        <c:axId val="16966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59744"/>
        <c:crosses val="autoZero"/>
        <c:crossBetween val="midCat"/>
      </c:valAx>
      <c:serAx>
        <c:axId val="2718787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8A3-4294-B8C6-799831FA7A30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8A3-4294-B8C6-799831FA7A30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8A3-4294-B8C6-799831FA7A30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68A3-4294-B8C6-799831FA7A30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8A3-4294-B8C6-799831FA7A30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68A3-4294-B8C6-799831FA7A30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68A3-4294-B8C6-799831FA7A30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68A3-4294-B8C6-799831FA7A30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68A3-4294-B8C6-799831FA7A30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68A3-4294-B8C6-799831FA7A30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68A3-4294-B8C6-799831FA7A30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68A3-4294-B8C6-799831FA7A30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68A3-4294-B8C6-799831FA7A30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68A3-4294-B8C6-799831FA7A30}"/>
            </c:ext>
          </c:extLst>
        </c:ser>
        <c:bandFmts/>
        <c:axId val="2041191616"/>
        <c:axId val="2041192096"/>
        <c:axId val="472593904"/>
      </c:surface3DChart>
      <c:catAx>
        <c:axId val="204119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  <c:auto val="1"/>
        <c:lblAlgn val="ctr"/>
        <c:lblOffset val="100"/>
        <c:noMultiLvlLbl val="0"/>
      </c:catAx>
      <c:valAx>
        <c:axId val="20411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1616"/>
        <c:crosses val="autoZero"/>
        <c:crossBetween val="midCat"/>
      </c:valAx>
      <c:serAx>
        <c:axId val="4725939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CE9-424A-8EF4-23D806FF5731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CE9-424A-8EF4-23D806FF5731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CE9-424A-8EF4-23D806FF5731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CE9-424A-8EF4-23D806FF5731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CE9-424A-8EF4-23D806FF5731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CE9-424A-8EF4-23D806FF5731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CE9-424A-8EF4-23D806FF5731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CE9-424A-8EF4-23D806FF5731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CE9-424A-8EF4-23D806FF5731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CE9-424A-8EF4-23D806FF5731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CE9-424A-8EF4-23D806FF5731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CE9-424A-8EF4-23D806FF5731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CE9-424A-8EF4-23D806FF5731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CE9-424A-8EF4-23D806FF5731}"/>
            </c:ext>
          </c:extLst>
        </c:ser>
        <c:bandFmts/>
        <c:axId val="1952532784"/>
        <c:axId val="1952529904"/>
        <c:axId val="472730992"/>
      </c:surface3DChart>
      <c:catAx>
        <c:axId val="1952532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  <c:auto val="1"/>
        <c:lblAlgn val="ctr"/>
        <c:lblOffset val="100"/>
        <c:noMultiLvlLbl val="0"/>
      </c:catAx>
      <c:valAx>
        <c:axId val="19525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32784"/>
        <c:crosses val="autoZero"/>
        <c:crossBetween val="midCat"/>
      </c:valAx>
      <c:serAx>
        <c:axId val="472730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7%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58092738407698"/>
          <c:y val="0.17171296296296298"/>
          <c:w val="0.83046762904636917"/>
          <c:h val="0.60250765529308836"/>
        </c:manualLayout>
      </c:layout>
      <c:surface3DChart>
        <c:wireframe val="0"/>
        <c:ser>
          <c:idx val="0"/>
          <c:order val="0"/>
          <c:tx>
            <c:strRef>
              <c:f>'q=0.07'!$F$43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39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'q=0.07'!$F$44:$F$60</c:f>
              <c:numCache>
                <c:formatCode>General</c:formatCode>
                <c:ptCount val="17"/>
                <c:pt idx="0">
                  <c:v>4.2679387854300681E-16</c:v>
                </c:pt>
                <c:pt idx="1">
                  <c:v>5.2693275565121041E-12</c:v>
                </c:pt>
                <c:pt idx="2">
                  <c:v>7.7582797077441961E-9</c:v>
                </c:pt>
                <c:pt idx="3">
                  <c:v>2.0097502214900183E-6</c:v>
                </c:pt>
                <c:pt idx="4">
                  <c:v>1.2384140264722014E-4</c:v>
                </c:pt>
                <c:pt idx="5">
                  <c:v>2.302111425903022E-3</c:v>
                </c:pt>
                <c:pt idx="6">
                  <c:v>1.5607822583925013E-2</c:v>
                </c:pt>
                <c:pt idx="7">
                  <c:v>4.4992767857629887E-2</c:v>
                </c:pt>
                <c:pt idx="8">
                  <c:v>6.2513155257926015E-2</c:v>
                </c:pt>
                <c:pt idx="9">
                  <c:v>4.6424020281358183E-2</c:v>
                </c:pt>
                <c:pt idx="10">
                  <c:v>2.0082990678966975E-2</c:v>
                </c:pt>
                <c:pt idx="11">
                  <c:v>5.4395805420861679E-3</c:v>
                </c:pt>
                <c:pt idx="12">
                  <c:v>9.8042734087178877E-4</c:v>
                </c:pt>
                <c:pt idx="13">
                  <c:v>1.2384140264721992E-4</c:v>
                </c:pt>
                <c:pt idx="14">
                  <c:v>1.1458781611444341E-5</c:v>
                </c:pt>
                <c:pt idx="15">
                  <c:v>8.0677254456438015E-7</c:v>
                </c:pt>
                <c:pt idx="16">
                  <c:v>4.4665072688808549E-8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D-4833-A6B6-7A6208D12508}"/>
            </c:ext>
          </c:extLst>
        </c:ser>
        <c:ser>
          <c:idx val="1"/>
          <c:order val="1"/>
          <c:tx>
            <c:strRef>
              <c:f>'q=0.07'!$G$43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8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'q=0.07'!$G$44:$G$60</c:f>
              <c:numCache>
                <c:formatCode>General</c:formatCode>
                <c:ptCount val="17"/>
                <c:pt idx="0">
                  <c:v>3.6196881217381263E-9</c:v>
                </c:pt>
                <c:pt idx="1">
                  <c:v>4.0219777151505284E-7</c:v>
                </c:pt>
                <c:pt idx="2">
                  <c:v>1.5432801785960854E-5</c:v>
                </c:pt>
                <c:pt idx="3">
                  <c:v>2.4838942626650171E-4</c:v>
                </c:pt>
                <c:pt idx="4">
                  <c:v>1.9498221194515128E-3</c:v>
                </c:pt>
                <c:pt idx="5">
                  <c:v>8.4066938517936562E-3</c:v>
                </c:pt>
                <c:pt idx="6">
                  <c:v>2.1889367950163083E-2</c:v>
                </c:pt>
                <c:pt idx="7">
                  <c:v>3.7164938387645417E-2</c:v>
                </c:pt>
                <c:pt idx="8">
                  <c:v>4.3807429594398664E-2</c:v>
                </c:pt>
                <c:pt idx="9">
                  <c:v>3.7751432460949322E-2</c:v>
                </c:pt>
                <c:pt idx="10">
                  <c:v>2.4829973444941301E-2</c:v>
                </c:pt>
                <c:pt idx="11">
                  <c:v>1.2922447235248338E-2</c:v>
                </c:pt>
                <c:pt idx="12">
                  <c:v>5.4861764130630045E-3</c:v>
                </c:pt>
                <c:pt idx="13">
                  <c:v>1.9498221194515107E-3</c:v>
                </c:pt>
                <c:pt idx="14">
                  <c:v>5.9310458718955545E-4</c:v>
                </c:pt>
                <c:pt idx="15">
                  <c:v>1.5737567898751063E-4</c:v>
                </c:pt>
                <c:pt idx="16">
                  <c:v>3.7029349627160442E-5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D-4833-A6B6-7A6208D12508}"/>
            </c:ext>
          </c:extLst>
        </c:ser>
        <c:ser>
          <c:idx val="2"/>
          <c:order val="2"/>
          <c:tx>
            <c:strRef>
              <c:f>'q=0.07'!$H$43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58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'q=0.07'!$H$44:$H$60</c:f>
              <c:numCache>
                <c:formatCode>General</c:formatCode>
                <c:ptCount val="17"/>
                <c:pt idx="0">
                  <c:v>6.7247438398438575E-7</c:v>
                </c:pt>
                <c:pt idx="1">
                  <c:v>1.5542519371053968E-5</c:v>
                </c:pt>
                <c:pt idx="2">
                  <c:v>1.7681733050734416E-4</c:v>
                </c:pt>
                <c:pt idx="3">
                  <c:v>1.1271551860803086E-3</c:v>
                </c:pt>
                <c:pt idx="4">
                  <c:v>4.4520322938562925E-3</c:v>
                </c:pt>
                <c:pt idx="5">
                  <c:v>1.1793565732419457E-2</c:v>
                </c:pt>
                <c:pt idx="6">
                  <c:v>2.2321178736631416E-2</c:v>
                </c:pt>
                <c:pt idx="7">
                  <c:v>3.1767564628171402E-2</c:v>
                </c:pt>
                <c:pt idx="8">
                  <c:v>3.5448143227552409E-2</c:v>
                </c:pt>
                <c:pt idx="9">
                  <c:v>3.2100904353106884E-2</c:v>
                </c:pt>
                <c:pt idx="10">
                  <c:v>2.427797616663005E-2</c:v>
                </c:pt>
                <c:pt idx="11">
                  <c:v>1.5708142136849786E-2</c:v>
                </c:pt>
                <c:pt idx="12">
                  <c:v>8.8730887027250738E-3</c:v>
                </c:pt>
                <c:pt idx="13">
                  <c:v>4.452032293856289E-3</c:v>
                </c:pt>
                <c:pt idx="14">
                  <c:v>2.0136431048894347E-3</c:v>
                </c:pt>
                <c:pt idx="15">
                  <c:v>8.3148302731358189E-4</c:v>
                </c:pt>
                <c:pt idx="16">
                  <c:v>3.1690252548175363E-4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FD-4833-A6B6-7A6208D12508}"/>
            </c:ext>
          </c:extLst>
        </c:ser>
        <c:ser>
          <c:idx val="3"/>
          <c:order val="3"/>
          <c:tx>
            <c:strRef>
              <c:f>'q=0.07'!$I$43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7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'q=0.07'!$I$44:$I$60</c:f>
              <c:numCache>
                <c:formatCode>General</c:formatCode>
                <c:ptCount val="17"/>
                <c:pt idx="0">
                  <c:v>8.7453493646985242E-6</c:v>
                </c:pt>
                <c:pt idx="1">
                  <c:v>9.2185245646654018E-5</c:v>
                </c:pt>
                <c:pt idx="2">
                  <c:v>5.7103664163671113E-4</c:v>
                </c:pt>
                <c:pt idx="3">
                  <c:v>2.2909105883034383E-3</c:v>
                </c:pt>
                <c:pt idx="4">
                  <c:v>6.4185818505675873E-3</c:v>
                </c:pt>
                <c:pt idx="5">
                  <c:v>1.3327669154187396E-2</c:v>
                </c:pt>
                <c:pt idx="6">
                  <c:v>2.1505928526586327E-2</c:v>
                </c:pt>
                <c:pt idx="7">
                  <c:v>2.8022591499557974E-2</c:v>
                </c:pt>
                <c:pt idx="8">
                  <c:v>3.0423941206729244E-2</c:v>
                </c:pt>
                <c:pt idx="9">
                  <c:v>2.8242836053903507E-2</c:v>
                </c:pt>
                <c:pt idx="10">
                  <c:v>2.2904969344517023E-2</c:v>
                </c:pt>
                <c:pt idx="11">
                  <c:v>1.6523953763617861E-2</c:v>
                </c:pt>
                <c:pt idx="12">
                  <c:v>1.0766547769485683E-2</c:v>
                </c:pt>
                <c:pt idx="13">
                  <c:v>6.4185818505675838E-3</c:v>
                </c:pt>
                <c:pt idx="14">
                  <c:v>3.5400323339443867E-3</c:v>
                </c:pt>
                <c:pt idx="15">
                  <c:v>1.8235194323921559E-3</c:v>
                </c:pt>
                <c:pt idx="16">
                  <c:v>8.8453420030946744E-4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FD-4833-A6B6-7A6208D12508}"/>
            </c:ext>
          </c:extLst>
        </c:ser>
        <c:ser>
          <c:idx val="4"/>
          <c:order val="4"/>
          <c:tx>
            <c:strRef>
              <c:f>'q=0.07'!$J$43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'q=0.07'!$J$44:$J$60</c:f>
              <c:numCache>
                <c:formatCode>General</c:formatCode>
                <c:ptCount val="17"/>
                <c:pt idx="0">
                  <c:v>3.9600545526519086E-5</c:v>
                </c:pt>
                <c:pt idx="1">
                  <c:v>2.6062049878568315E-4</c:v>
                </c:pt>
                <c:pt idx="2">
                  <c:v>1.1210129224815458E-3</c:v>
                </c:pt>
                <c:pt idx="3">
                  <c:v>3.4063239600968685E-3</c:v>
                </c:pt>
                <c:pt idx="4">
                  <c:v>7.7665958215687335E-3</c:v>
                </c:pt>
                <c:pt idx="5">
                  <c:v>1.393422440564362E-2</c:v>
                </c:pt>
                <c:pt idx="6">
                  <c:v>2.0432711183304184E-2</c:v>
                </c:pt>
                <c:pt idx="7">
                  <c:v>2.5251435643547215E-2</c:v>
                </c:pt>
                <c:pt idx="8">
                  <c:v>2.696819105740602E-2</c:v>
                </c:pt>
                <c:pt idx="9">
                  <c:v>2.5410082892112999E-2</c:v>
                </c:pt>
                <c:pt idx="10">
                  <c:v>2.148934655256023E-2</c:v>
                </c:pt>
                <c:pt idx="11">
                  <c:v>1.6548956510190557E-2</c:v>
                </c:pt>
                <c:pt idx="12">
                  <c:v>1.1747369118475711E-2</c:v>
                </c:pt>
                <c:pt idx="13">
                  <c:v>7.7665958215687256E-3</c:v>
                </c:pt>
                <c:pt idx="14">
                  <c:v>4.8248656061929207E-3</c:v>
                </c:pt>
                <c:pt idx="15">
                  <c:v>2.8379697003143656E-3</c:v>
                </c:pt>
                <c:pt idx="16">
                  <c:v>1.5909302564253802E-3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FD-4833-A6B6-7A6208D12508}"/>
            </c:ext>
          </c:extLst>
        </c:ser>
        <c:ser>
          <c:idx val="5"/>
          <c:order val="5"/>
          <c:tx>
            <c:strRef>
              <c:f>'q=0.07'!$K$43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86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'q=0.07'!$K$44:$K$60</c:f>
              <c:numCache>
                <c:formatCode>General</c:formatCode>
                <c:ptCount val="17"/>
                <c:pt idx="0">
                  <c:v>1.0626583764918123E-4</c:v>
                </c:pt>
                <c:pt idx="1">
                  <c:v>5.1087718208675742E-4</c:v>
                </c:pt>
                <c:pt idx="2">
                  <c:v>1.7231306672672243E-3</c:v>
                </c:pt>
                <c:pt idx="3">
                  <c:v>4.350584956832439E-3</c:v>
                </c:pt>
                <c:pt idx="4">
                  <c:v>8.6463925740958968E-3</c:v>
                </c:pt>
                <c:pt idx="5">
                  <c:v>1.4072730248775023E-2</c:v>
                </c:pt>
                <c:pt idx="6">
                  <c:v>1.936040150180671E-2</c:v>
                </c:pt>
                <c:pt idx="7">
                  <c:v>2.3096584314381011E-2</c:v>
                </c:pt>
                <c:pt idx="8">
                  <c:v>2.4397905394008778E-2</c:v>
                </c:pt>
                <c:pt idx="9">
                  <c:v>2.3217445290620801E-2</c:v>
                </c:pt>
                <c:pt idx="10">
                  <c:v>2.0191195666672001E-2</c:v>
                </c:pt>
                <c:pt idx="11">
                  <c:v>1.6241203507567383E-2</c:v>
                </c:pt>
                <c:pt idx="12">
                  <c:v>1.2206557706779995E-2</c:v>
                </c:pt>
                <c:pt idx="13">
                  <c:v>8.6463925740958882E-3</c:v>
                </c:pt>
                <c:pt idx="14">
                  <c:v>5.8149642185921805E-3</c:v>
                </c:pt>
                <c:pt idx="15">
                  <c:v>3.7366506070808736E-3</c:v>
                </c:pt>
                <c:pt idx="16">
                  <c:v>2.3068462348767682E-3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FD-4833-A6B6-7A6208D12508}"/>
            </c:ext>
          </c:extLst>
        </c:ser>
        <c:ser>
          <c:idx val="6"/>
          <c:order val="6"/>
          <c:tx>
            <c:strRef>
              <c:f>'q=0.07'!$L$43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'q=0.07'!$L$44:$L$60</c:f>
              <c:numCache>
                <c:formatCode>General</c:formatCode>
                <c:ptCount val="17"/>
                <c:pt idx="0">
                  <c:v>2.1197832872725409E-4</c:v>
                </c:pt>
                <c:pt idx="1">
                  <c:v>8.1432309425627449E-4</c:v>
                </c:pt>
                <c:pt idx="2">
                  <c:v>2.3087113740841627E-3</c:v>
                </c:pt>
                <c:pt idx="3">
                  <c:v>5.1066693137959756E-3</c:v>
                </c:pt>
                <c:pt idx="4">
                  <c:v>9.2005239671762145E-3</c:v>
                </c:pt>
                <c:pt idx="5">
                  <c:v>1.3968040527275556E-2</c:v>
                </c:pt>
                <c:pt idx="6">
                  <c:v>1.8360336071185923E-2</c:v>
                </c:pt>
                <c:pt idx="7">
                  <c:v>2.1358285942706459E-2</c:v>
                </c:pt>
                <c:pt idx="8">
                  <c:v>2.2385690643864493E-2</c:v>
                </c:pt>
                <c:pt idx="9">
                  <c:v>2.1454048538697659E-2</c:v>
                </c:pt>
                <c:pt idx="10">
                  <c:v>1.9033624318792599E-2</c:v>
                </c:pt>
                <c:pt idx="11">
                  <c:v>1.5793701484403816E-2</c:v>
                </c:pt>
                <c:pt idx="12">
                  <c:v>1.2364506370021929E-2</c:v>
                </c:pt>
                <c:pt idx="13">
                  <c:v>9.200523967176211E-3</c:v>
                </c:pt>
                <c:pt idx="14">
                  <c:v>6.5484303899484599E-3</c:v>
                </c:pt>
                <c:pt idx="15">
                  <c:v>4.4823983909751718E-3</c:v>
                </c:pt>
                <c:pt idx="16">
                  <c:v>2.9646267003904823E-3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FD-4833-A6B6-7A6208D12508}"/>
            </c:ext>
          </c:extLst>
        </c:ser>
        <c:ser>
          <c:idx val="7"/>
          <c:order val="7"/>
          <c:tx>
            <c:strRef>
              <c:f>'q=0.07'!$M$43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6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'q=0.07'!$M$44:$M$60</c:f>
              <c:numCache>
                <c:formatCode>General</c:formatCode>
                <c:ptCount val="17"/>
                <c:pt idx="0">
                  <c:v>3.5184122103913012E-4</c:v>
                </c:pt>
                <c:pt idx="1">
                  <c:v>1.1423228024407578E-3</c:v>
                </c:pt>
                <c:pt idx="2">
                  <c:v>2.8430868434200815E-3</c:v>
                </c:pt>
                <c:pt idx="3">
                  <c:v>5.694586669467201E-3</c:v>
                </c:pt>
                <c:pt idx="4">
                  <c:v>9.5318605329820401E-3</c:v>
                </c:pt>
                <c:pt idx="5">
                  <c:v>1.3735207951240671E-2</c:v>
                </c:pt>
                <c:pt idx="6">
                  <c:v>1.7447661881514944E-2</c:v>
                </c:pt>
                <c:pt idx="7">
                  <c:v>1.991646628050367E-2</c:v>
                </c:pt>
                <c:pt idx="8">
                  <c:v>2.0752282650525176E-2</c:v>
                </c:pt>
                <c:pt idx="9">
                  <c:v>1.9994580183624645E-2</c:v>
                </c:pt>
                <c:pt idx="10">
                  <c:v>1.8006238357719404E-2</c:v>
                </c:pt>
                <c:pt idx="11">
                  <c:v>1.5293790012926486E-2</c:v>
                </c:pt>
                <c:pt idx="12">
                  <c:v>1.2345150057004253E-2</c:v>
                </c:pt>
                <c:pt idx="13">
                  <c:v>9.5318605329820401E-3</c:v>
                </c:pt>
                <c:pt idx="14">
                  <c:v>7.0788343852036788E-3</c:v>
                </c:pt>
                <c:pt idx="15">
                  <c:v>5.0805804797400917E-3</c:v>
                </c:pt>
                <c:pt idx="16">
                  <c:v>3.5384694640554402E-3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FD-4833-A6B6-7A6208D12508}"/>
            </c:ext>
          </c:extLst>
        </c:ser>
        <c:ser>
          <c:idx val="8"/>
          <c:order val="8"/>
          <c:tx>
            <c:strRef>
              <c:f>'q=0.07'!$N$43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86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'q=0.07'!$N$44:$N$60</c:f>
              <c:numCache>
                <c:formatCode>General</c:formatCode>
                <c:ptCount val="17"/>
                <c:pt idx="0">
                  <c:v>5.1714029685770977E-4</c:v>
                </c:pt>
                <c:pt idx="1">
                  <c:v>1.4730707439161081E-3</c:v>
                </c:pt>
                <c:pt idx="2">
                  <c:v>3.3130252180627829E-3</c:v>
                </c:pt>
                <c:pt idx="3">
                  <c:v>6.1429602204950669E-3</c:v>
                </c:pt>
                <c:pt idx="4">
                  <c:v>9.7103727288510942E-3</c:v>
                </c:pt>
                <c:pt idx="5">
                  <c:v>1.3435840588901465E-2</c:v>
                </c:pt>
                <c:pt idx="6">
                  <c:v>1.6619661478359672E-2</c:v>
                </c:pt>
                <c:pt idx="7">
                  <c:v>1.8694381701077394E-2</c:v>
                </c:pt>
                <c:pt idx="8">
                  <c:v>1.9390140787380963E-2</c:v>
                </c:pt>
                <c:pt idx="9">
                  <c:v>1.8759541559787377E-2</c:v>
                </c:pt>
                <c:pt idx="10">
                  <c:v>1.709177992035037E-2</c:v>
                </c:pt>
                <c:pt idx="11">
                  <c:v>1.4782846678321339E-2</c:v>
                </c:pt>
                <c:pt idx="12">
                  <c:v>1.2220099427496318E-2</c:v>
                </c:pt>
                <c:pt idx="13">
                  <c:v>9.7103727288510942E-3</c:v>
                </c:pt>
                <c:pt idx="14">
                  <c:v>7.4537924936839634E-3</c:v>
                </c:pt>
                <c:pt idx="15">
                  <c:v>5.5505275337142078E-3</c:v>
                </c:pt>
                <c:pt idx="16">
                  <c:v>4.0243125084557909E-3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FD-4833-A6B6-7A6208D12508}"/>
            </c:ext>
          </c:extLst>
        </c:ser>
        <c:ser>
          <c:idx val="9"/>
          <c:order val="9"/>
          <c:tx>
            <c:strRef>
              <c:f>'q=0.07'!$O$43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'q=0.07'!$O$44:$O$60</c:f>
              <c:numCache>
                <c:formatCode>General</c:formatCode>
                <c:ptCount val="17"/>
                <c:pt idx="0">
                  <c:v>6.9858337011852124E-4</c:v>
                </c:pt>
                <c:pt idx="1">
                  <c:v>1.7921400461625768E-3</c:v>
                </c:pt>
                <c:pt idx="2">
                  <c:v>3.7168323131382629E-3</c:v>
                </c:pt>
                <c:pt idx="3">
                  <c:v>6.4790395844056391E-3</c:v>
                </c:pt>
                <c:pt idx="4">
                  <c:v>9.7832468339192485E-3</c:v>
                </c:pt>
                <c:pt idx="5">
                  <c:v>1.3104156129179877E-2</c:v>
                </c:pt>
                <c:pt idx="6">
                  <c:v>1.5868309291364915E-2</c:v>
                </c:pt>
                <c:pt idx="7">
                  <c:v>1.7640492092845749E-2</c:v>
                </c:pt>
                <c:pt idx="8">
                  <c:v>1.8230289559104405E-2</c:v>
                </c:pt>
                <c:pt idx="9">
                  <c:v>1.7695820304890413E-2</c:v>
                </c:pt>
                <c:pt idx="10">
                  <c:v>1.6273436120060717E-2</c:v>
                </c:pt>
                <c:pt idx="11">
                  <c:v>1.4280814106099994E-2</c:v>
                </c:pt>
                <c:pt idx="12">
                  <c:v>1.2032003959958647E-2</c:v>
                </c:pt>
                <c:pt idx="13">
                  <c:v>9.7832468339192399E-3</c:v>
                </c:pt>
                <c:pt idx="14">
                  <c:v>7.7109922928829105E-3</c:v>
                </c:pt>
                <c:pt idx="15">
                  <c:v>5.9138667630485404E-3</c:v>
                </c:pt>
                <c:pt idx="16">
                  <c:v>4.427853356659601E-3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3FD-4833-A6B6-7A6208D12508}"/>
            </c:ext>
          </c:extLst>
        </c:ser>
        <c:ser>
          <c:idx val="10"/>
          <c:order val="10"/>
          <c:tx>
            <c:strRef>
              <c:f>'q=0.07'!$P$43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8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'q=0.07'!$P$44:$P$60</c:f>
              <c:numCache>
                <c:formatCode>General</c:formatCode>
                <c:ptCount val="17"/>
                <c:pt idx="0">
                  <c:v>2.3062394864928979E-3</c:v>
                </c:pt>
                <c:pt idx="1">
                  <c:v>3.6938670006057299E-3</c:v>
                </c:pt>
                <c:pt idx="2">
                  <c:v>5.31963416085743E-3</c:v>
                </c:pt>
                <c:pt idx="3">
                  <c:v>7.0234516791269422E-3</c:v>
                </c:pt>
                <c:pt idx="4">
                  <c:v>8.6305165103082396E-3</c:v>
                </c:pt>
                <c:pt idx="5">
                  <c:v>9.9884893664978647E-3</c:v>
                </c:pt>
                <c:pt idx="6">
                  <c:v>1.0991592285048309E-2</c:v>
                </c:pt>
                <c:pt idx="7">
                  <c:v>1.1589124545151291E-2</c:v>
                </c:pt>
                <c:pt idx="8">
                  <c:v>1.1781268818149299E-2</c:v>
                </c:pt>
                <c:pt idx="9">
                  <c:v>1.160728457009059E-2</c:v>
                </c:pt>
                <c:pt idx="10">
                  <c:v>1.1131018740087591E-2</c:v>
                </c:pt>
                <c:pt idx="11">
                  <c:v>1.0427297515573447E-2</c:v>
                </c:pt>
                <c:pt idx="12">
                  <c:v>9.5711531447017079E-3</c:v>
                </c:pt>
                <c:pt idx="13">
                  <c:v>8.6305165103082379E-3</c:v>
                </c:pt>
                <c:pt idx="14">
                  <c:v>7.6621458876330083E-3</c:v>
                </c:pt>
                <c:pt idx="15">
                  <c:v>6.7101317917249506E-3</c:v>
                </c:pt>
                <c:pt idx="16">
                  <c:v>5.806198735439836E-3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FD-4833-A6B6-7A6208D12508}"/>
            </c:ext>
          </c:extLst>
        </c:ser>
        <c:ser>
          <c:idx val="11"/>
          <c:order val="11"/>
          <c:tx>
            <c:strRef>
              <c:f>'q=0.07'!$Q$43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58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'q=0.07'!$Q$44:$Q$60</c:f>
              <c:numCache>
                <c:formatCode>General</c:formatCode>
                <c:ptCount val="17"/>
                <c:pt idx="0">
                  <c:v>2.9639314708080288E-3</c:v>
                </c:pt>
                <c:pt idx="1">
                  <c:v>4.0574457819974596E-3</c:v>
                </c:pt>
                <c:pt idx="2">
                  <c:v>5.1743174121384478E-3</c:v>
                </c:pt>
                <c:pt idx="3">
                  <c:v>6.2272880487321026E-3</c:v>
                </c:pt>
                <c:pt idx="4">
                  <c:v>7.1442462264459574E-3</c:v>
                </c:pt>
                <c:pt idx="5">
                  <c:v>7.8752635517046546E-3</c:v>
                </c:pt>
                <c:pt idx="6">
                  <c:v>8.3940643841520016E-3</c:v>
                </c:pt>
                <c:pt idx="7">
                  <c:v>8.6955884239945398E-3</c:v>
                </c:pt>
                <c:pt idx="8">
                  <c:v>8.7914383039923109E-3</c:v>
                </c:pt>
                <c:pt idx="9">
                  <c:v>8.7046699779777491E-3</c:v>
                </c:pt>
                <c:pt idx="10">
                  <c:v>8.4648999929187972E-3</c:v>
                </c:pt>
                <c:pt idx="11">
                  <c:v>8.1042544050937814E-3</c:v>
                </c:pt>
                <c:pt idx="12">
                  <c:v>7.6543455776363397E-3</c:v>
                </c:pt>
                <c:pt idx="13">
                  <c:v>7.1442462264459557E-3</c:v>
                </c:pt>
                <c:pt idx="14">
                  <c:v>6.5993146161330112E-3</c:v>
                </c:pt>
                <c:pt idx="15">
                  <c:v>6.0406812854010995E-3</c:v>
                </c:pt>
                <c:pt idx="16">
                  <c:v>5.4852086666713927E-3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FD-4833-A6B6-7A6208D12508}"/>
            </c:ext>
          </c:extLst>
        </c:ser>
        <c:ser>
          <c:idx val="12"/>
          <c:order val="12"/>
          <c:tx>
            <c:strRef>
              <c:f>'q=0.07'!$R$43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9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'q=0.07'!$R$44:$R$60</c:f>
              <c:numCache>
                <c:formatCode>General</c:formatCode>
                <c:ptCount val="17"/>
                <c:pt idx="0">
                  <c:v>3.0786493735818318E-3</c:v>
                </c:pt>
                <c:pt idx="1">
                  <c:v>3.8962665087311295E-3</c:v>
                </c:pt>
                <c:pt idx="2">
                  <c:v>4.6757244710696807E-3</c:v>
                </c:pt>
                <c:pt idx="3">
                  <c:v>5.3725854011182472E-3</c:v>
                </c:pt>
                <c:pt idx="4">
                  <c:v>5.955612353256967E-3</c:v>
                </c:pt>
                <c:pt idx="5">
                  <c:v>6.4070473566550396E-3</c:v>
                </c:pt>
                <c:pt idx="6">
                  <c:v>6.7210686830174084E-3</c:v>
                </c:pt>
                <c:pt idx="7">
                  <c:v>6.9013387205826473E-3</c:v>
                </c:pt>
                <c:pt idx="8">
                  <c:v>6.958314612621766E-3</c:v>
                </c:pt>
                <c:pt idx="9">
                  <c:v>6.9067437632219231E-3</c:v>
                </c:pt>
                <c:pt idx="10">
                  <c:v>6.7635621514169457E-3</c:v>
                </c:pt>
                <c:pt idx="11">
                  <c:v>6.5462699554583795E-3</c:v>
                </c:pt>
                <c:pt idx="12">
                  <c:v>6.2717705408266546E-3</c:v>
                </c:pt>
                <c:pt idx="13">
                  <c:v>5.9556123532569661E-3</c:v>
                </c:pt>
                <c:pt idx="14">
                  <c:v>5.611555163964525E-3</c:v>
                </c:pt>
                <c:pt idx="15">
                  <c:v>5.2513812993357284E-3</c:v>
                </c:pt>
                <c:pt idx="16">
                  <c:v>4.8848808678607246E-3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3FD-4833-A6B6-7A6208D12508}"/>
            </c:ext>
          </c:extLst>
        </c:ser>
        <c:ser>
          <c:idx val="13"/>
          <c:order val="13"/>
          <c:tx>
            <c:strRef>
              <c:f>'q=0.07'!$S$43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0000"/>
                  <a:shade val="95000"/>
                </a:schemeClr>
              </a:contourClr>
            </a:sp3d>
          </c:spPr>
          <c:cat>
            <c:numRef>
              <c:f>'q=0.07'!$E$44:$E$60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'q=0.07'!$S$44:$S$60</c:f>
              <c:numCache>
                <c:formatCode>General</c:formatCode>
                <c:ptCount val="17"/>
                <c:pt idx="0">
                  <c:v>2.9624258341643499E-3</c:v>
                </c:pt>
                <c:pt idx="1">
                  <c:v>3.5766646853338355E-3</c:v>
                </c:pt>
                <c:pt idx="2">
                  <c:v>4.1384568504810818E-3</c:v>
                </c:pt>
                <c:pt idx="3">
                  <c:v>4.6249385249855935E-3</c:v>
                </c:pt>
                <c:pt idx="4">
                  <c:v>5.0222744298579342E-3</c:v>
                </c:pt>
                <c:pt idx="5">
                  <c:v>5.3245835922199067E-3</c:v>
                </c:pt>
                <c:pt idx="6">
                  <c:v>5.5323540955927201E-3</c:v>
                </c:pt>
                <c:pt idx="7">
                  <c:v>5.6507484809206233E-3</c:v>
                </c:pt>
                <c:pt idx="8">
                  <c:v>5.6880388122316078E-3</c:v>
                </c:pt>
                <c:pt idx="9">
                  <c:v>5.6542886804575865E-3</c:v>
                </c:pt>
                <c:pt idx="10">
                  <c:v>5.5603187739908955E-3</c:v>
                </c:pt>
                <c:pt idx="11">
                  <c:v>5.4169450610075465E-3</c:v>
                </c:pt>
                <c:pt idx="12">
                  <c:v>5.234454523121824E-3</c:v>
                </c:pt>
                <c:pt idx="13">
                  <c:v>5.0222744298579342E-3</c:v>
                </c:pt>
                <c:pt idx="14">
                  <c:v>4.7887910914812572E-3</c:v>
                </c:pt>
                <c:pt idx="15">
                  <c:v>4.5412785892055274E-3</c:v>
                </c:pt>
                <c:pt idx="16">
                  <c:v>4.2859044400357189E-3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3FD-4833-A6B6-7A6208D1250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20000"/>
                    <a:shade val="95000"/>
                  </a:schemeClr>
                </a:contourClr>
              </a:sp3d>
            </c:spPr>
          </c:bandFmt>
        </c:bandFmts>
        <c:axId val="99043872"/>
        <c:axId val="99041472"/>
        <c:axId val="472579216"/>
      </c:surface3DChart>
      <c:catAx>
        <c:axId val="9904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3444781502451274"/>
              <c:y val="0.8484632773504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  <c:auto val="1"/>
        <c:lblAlgn val="ctr"/>
        <c:lblOffset val="100"/>
        <c:noMultiLvlLbl val="0"/>
      </c:catAx>
      <c:valAx>
        <c:axId val="9904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3872"/>
        <c:crosses val="autoZero"/>
        <c:crossBetween val="midCat"/>
      </c:valAx>
      <c:serAx>
        <c:axId val="47257921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3D6-4484-94FE-EEF49B2B9579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3D6-4484-94FE-EEF49B2B9579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3D6-4484-94FE-EEF49B2B9579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3D6-4484-94FE-EEF49B2B9579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3D6-4484-94FE-EEF49B2B9579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3D6-4484-94FE-EEF49B2B9579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3D6-4484-94FE-EEF49B2B9579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3D6-4484-94FE-EEF49B2B9579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3D6-4484-94FE-EEF49B2B9579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3D6-4484-94FE-EEF49B2B9579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3D6-4484-94FE-EEF49B2B9579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3D6-4484-94FE-EEF49B2B9579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3D6-4484-94FE-EEF49B2B9579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3D6-4484-94FE-EEF49B2B9579}"/>
            </c:ext>
          </c:extLst>
        </c:ser>
        <c:bandFmts/>
        <c:axId val="19676128"/>
        <c:axId val="19672768"/>
        <c:axId val="772060080"/>
      </c:surface3DChart>
      <c:catAx>
        <c:axId val="19676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  <c:auto val="1"/>
        <c:lblAlgn val="ctr"/>
        <c:lblOffset val="100"/>
        <c:noMultiLvlLbl val="0"/>
      </c:catAx>
      <c:valAx>
        <c:axId val="19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6128"/>
        <c:crosses val="autoZero"/>
        <c:crossBetween val="midCat"/>
      </c:valAx>
      <c:serAx>
        <c:axId val="7720600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7%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'q=0.07'!$F$63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39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'q=0.07'!$F$64:$F$80</c:f>
              <c:numCache>
                <c:formatCode>General</c:formatCode>
                <c:ptCount val="17"/>
                <c:pt idx="0">
                  <c:v>3.0729159255096493E-14</c:v>
                </c:pt>
                <c:pt idx="1">
                  <c:v>4.4525817852527281E-10</c:v>
                </c:pt>
                <c:pt idx="2">
                  <c:v>7.6031141135893121E-7</c:v>
                </c:pt>
                <c:pt idx="3">
                  <c:v>2.2609689991762708E-4</c:v>
                </c:pt>
                <c:pt idx="4">
                  <c:v>1.5851699538844181E-2</c:v>
                </c:pt>
                <c:pt idx="5">
                  <c:v>0.33265510104298668</c:v>
                </c:pt>
                <c:pt idx="6">
                  <c:v>2.5284672585958519</c:v>
                </c:pt>
                <c:pt idx="7">
                  <c:v>8.1211945983021945</c:v>
                </c:pt>
                <c:pt idx="8">
                  <c:v>12.502631051585203</c:v>
                </c:pt>
                <c:pt idx="9">
                  <c:v>10.23649647203948</c:v>
                </c:pt>
                <c:pt idx="10">
                  <c:v>4.8600837443100087</c:v>
                </c:pt>
                <c:pt idx="11">
                  <c:v>1.4387690533817914</c:v>
                </c:pt>
                <c:pt idx="12">
                  <c:v>0.28236307417107515</c:v>
                </c:pt>
                <c:pt idx="13">
                  <c:v>3.8700438327256233E-2</c:v>
                </c:pt>
                <c:pt idx="14">
                  <c:v>3.8730681846681865E-3</c:v>
                </c:pt>
                <c:pt idx="15">
                  <c:v>2.9406859249371656E-4</c:v>
                </c:pt>
                <c:pt idx="16">
                  <c:v>1.7508708494012951E-5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8-4AA9-BEA3-BF5ADC961D21}"/>
            </c:ext>
          </c:extLst>
        </c:ser>
        <c:ser>
          <c:idx val="1"/>
          <c:order val="1"/>
          <c:tx>
            <c:strRef>
              <c:f>'q=0.07'!$G$63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8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'q=0.07'!$G$64:$G$80</c:f>
              <c:numCache>
                <c:formatCode>General</c:formatCode>
                <c:ptCount val="17"/>
                <c:pt idx="0">
                  <c:v>5.2123508953029027E-7</c:v>
                </c:pt>
                <c:pt idx="1">
                  <c:v>6.797142338604392E-5</c:v>
                </c:pt>
                <c:pt idx="2">
                  <c:v>3.0248291500483272E-3</c:v>
                </c:pt>
                <c:pt idx="3">
                  <c:v>5.5887620909962875E-2</c:v>
                </c:pt>
                <c:pt idx="4">
                  <c:v>0.49915446257958723</c:v>
                </c:pt>
                <c:pt idx="5">
                  <c:v>2.4295345231683667</c:v>
                </c:pt>
                <c:pt idx="6">
                  <c:v>7.0921552158528378</c:v>
                </c:pt>
                <c:pt idx="7">
                  <c:v>13.416542757939995</c:v>
                </c:pt>
                <c:pt idx="8">
                  <c:v>17.522971837759467</c:v>
                </c:pt>
                <c:pt idx="9">
                  <c:v>16.648381715278649</c:v>
                </c:pt>
                <c:pt idx="10">
                  <c:v>12.017707147351588</c:v>
                </c:pt>
                <c:pt idx="11">
                  <c:v>6.8359745874463709</c:v>
                </c:pt>
                <c:pt idx="12">
                  <c:v>3.1600376139242914</c:v>
                </c:pt>
                <c:pt idx="13">
                  <c:v>1.2186388246571942</c:v>
                </c:pt>
                <c:pt idx="14">
                  <c:v>0.4009387009401395</c:v>
                </c:pt>
                <c:pt idx="15">
                  <c:v>0.11472686998189525</c:v>
                </c:pt>
                <c:pt idx="16">
                  <c:v>2.9031010107693784E-2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D8-4AA9-BEA3-BF5ADC961D21}"/>
            </c:ext>
          </c:extLst>
        </c:ser>
        <c:ser>
          <c:idx val="2"/>
          <c:order val="2"/>
          <c:tx>
            <c:strRef>
              <c:f>'q=0.07'!$H$63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58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'q=0.07'!$H$64:$H$80</c:f>
              <c:numCache>
                <c:formatCode>General</c:formatCode>
                <c:ptCount val="17"/>
                <c:pt idx="0">
                  <c:v>1.4525446694062729E-4</c:v>
                </c:pt>
                <c:pt idx="1">
                  <c:v>3.9400286605621804E-3</c:v>
                </c:pt>
                <c:pt idx="2">
                  <c:v>5.1984295169159186E-2</c:v>
                </c:pt>
                <c:pt idx="3">
                  <c:v>0.38041487530210416</c:v>
                </c:pt>
                <c:pt idx="4">
                  <c:v>1.7095804008408158</c:v>
                </c:pt>
                <c:pt idx="5">
                  <c:v>5.1125107450038341</c:v>
                </c:pt>
                <c:pt idx="6">
                  <c:v>10.848092866002867</c:v>
                </c:pt>
                <c:pt idx="7">
                  <c:v>17.202136246154812</c:v>
                </c:pt>
                <c:pt idx="8">
                  <c:v>21.268885936531436</c:v>
                </c:pt>
                <c:pt idx="9">
                  <c:v>21.234748229580202</c:v>
                </c:pt>
                <c:pt idx="10">
                  <c:v>17.625810696973417</c:v>
                </c:pt>
                <c:pt idx="11">
                  <c:v>12.464410785590307</c:v>
                </c:pt>
                <c:pt idx="12">
                  <c:v>7.666348639154462</c:v>
                </c:pt>
                <c:pt idx="13">
                  <c:v>4.1737802754902704</c:v>
                </c:pt>
                <c:pt idx="14">
                  <c:v>2.0418341083578868</c:v>
                </c:pt>
                <c:pt idx="15">
                  <c:v>0.90922669036740167</c:v>
                </c:pt>
                <c:pt idx="16">
                  <c:v>0.37267736996654233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D8-4AA9-BEA3-BF5ADC961D21}"/>
            </c:ext>
          </c:extLst>
        </c:ser>
        <c:ser>
          <c:idx val="3"/>
          <c:order val="3"/>
          <c:tx>
            <c:strRef>
              <c:f>'q=0.07'!$I$63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7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'q=0.07'!$I$64:$I$80</c:f>
              <c:numCache>
                <c:formatCode>General</c:formatCode>
                <c:ptCount val="17"/>
                <c:pt idx="0">
                  <c:v>2.5186606170331748E-3</c:v>
                </c:pt>
                <c:pt idx="1">
                  <c:v>3.1158613028569062E-2</c:v>
                </c:pt>
                <c:pt idx="2">
                  <c:v>0.22384636352159076</c:v>
                </c:pt>
                <c:pt idx="3">
                  <c:v>1.0309097647365471</c:v>
                </c:pt>
                <c:pt idx="4">
                  <c:v>3.2863139074906047</c:v>
                </c:pt>
                <c:pt idx="5">
                  <c:v>7.7033927711203161</c:v>
                </c:pt>
                <c:pt idx="6">
                  <c:v>13.935841685227942</c:v>
                </c:pt>
                <c:pt idx="7">
                  <c:v>20.232311062680857</c:v>
                </c:pt>
                <c:pt idx="8">
                  <c:v>24.339152965383398</c:v>
                </c:pt>
                <c:pt idx="9">
                  <c:v>24.910181399542896</c:v>
                </c:pt>
                <c:pt idx="10">
                  <c:v>22.172010325492483</c:v>
                </c:pt>
                <c:pt idx="11">
                  <c:v>17.4823430819077</c:v>
                </c:pt>
                <c:pt idx="12">
                  <c:v>12.403063030447505</c:v>
                </c:pt>
                <c:pt idx="13">
                  <c:v>8.0232273132094818</c:v>
                </c:pt>
                <c:pt idx="14">
                  <c:v>4.7861237154928107</c:v>
                </c:pt>
                <c:pt idx="15">
                  <c:v>2.6586913324277637</c:v>
                </c:pt>
                <c:pt idx="16">
                  <c:v>1.3869496260852452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D8-4AA9-BEA3-BF5ADC961D21}"/>
            </c:ext>
          </c:extLst>
        </c:ser>
        <c:ser>
          <c:idx val="4"/>
          <c:order val="4"/>
          <c:tx>
            <c:strRef>
              <c:f>'q=0.07'!$J$63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'q=0.07'!$J$64:$J$80</c:f>
              <c:numCache>
                <c:formatCode>General</c:formatCode>
                <c:ptCount val="17"/>
                <c:pt idx="0">
                  <c:v>1.4256196389546873E-2</c:v>
                </c:pt>
                <c:pt idx="1">
                  <c:v>0.11011216073695117</c:v>
                </c:pt>
                <c:pt idx="2">
                  <c:v>0.54929633201595751</c:v>
                </c:pt>
                <c:pt idx="3">
                  <c:v>1.9160572275544889</c:v>
                </c:pt>
                <c:pt idx="4">
                  <c:v>4.9706213258039895</c:v>
                </c:pt>
                <c:pt idx="5">
                  <c:v>10.067477133077517</c:v>
                </c:pt>
                <c:pt idx="6">
                  <c:v>16.550496058476394</c:v>
                </c:pt>
                <c:pt idx="7">
                  <c:v>22.789420668301364</c:v>
                </c:pt>
                <c:pt idx="8">
                  <c:v>26.96819105740602</c:v>
                </c:pt>
                <c:pt idx="9">
                  <c:v>28.01461638855459</c:v>
                </c:pt>
                <c:pt idx="10">
                  <c:v>26.002109328597882</c:v>
                </c:pt>
                <c:pt idx="11">
                  <c:v>21.885994984727013</c:v>
                </c:pt>
                <c:pt idx="12">
                  <c:v>16.916211530605025</c:v>
                </c:pt>
                <c:pt idx="13">
                  <c:v>12.135305971201134</c:v>
                </c:pt>
                <c:pt idx="14">
                  <c:v>8.1540228744660368</c:v>
                </c:pt>
                <c:pt idx="15">
                  <c:v>5.1721997788229324</c:v>
                </c:pt>
                <c:pt idx="16">
                  <c:v>3.1182233025937456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D8-4AA9-BEA3-BF5ADC961D21}"/>
            </c:ext>
          </c:extLst>
        </c:ser>
        <c:ser>
          <c:idx val="5"/>
          <c:order val="5"/>
          <c:tx>
            <c:strRef>
              <c:f>'q=0.07'!$K$63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86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'q=0.07'!$K$64:$K$80</c:f>
              <c:numCache>
                <c:formatCode>General</c:formatCode>
                <c:ptCount val="17"/>
                <c:pt idx="0">
                  <c:v>4.5906841864446296E-2</c:v>
                </c:pt>
                <c:pt idx="1">
                  <c:v>0.25901473131798602</c:v>
                </c:pt>
                <c:pt idx="2">
                  <c:v>1.0132008323531279</c:v>
                </c:pt>
                <c:pt idx="3">
                  <c:v>2.9366448458618968</c:v>
                </c:pt>
                <c:pt idx="4">
                  <c:v>6.6404294969056492</c:v>
                </c:pt>
                <c:pt idx="5">
                  <c:v>12.201057125687946</c:v>
                </c:pt>
                <c:pt idx="6">
                  <c:v>18.818310259756124</c:v>
                </c:pt>
                <c:pt idx="7">
                  <c:v>25.013600812474635</c:v>
                </c:pt>
                <c:pt idx="8">
                  <c:v>29.277486472810537</c:v>
                </c:pt>
                <c:pt idx="9">
                  <c:v>30.716680119491318</c:v>
                </c:pt>
                <c:pt idx="10">
                  <c:v>29.317616108007748</c:v>
                </c:pt>
                <c:pt idx="11">
                  <c:v>25.774789966509442</c:v>
                </c:pt>
                <c:pt idx="12">
                  <c:v>21.092931717315832</c:v>
                </c:pt>
                <c:pt idx="13">
                  <c:v>16.211986076429792</c:v>
                </c:pt>
                <c:pt idx="14">
                  <c:v>11.792747435304943</c:v>
                </c:pt>
                <c:pt idx="15">
                  <c:v>8.1720548776858699</c:v>
                </c:pt>
                <c:pt idx="16">
                  <c:v>5.4257023444301593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D8-4AA9-BEA3-BF5ADC961D21}"/>
            </c:ext>
          </c:extLst>
        </c:ser>
        <c:ser>
          <c:idx val="6"/>
          <c:order val="6"/>
          <c:tx>
            <c:strRef>
              <c:f>'q=0.07'!$L$63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'q=0.07'!$L$64:$L$80</c:f>
              <c:numCache>
                <c:formatCode>General</c:formatCode>
                <c:ptCount val="17"/>
                <c:pt idx="0">
                  <c:v>0.10683707767853604</c:v>
                </c:pt>
                <c:pt idx="1">
                  <c:v>0.48167211025258644</c:v>
                </c:pt>
                <c:pt idx="2">
                  <c:v>1.5837760026217358</c:v>
                </c:pt>
                <c:pt idx="3">
                  <c:v>4.0215020846143306</c:v>
                </c:pt>
                <c:pt idx="4">
                  <c:v>8.2436694745898897</c:v>
                </c:pt>
                <c:pt idx="5">
                  <c:v>14.128672993339228</c:v>
                </c:pt>
                <c:pt idx="6">
                  <c:v>20.82062110472484</c:v>
                </c:pt>
                <c:pt idx="7">
                  <c:v>26.986194288609614</c:v>
                </c:pt>
                <c:pt idx="8">
                  <c:v>31.339966901410296</c:v>
                </c:pt>
                <c:pt idx="9">
                  <c:v>33.114323919479844</c:v>
                </c:pt>
                <c:pt idx="10">
                  <c:v>32.242959596034659</c:v>
                </c:pt>
                <c:pt idx="11">
                  <c:v>29.242038298373661</c:v>
                </c:pt>
                <c:pt idx="12">
                  <c:v>24.926844841964208</c:v>
                </c:pt>
                <c:pt idx="13">
                  <c:v>20.126146178197963</c:v>
                </c:pt>
                <c:pt idx="14">
                  <c:v>15.493586302618057</c:v>
                </c:pt>
                <c:pt idx="15">
                  <c:v>11.436839494573151</c:v>
                </c:pt>
                <c:pt idx="16">
                  <c:v>8.1349356658714846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D8-4AA9-BEA3-BF5ADC961D21}"/>
            </c:ext>
          </c:extLst>
        </c:ser>
        <c:ser>
          <c:idx val="7"/>
          <c:order val="7"/>
          <c:tx>
            <c:strRef>
              <c:f>'q=0.07'!$M$63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6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'q=0.07'!$M$64:$M$80</c:f>
              <c:numCache>
                <c:formatCode>General</c:formatCode>
                <c:ptCount val="17"/>
                <c:pt idx="0">
                  <c:v>0.20266054331853894</c:v>
                </c:pt>
                <c:pt idx="1">
                  <c:v>0.7722102144499523</c:v>
                </c:pt>
                <c:pt idx="2">
                  <c:v>2.2289800852413437</c:v>
                </c:pt>
                <c:pt idx="3">
                  <c:v>5.12512800252048</c:v>
                </c:pt>
                <c:pt idx="4">
                  <c:v>9.760625185773609</c:v>
                </c:pt>
                <c:pt idx="5">
                  <c:v>15.877900391634213</c:v>
                </c:pt>
                <c:pt idx="6">
                  <c:v>22.612169798443368</c:v>
                </c:pt>
                <c:pt idx="7">
                  <c:v>28.759377309047292</c:v>
                </c:pt>
                <c:pt idx="8">
                  <c:v>33.203652240840285</c:v>
                </c:pt>
                <c:pt idx="9">
                  <c:v>35.270439443913865</c:v>
                </c:pt>
                <c:pt idx="10">
                  <c:v>34.860077460544758</c:v>
                </c:pt>
                <c:pt idx="11">
                  <c:v>32.361659667352441</c:v>
                </c:pt>
                <c:pt idx="12">
                  <c:v>28.443225731337801</c:v>
                </c:pt>
                <c:pt idx="13">
                  <c:v>23.8296513324551</c:v>
                </c:pt>
                <c:pt idx="14">
                  <c:v>19.141168177590746</c:v>
                </c:pt>
                <c:pt idx="15">
                  <c:v>14.814972678922107</c:v>
                </c:pt>
                <c:pt idx="16">
                  <c:v>11.096640239277859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D8-4AA9-BEA3-BF5ADC961D21}"/>
            </c:ext>
          </c:extLst>
        </c:ser>
        <c:ser>
          <c:idx val="8"/>
          <c:order val="8"/>
          <c:tx>
            <c:strRef>
              <c:f>'q=0.07'!$N$63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86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'q=0.07'!$N$64:$N$80</c:f>
              <c:numCache>
                <c:formatCode>General</c:formatCode>
                <c:ptCount val="17"/>
                <c:pt idx="0">
                  <c:v>0.33510691236379586</c:v>
                </c:pt>
                <c:pt idx="1">
                  <c:v>1.1202703007482002</c:v>
                </c:pt>
                <c:pt idx="2">
                  <c:v>2.9220882423313745</c:v>
                </c:pt>
                <c:pt idx="3">
                  <c:v>6.2197472232512538</c:v>
                </c:pt>
                <c:pt idx="4">
                  <c:v>11.186349383636461</c:v>
                </c:pt>
                <c:pt idx="5">
                  <c:v>17.473310685866352</c:v>
                </c:pt>
                <c:pt idx="6">
                  <c:v>24.2314664354484</c:v>
                </c:pt>
                <c:pt idx="7">
                  <c:v>30.369023073400218</c:v>
                </c:pt>
                <c:pt idx="8">
                  <c:v>34.902253417285728</c:v>
                </c:pt>
                <c:pt idx="9">
                  <c:v>37.22831022539804</c:v>
                </c:pt>
                <c:pt idx="10">
                  <c:v>37.225896666523106</c:v>
                </c:pt>
                <c:pt idx="11">
                  <c:v>35.190566517743946</c:v>
                </c:pt>
                <c:pt idx="12">
                  <c:v>31.674497716070452</c:v>
                </c:pt>
                <c:pt idx="13">
                  <c:v>27.310423299893706</c:v>
                </c:pt>
                <c:pt idx="14">
                  <c:v>22.674436765786616</c:v>
                </c:pt>
                <c:pt idx="15">
                  <c:v>18.208505574349456</c:v>
                </c:pt>
                <c:pt idx="16">
                  <c:v>14.19777452983203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D8-4AA9-BEA3-BF5ADC961D21}"/>
            </c:ext>
          </c:extLst>
        </c:ser>
        <c:ser>
          <c:idx val="9"/>
          <c:order val="9"/>
          <c:tx>
            <c:strRef>
              <c:f>'q=0.07'!$O$63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'q=0.07'!$O$64:$O$80</c:f>
              <c:numCache>
                <c:formatCode>General</c:formatCode>
                <c:ptCount val="17"/>
                <c:pt idx="0">
                  <c:v>0.50298002648533535</c:v>
                </c:pt>
                <c:pt idx="1">
                  <c:v>1.5143583390073774</c:v>
                </c:pt>
                <c:pt idx="2">
                  <c:v>3.6424956668754982</c:v>
                </c:pt>
                <c:pt idx="3">
                  <c:v>7.2889195324563447</c:v>
                </c:pt>
                <c:pt idx="4">
                  <c:v>12.52255594741664</c:v>
                </c:pt>
                <c:pt idx="5">
                  <c:v>18.935505606664918</c:v>
                </c:pt>
                <c:pt idx="6">
                  <c:v>25.706661052011164</c:v>
                </c:pt>
                <c:pt idx="7">
                  <c:v>31.841088227586578</c:v>
                </c:pt>
                <c:pt idx="8">
                  <c:v>36.460579118208805</c:v>
                </c:pt>
                <c:pt idx="9">
                  <c:v>39.019283772283359</c:v>
                </c:pt>
                <c:pt idx="10">
                  <c:v>39.381715410546938</c:v>
                </c:pt>
                <c:pt idx="11">
                  <c:v>37.772753310634485</c:v>
                </c:pt>
                <c:pt idx="12">
                  <c:v>34.652171404680907</c:v>
                </c:pt>
                <c:pt idx="13">
                  <c:v>30.572646355997623</c:v>
                </c:pt>
                <c:pt idx="14">
                  <c:v>26.063153949944237</c:v>
                </c:pt>
                <c:pt idx="15">
                  <c:v>21.556044351311929</c:v>
                </c:pt>
                <c:pt idx="16">
                  <c:v>17.357185158105636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D8-4AA9-BEA3-BF5ADC961D21}"/>
            </c:ext>
          </c:extLst>
        </c:ser>
        <c:ser>
          <c:idx val="10"/>
          <c:order val="10"/>
          <c:tx>
            <c:strRef>
              <c:f>'q=0.07'!$P$63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8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'q=0.07'!$P$64:$P$80</c:f>
              <c:numCache>
                <c:formatCode>General</c:formatCode>
                <c:ptCount val="17"/>
                <c:pt idx="0">
                  <c:v>3.3209848605497738</c:v>
                </c:pt>
                <c:pt idx="1">
                  <c:v>6.2426352310236854</c:v>
                </c:pt>
                <c:pt idx="2">
                  <c:v>10.426482955280564</c:v>
                </c:pt>
                <c:pt idx="3">
                  <c:v>15.802766278035623</c:v>
                </c:pt>
                <c:pt idx="4">
                  <c:v>22.0941222663891</c:v>
                </c:pt>
                <c:pt idx="5">
                  <c:v>28.866734269178831</c:v>
                </c:pt>
                <c:pt idx="6">
                  <c:v>35.612759003556526</c:v>
                </c:pt>
                <c:pt idx="7">
                  <c:v>41.836739607996165</c:v>
                </c:pt>
                <c:pt idx="8">
                  <c:v>47.125075272597201</c:v>
                </c:pt>
                <c:pt idx="9">
                  <c:v>51.188124954099514</c:v>
                </c:pt>
                <c:pt idx="10">
                  <c:v>53.874130702023955</c:v>
                </c:pt>
                <c:pt idx="11">
                  <c:v>55.160403857383528</c:v>
                </c:pt>
                <c:pt idx="12">
                  <c:v>55.129842113481857</c:v>
                </c:pt>
                <c:pt idx="13">
                  <c:v>53.940728189426487</c:v>
                </c:pt>
                <c:pt idx="14">
                  <c:v>51.796106200399151</c:v>
                </c:pt>
                <c:pt idx="15">
                  <c:v>48.916860761674897</c:v>
                </c:pt>
                <c:pt idx="16">
                  <c:v>45.520598085848327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D8-4AA9-BEA3-BF5ADC961D21}"/>
            </c:ext>
          </c:extLst>
        </c:ser>
        <c:ser>
          <c:idx val="11"/>
          <c:order val="11"/>
          <c:tx>
            <c:strRef>
              <c:f>'q=0.07'!$Q$63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58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'q=0.07'!$Q$64:$Q$80</c:f>
              <c:numCache>
                <c:formatCode>General</c:formatCode>
                <c:ptCount val="17"/>
                <c:pt idx="0">
                  <c:v>6.4020919769453419</c:v>
                </c:pt>
                <c:pt idx="1">
                  <c:v>10.285625057363562</c:v>
                </c:pt>
                <c:pt idx="2">
                  <c:v>15.212493191687035</c:v>
                </c:pt>
                <c:pt idx="3">
                  <c:v>21.017097164470844</c:v>
                </c:pt>
                <c:pt idx="4">
                  <c:v>27.433905509552471</c:v>
                </c:pt>
                <c:pt idx="5">
                  <c:v>34.139267496639675</c:v>
                </c:pt>
                <c:pt idx="6">
                  <c:v>40.795152906978721</c:v>
                </c:pt>
                <c:pt idx="7">
                  <c:v>47.08661131593044</c:v>
                </c:pt>
                <c:pt idx="8">
                  <c:v>52.748629823953856</c:v>
                </c:pt>
                <c:pt idx="9">
                  <c:v>57.5813919043228</c:v>
                </c:pt>
                <c:pt idx="10">
                  <c:v>61.455173948590456</c:v>
                </c:pt>
                <c:pt idx="11">
                  <c:v>64.307258704419141</c:v>
                </c:pt>
                <c:pt idx="12">
                  <c:v>66.133545790777973</c:v>
                </c:pt>
                <c:pt idx="13">
                  <c:v>66.977308372930835</c:v>
                </c:pt>
                <c:pt idx="14">
                  <c:v>66.91705020758873</c:v>
                </c:pt>
                <c:pt idx="15">
                  <c:v>66.054849855861022</c:v>
                </c:pt>
                <c:pt idx="16">
                  <c:v>64.506053920055564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D8-4AA9-BEA3-BF5ADC961D21}"/>
            </c:ext>
          </c:extLst>
        </c:ser>
        <c:ser>
          <c:idx val="12"/>
          <c:order val="12"/>
          <c:tx>
            <c:strRef>
              <c:f>'q=0.07'!$R$63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9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'q=0.07'!$R$64:$R$80</c:f>
              <c:numCache>
                <c:formatCode>General</c:formatCode>
                <c:ptCount val="17"/>
                <c:pt idx="0">
                  <c:v>8.8665101959156765</c:v>
                </c:pt>
                <c:pt idx="1">
                  <c:v>13.169380799511217</c:v>
                </c:pt>
                <c:pt idx="2">
                  <c:v>18.328839926593147</c:v>
                </c:pt>
                <c:pt idx="3">
                  <c:v>24.17663430503211</c:v>
                </c:pt>
                <c:pt idx="4">
                  <c:v>30.492735248675672</c:v>
                </c:pt>
                <c:pt idx="5">
                  <c:v>37.032733721466123</c:v>
                </c:pt>
                <c:pt idx="6">
                  <c:v>43.552525065952814</c:v>
                </c:pt>
                <c:pt idx="7">
                  <c:v>49.827665562606711</c:v>
                </c:pt>
                <c:pt idx="8">
                  <c:v>55.666516900974138</c:v>
                </c:pt>
                <c:pt idx="9">
                  <c:v>60.917479991617363</c:v>
                </c:pt>
                <c:pt idx="10">
                  <c:v>65.471281625716031</c:v>
                </c:pt>
                <c:pt idx="11">
                  <c:v>69.259536128749659</c:v>
                </c:pt>
                <c:pt idx="12">
                  <c:v>72.250796630323066</c:v>
                </c:pt>
                <c:pt idx="13">
                  <c:v>74.445154415712082</c:v>
                </c:pt>
                <c:pt idx="14">
                  <c:v>75.868225816800361</c:v>
                </c:pt>
                <c:pt idx="15">
                  <c:v>76.565139344314929</c:v>
                </c:pt>
                <c:pt idx="16">
                  <c:v>76.594932008056176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D8-4AA9-BEA3-BF5ADC961D21}"/>
            </c:ext>
          </c:extLst>
        </c:ser>
        <c:ser>
          <c:idx val="13"/>
          <c:order val="13"/>
          <c:tx>
            <c:strRef>
              <c:f>'q=0.07'!$S$63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0000"/>
                  <a:shade val="95000"/>
                </a:schemeClr>
              </a:contourClr>
            </a:sp3d>
          </c:spPr>
          <c:cat>
            <c:numRef>
              <c:f>'q=0.07'!$E$64:$E$80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'q=0.07'!$S$64:$S$80</c:f>
              <c:numCache>
                <c:formatCode>General</c:formatCode>
                <c:ptCount val="17"/>
                <c:pt idx="0">
                  <c:v>10.66473300299166</c:v>
                </c:pt>
                <c:pt idx="1">
                  <c:v>15.111408295535458</c:v>
                </c:pt>
                <c:pt idx="2">
                  <c:v>20.278438567357302</c:v>
                </c:pt>
                <c:pt idx="3">
                  <c:v>26.015279203043971</c:v>
                </c:pt>
                <c:pt idx="4">
                  <c:v>32.142556351090782</c:v>
                </c:pt>
                <c:pt idx="5">
                  <c:v>38.470116453788826</c:v>
                </c:pt>
                <c:pt idx="6">
                  <c:v>44.812068174301032</c:v>
                </c:pt>
                <c:pt idx="7">
                  <c:v>50.998005040308634</c:v>
                </c:pt>
                <c:pt idx="8">
                  <c:v>56.880388122316084</c:v>
                </c:pt>
                <c:pt idx="9">
                  <c:v>62.338532702044887</c:v>
                </c:pt>
                <c:pt idx="10">
                  <c:v>67.27985716528984</c:v>
                </c:pt>
                <c:pt idx="11">
                  <c:v>71.639098431824806</c:v>
                </c:pt>
                <c:pt idx="12">
                  <c:v>75.376145132954264</c:v>
                </c:pt>
                <c:pt idx="13">
                  <c:v>78.473037966530214</c:v>
                </c:pt>
                <c:pt idx="14">
                  <c:v>80.93056944603326</c:v>
                </c:pt>
                <c:pt idx="15">
                  <c:v>82.764802288270758</c:v>
                </c:pt>
                <c:pt idx="16">
                  <c:v>84.003727024700083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D8-4AA9-BEA3-BF5ADC961D2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</c:bandFmts>
        <c:axId val="2049537328"/>
        <c:axId val="2049534928"/>
        <c:axId val="472652656"/>
      </c:surface3DChart>
      <c:catAx>
        <c:axId val="20495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  <c:auto val="1"/>
        <c:lblAlgn val="ctr"/>
        <c:lblOffset val="100"/>
        <c:noMultiLvlLbl val="0"/>
      </c:catAx>
      <c:valAx>
        <c:axId val="204953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7328"/>
        <c:crosses val="autoZero"/>
        <c:crossBetween val="midCat"/>
      </c:valAx>
      <c:serAx>
        <c:axId val="4726526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70%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607-4E1B-9402-1E2E83370E1C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607-4E1B-9402-1E2E83370E1C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607-4E1B-9402-1E2E83370E1C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E607-4E1B-9402-1E2E83370E1C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E607-4E1B-9402-1E2E83370E1C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E607-4E1B-9402-1E2E83370E1C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E607-4E1B-9402-1E2E83370E1C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E607-4E1B-9402-1E2E83370E1C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E607-4E1B-9402-1E2E83370E1C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E607-4E1B-9402-1E2E83370E1C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E607-4E1B-9402-1E2E83370E1C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E607-4E1B-9402-1E2E83370E1C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E607-4E1B-9402-1E2E83370E1C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E607-4E1B-9402-1E2E83370E1C}"/>
            </c:ext>
          </c:extLst>
        </c:ser>
        <c:bandFmts/>
        <c:axId val="2041188256"/>
        <c:axId val="104014048"/>
        <c:axId val="264750352"/>
      </c:surface3DChart>
      <c:catAx>
        <c:axId val="204118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  <c:auto val="1"/>
        <c:lblAlgn val="ctr"/>
        <c:lblOffset val="100"/>
        <c:noMultiLvlLbl val="0"/>
      </c:catAx>
      <c:valAx>
        <c:axId val="10401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88256"/>
        <c:crosses val="autoZero"/>
        <c:crossBetween val="midCat"/>
      </c:valAx>
      <c:serAx>
        <c:axId val="26475035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7%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'q=0.07'!$F$83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39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'q=0.07'!$F$84:$F$100</c:f>
              <c:numCache>
                <c:formatCode>General</c:formatCode>
                <c:ptCount val="17"/>
                <c:pt idx="0">
                  <c:v>1.1676951805532261E-15</c:v>
                </c:pt>
                <c:pt idx="1">
                  <c:v>1.9897382659023413E-11</c:v>
                </c:pt>
                <c:pt idx="2">
                  <c:v>4.0542840499149193E-8</c:v>
                </c:pt>
                <c:pt idx="3">
                  <c:v>1.4672687072694635E-5</c:v>
                </c:pt>
                <c:pt idx="4">
                  <c:v>1.2861254041148845E-3</c:v>
                </c:pt>
                <c:pt idx="5">
                  <c:v>3.5038926041612947E-2</c:v>
                </c:pt>
                <c:pt idx="6">
                  <c:v>0.36498970160918826</c:v>
                </c:pt>
                <c:pt idx="7">
                  <c:v>1.7407415957006434</c:v>
                </c:pt>
                <c:pt idx="8">
                  <c:v>4.4922214744727311</c:v>
                </c:pt>
                <c:pt idx="9">
                  <c:v>7.3977977243832607</c:v>
                </c:pt>
                <c:pt idx="10">
                  <c:v>9.1536705499400561</c:v>
                </c:pt>
                <c:pt idx="11">
                  <c:v>9.8040894424358438</c:v>
                </c:pt>
                <c:pt idx="12">
                  <c:v>9.9608014860878082</c:v>
                </c:pt>
                <c:pt idx="13">
                  <c:v>9.9866601628135836</c:v>
                </c:pt>
                <c:pt idx="14">
                  <c:v>9.9897165754080799</c:v>
                </c:pt>
                <c:pt idx="15">
                  <c:v>9.98998569881166</c:v>
                </c:pt>
                <c:pt idx="16">
                  <c:v>9.9900039680457446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9D2-B21A-22EC0B0283BF}"/>
            </c:ext>
          </c:extLst>
        </c:ser>
        <c:ser>
          <c:idx val="1"/>
          <c:order val="1"/>
          <c:tx>
            <c:strRef>
              <c:f>'q=0.07'!$G$83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8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'q=0.07'!$G$84:$G$100</c:f>
              <c:numCache>
                <c:formatCode>General</c:formatCode>
                <c:ptCount val="17"/>
                <c:pt idx="0">
                  <c:v>3.8521523494360512E-8</c:v>
                </c:pt>
                <c:pt idx="1">
                  <c:v>5.8661994903837723E-6</c:v>
                </c:pt>
                <c:pt idx="2">
                  <c:v>3.0851454384869548E-4</c:v>
                </c:pt>
                <c:pt idx="3">
                  <c:v>6.8424269858679025E-3</c:v>
                </c:pt>
                <c:pt idx="4">
                  <c:v>7.4868258449702588E-2</c:v>
                </c:pt>
                <c:pt idx="5">
                  <c:v>0.45852760148111221</c:v>
                </c:pt>
                <c:pt idx="6">
                  <c:v>1.7447899298256606</c:v>
                </c:pt>
                <c:pt idx="7">
                  <c:v>4.5093068638528306</c:v>
                </c:pt>
                <c:pt idx="8">
                  <c:v>8.5631331658539498</c:v>
                </c:pt>
                <c:pt idx="9">
                  <c:v>12.835168540462764</c:v>
                </c:pt>
                <c:pt idx="10">
                  <c:v>16.215212262841359</c:v>
                </c:pt>
                <c:pt idx="11">
                  <c:v>18.298864093343397</c:v>
                </c:pt>
                <c:pt idx="12">
                  <c:v>19.331779416231878</c:v>
                </c:pt>
                <c:pt idx="13">
                  <c:v>19.754832787597085</c:v>
                </c:pt>
                <c:pt idx="14">
                  <c:v>19.901364093315387</c:v>
                </c:pt>
                <c:pt idx="15">
                  <c:v>19.945157524610568</c:v>
                </c:pt>
                <c:pt idx="16">
                  <c:v>19.956649904978541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2F-49D2-B21A-22EC0B0283BF}"/>
            </c:ext>
          </c:extLst>
        </c:ser>
        <c:ser>
          <c:idx val="2"/>
          <c:order val="2"/>
          <c:tx>
            <c:strRef>
              <c:f>'q=0.07'!$H$83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58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'q=0.07'!$H$84:$H$100</c:f>
              <c:numCache>
                <c:formatCode>General</c:formatCode>
                <c:ptCount val="17"/>
                <c:pt idx="0">
                  <c:v>1.5683795170903758E-5</c:v>
                </c:pt>
                <c:pt idx="1">
                  <c:v>4.93795860339135E-4</c:v>
                </c:pt>
                <c:pt idx="2">
                  <c:v>7.6378273914778222E-3</c:v>
                </c:pt>
                <c:pt idx="3">
                  <c:v>6.636442469177975E-2</c:v>
                </c:pt>
                <c:pt idx="4">
                  <c:v>0.35988273387308656</c:v>
                </c:pt>
                <c:pt idx="5">
                  <c:v>1.3254454260512134</c:v>
                </c:pt>
                <c:pt idx="6">
                  <c:v>3.5539913190432282</c:v>
                </c:pt>
                <c:pt idx="7">
                  <c:v>7.3560151564801659</c:v>
                </c:pt>
                <c:pt idx="8">
                  <c:v>12.361570128470554</c:v>
                </c:pt>
                <c:pt idx="9">
                  <c:v>17.632527204594467</c:v>
                </c:pt>
                <c:pt idx="10">
                  <c:v>22.207289348057699</c:v>
                </c:pt>
                <c:pt idx="11">
                  <c:v>25.563856539794148</c:v>
                </c:pt>
                <c:pt idx="12">
                  <c:v>27.69107729505053</c:v>
                </c:pt>
                <c:pt idx="13">
                  <c:v>28.877101429235825</c:v>
                </c:pt>
                <c:pt idx="14">
                  <c:v>29.468087066389391</c:v>
                </c:pt>
                <c:pt idx="15">
                  <c:v>29.734868386903905</c:v>
                </c:pt>
                <c:pt idx="16">
                  <c:v>29.84525806078241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2F-49D2-B21A-22EC0B0283BF}"/>
            </c:ext>
          </c:extLst>
        </c:ser>
        <c:ser>
          <c:idx val="3"/>
          <c:order val="3"/>
          <c:tx>
            <c:strRef>
              <c:f>'q=0.07'!$I$83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7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'q=0.07'!$I$84:$I$100</c:f>
              <c:numCache>
                <c:formatCode>General</c:formatCode>
                <c:ptCount val="17"/>
                <c:pt idx="0">
                  <c:v>3.5366146926760076E-4</c:v>
                </c:pt>
                <c:pt idx="1">
                  <c:v>5.0512906067472626E-3</c:v>
                </c:pt>
                <c:pt idx="2">
                  <c:v>4.2250555678550822E-2</c:v>
                </c:pt>
                <c:pt idx="3">
                  <c:v>0.22896316572410783</c:v>
                </c:pt>
                <c:pt idx="4">
                  <c:v>0.87024101347212002</c:v>
                </c:pt>
                <c:pt idx="5">
                  <c:v>2.4720076003049276</c:v>
                </c:pt>
                <c:pt idx="6">
                  <c:v>5.5280408214506886</c:v>
                </c:pt>
                <c:pt idx="7">
                  <c:v>10.163713309429022</c:v>
                </c:pt>
                <c:pt idx="8">
                  <c:v>15.941744484477988</c:v>
                </c:pt>
                <c:pt idx="9">
                  <c:v>22.023715391646871</c:v>
                </c:pt>
                <c:pt idx="10">
                  <c:v>27.55525085455448</c:v>
                </c:pt>
                <c:pt idx="11">
                  <c:v>31.986770614846996</c:v>
                </c:pt>
                <c:pt idx="12">
                  <c:v>35.165509616567142</c:v>
                </c:pt>
                <c:pt idx="13">
                  <c:v>37.235614171841412</c:v>
                </c:pt>
                <c:pt idx="14">
                  <c:v>38.474233491870571</c:v>
                </c:pt>
                <c:pt idx="15">
                  <c:v>39.162162287271592</c:v>
                </c:pt>
                <c:pt idx="16">
                  <c:v>39.519976817532225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2F-49D2-B21A-22EC0B0283BF}"/>
            </c:ext>
          </c:extLst>
        </c:ser>
        <c:ser>
          <c:idx val="4"/>
          <c:order val="4"/>
          <c:tx>
            <c:strRef>
              <c:f>'q=0.07'!$J$83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'q=0.07'!$J$84:$J$100</c:f>
              <c:numCache>
                <c:formatCode>General</c:formatCode>
                <c:ptCount val="17"/>
                <c:pt idx="0">
                  <c:v>2.4434765697720967E-3</c:v>
                </c:pt>
                <c:pt idx="1">
                  <c:v>2.1685757781781154E-2</c:v>
                </c:pt>
                <c:pt idx="2">
                  <c:v>0.12519690680424167</c:v>
                </c:pt>
                <c:pt idx="3">
                  <c:v>0.50995250719363905</c:v>
                </c:pt>
                <c:pt idx="4">
                  <c:v>1.5618143937683171</c:v>
                </c:pt>
                <c:pt idx="5">
                  <c:v>3.7844464527326203</c:v>
                </c:pt>
                <c:pt idx="6">
                  <c:v>7.5625545534630927</c:v>
                </c:pt>
                <c:pt idx="7">
                  <c:v>12.899754928415618</c:v>
                </c:pt>
                <c:pt idx="8">
                  <c:v>19.335515594493366</c:v>
                </c:pt>
                <c:pt idx="9">
                  <c:v>26.108164194394536</c:v>
                </c:pt>
                <c:pt idx="10">
                  <c:v>32.444326669600841</c:v>
                </c:pt>
                <c:pt idx="11">
                  <c:v>37.79687365910344</c:v>
                </c:pt>
                <c:pt idx="12">
                  <c:v>41.933809874414948</c:v>
                </c:pt>
                <c:pt idx="13">
                  <c:v>44.892147975373298</c:v>
                </c:pt>
                <c:pt idx="14">
                  <c:v>46.86835250953348</c:v>
                </c:pt>
                <c:pt idx="15">
                  <c:v>48.111757707318574</c:v>
                </c:pt>
                <c:pt idx="16">
                  <c:v>48.853896010648327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2F-49D2-B21A-22EC0B0283BF}"/>
            </c:ext>
          </c:extLst>
        </c:ser>
        <c:ser>
          <c:idx val="5"/>
          <c:order val="5"/>
          <c:tx>
            <c:strRef>
              <c:f>'q=0.07'!$K$83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86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'q=0.07'!$K$84:$K$100</c:f>
              <c:numCache>
                <c:formatCode>General</c:formatCode>
                <c:ptCount val="17"/>
                <c:pt idx="0">
                  <c:v>9.2298875029956529E-3</c:v>
                </c:pt>
                <c:pt idx="1">
                  <c:v>5.9581236287391925E-2</c:v>
                </c:pt>
                <c:pt idx="2">
                  <c:v>0.26829741656163808</c:v>
                </c:pt>
                <c:pt idx="3">
                  <c:v>0.90203251386289507</c:v>
                </c:pt>
                <c:pt idx="4">
                  <c:v>2.3880183851761347</c:v>
                </c:pt>
                <c:pt idx="5">
                  <c:v>5.1941482984477778</c:v>
                </c:pt>
                <c:pt idx="6">
                  <c:v>9.6083114452288907</c:v>
                </c:pt>
                <c:pt idx="7">
                  <c:v>15.553337945987035</c:v>
                </c:pt>
                <c:pt idx="8">
                  <c:v>22.564714087392634</c:v>
                </c:pt>
                <c:pt idx="9">
                  <c:v>29.941896074153835</c:v>
                </c:pt>
                <c:pt idx="10">
                  <c:v>36.975313391860801</c:v>
                </c:pt>
                <c:pt idx="11">
                  <c:v>43.131360038456506</c:v>
                </c:pt>
                <c:pt idx="12">
                  <c:v>48.132764058223593</c:v>
                </c:pt>
                <c:pt idx="13">
                  <c:v>51.940045758683638</c:v>
                </c:pt>
                <c:pt idx="14">
                  <c:v>54.677579658518603</c:v>
                </c:pt>
                <c:pt idx="15">
                  <c:v>56.549659419947218</c:v>
                </c:pt>
                <c:pt idx="16">
                  <c:v>57.77455737675276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2F-49D2-B21A-22EC0B0283BF}"/>
            </c:ext>
          </c:extLst>
        </c:ser>
        <c:ser>
          <c:idx val="6"/>
          <c:order val="6"/>
          <c:tx>
            <c:strRef>
              <c:f>'q=0.07'!$L$83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'q=0.07'!$L$84:$L$100</c:f>
              <c:numCache>
                <c:formatCode>General</c:formatCode>
                <c:ptCount val="17"/>
                <c:pt idx="0">
                  <c:v>2.4520415296577659E-2</c:v>
                </c:pt>
                <c:pt idx="1">
                  <c:v>0.12598617259136013</c:v>
                </c:pt>
                <c:pt idx="2">
                  <c:v>0.47460284766857103</c:v>
                </c:pt>
                <c:pt idx="3">
                  <c:v>1.389748575103056</c:v>
                </c:pt>
                <c:pt idx="4">
                  <c:v>3.3113875951390925</c:v>
                </c:pt>
                <c:pt idx="5">
                  <c:v>6.6587505203668753</c:v>
                </c:pt>
                <c:pt idx="6">
                  <c:v>11.63934544721935</c:v>
                </c:pt>
                <c:pt idx="7">
                  <c:v>18.121449368533458</c:v>
                </c:pt>
                <c:pt idx="8">
                  <c:v>25.64560035953383</c:v>
                </c:pt>
                <c:pt idx="9">
                  <c:v>33.561372307903795</c:v>
                </c:pt>
                <c:pt idx="10">
                  <c:v>41.211119712560702</c:v>
                </c:pt>
                <c:pt idx="11">
                  <c:v>48.078768156575023</c:v>
                </c:pt>
                <c:pt idx="12">
                  <c:v>53.861164253514616</c:v>
                </c:pt>
                <c:pt idx="13">
                  <c:v>58.464359248573032</c:v>
                </c:pt>
                <c:pt idx="14">
                  <c:v>61.953080726384279</c:v>
                </c:pt>
                <c:pt idx="15">
                  <c:v>64.485351449981039</c:v>
                </c:pt>
                <c:pt idx="16">
                  <c:v>66.254727926756644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2F-49D2-B21A-22EC0B0283BF}"/>
            </c:ext>
          </c:extLst>
        </c:ser>
        <c:ser>
          <c:idx val="7"/>
          <c:order val="7"/>
          <c:tx>
            <c:strRef>
              <c:f>'q=0.07'!$M$83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6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'q=0.07'!$M$84:$M$100</c:f>
              <c:numCache>
                <c:formatCode>General</c:formatCode>
                <c:ptCount val="17"/>
                <c:pt idx="0">
                  <c:v>5.2056213805608813E-2</c:v>
                </c:pt>
                <c:pt idx="1">
                  <c:v>0.22524027453414761</c:v>
                </c:pt>
                <c:pt idx="2">
                  <c:v>0.74166814116762803</c:v>
                </c:pt>
                <c:pt idx="3">
                  <c:v>1.9564034644456374</c:v>
                </c:pt>
                <c:pt idx="4">
                  <c:v>4.3035900977551771</c:v>
                </c:pt>
                <c:pt idx="5">
                  <c:v>8.1510540834465068</c:v>
                </c:pt>
                <c:pt idx="6">
                  <c:v>13.64099889095074</c:v>
                </c:pt>
                <c:pt idx="7">
                  <c:v>20.604318462344686</c:v>
                </c:pt>
                <c:pt idx="8">
                  <c:v>28.590946558047854</c:v>
                </c:pt>
                <c:pt idx="9">
                  <c:v>36.992515539829306</c:v>
                </c:pt>
                <c:pt idx="10">
                  <c:v>45.194725343232086</c:v>
                </c:pt>
                <c:pt idx="11">
                  <c:v>52.700133872255115</c:v>
                </c:pt>
                <c:pt idx="12">
                  <c:v>59.191301887980558</c:v>
                </c:pt>
                <c:pt idx="13">
                  <c:v>64.535267581357758</c:v>
                </c:pt>
                <c:pt idx="14">
                  <c:v>68.74869816848404</c:v>
                </c:pt>
                <c:pt idx="15">
                  <c:v>71.946909748032823</c:v>
                </c:pt>
                <c:pt idx="16">
                  <c:v>74.294573509586627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2F-49D2-B21A-22EC0B0283BF}"/>
            </c:ext>
          </c:extLst>
        </c:ser>
        <c:ser>
          <c:idx val="8"/>
          <c:order val="8"/>
          <c:tx>
            <c:strRef>
              <c:f>'q=0.07'!$N$83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86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'q=0.07'!$N$84:$N$100</c:f>
              <c:numCache>
                <c:formatCode>General</c:formatCode>
                <c:ptCount val="17"/>
                <c:pt idx="0">
                  <c:v>9.4902121725554622E-2</c:v>
                </c:pt>
                <c:pt idx="1">
                  <c:v>0.35907538786587362</c:v>
                </c:pt>
                <c:pt idx="2">
                  <c:v>1.0642484933536429</c:v>
                </c:pt>
                <c:pt idx="3">
                  <c:v>2.5866564161503889</c:v>
                </c:pt>
                <c:pt idx="4">
                  <c:v>5.3434469525065786</c:v>
                </c:pt>
                <c:pt idx="5">
                  <c:v>9.6529769514237547</c:v>
                </c:pt>
                <c:pt idx="6">
                  <c:v>15.60468563211287</c:v>
                </c:pt>
                <c:pt idx="7">
                  <c:v>23.003627049134796</c:v>
                </c:pt>
                <c:pt idx="8">
                  <c:v>31.411162170320832</c:v>
                </c:pt>
                <c:pt idx="9">
                  <c:v>40.254888141963221</c:v>
                </c:pt>
                <c:pt idx="10">
                  <c:v>48.957423525481239</c:v>
                </c:pt>
                <c:pt idx="11">
                  <c:v>57.039801705431337</c:v>
                </c:pt>
                <c:pt idx="12">
                  <c:v>64.177489590573529</c:v>
                </c:pt>
                <c:pt idx="13">
                  <c:v>70.209418661540042</c:v>
                </c:pt>
                <c:pt idx="14">
                  <c:v>75.113866425872715</c:v>
                </c:pt>
                <c:pt idx="15">
                  <c:v>78.968495639134332</c:v>
                </c:pt>
                <c:pt idx="16">
                  <c:v>81.908721748212074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2F-49D2-B21A-22EC0B0283BF}"/>
            </c:ext>
          </c:extLst>
        </c:ser>
        <c:ser>
          <c:idx val="9"/>
          <c:order val="9"/>
          <c:tx>
            <c:strRef>
              <c:f>'q=0.07'!$O$83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'q=0.07'!$O$84:$O$100</c:f>
              <c:numCache>
                <c:formatCode>General</c:formatCode>
                <c:ptCount val="17"/>
                <c:pt idx="0">
                  <c:v>0.15521694542801345</c:v>
                </c:pt>
                <c:pt idx="1">
                  <c:v>0.52729749633544898</c:v>
                </c:pt>
                <c:pt idx="2">
                  <c:v>1.4359794705245368</c:v>
                </c:pt>
                <c:pt idx="3">
                  <c:v>3.2672614437569631</c:v>
                </c:pt>
                <c:pt idx="4">
                  <c:v>6.4150643190364951</c:v>
                </c:pt>
                <c:pt idx="5">
                  <c:v>11.152160737012329</c:v>
                </c:pt>
                <c:pt idx="6">
                  <c:v>17.525319910014311</c:v>
                </c:pt>
                <c:pt idx="7">
                  <c:v>25.3217142066426</c:v>
                </c:pt>
                <c:pt idx="8">
                  <c:v>34.114964743227638</c:v>
                </c:pt>
                <c:pt idx="9">
                  <c:v>43.363898408262997</c:v>
                </c:pt>
                <c:pt idx="10">
                  <c:v>52.52309308012174</c:v>
                </c:pt>
                <c:pt idx="11">
                  <c:v>61.131357626505604</c:v>
                </c:pt>
                <c:pt idx="12">
                  <c:v>68.861652060036761</c:v>
                </c:pt>
                <c:pt idx="13">
                  <c:v>75.532602508433868</c:v>
                </c:pt>
                <c:pt idx="14">
                  <c:v>81.091873917064802</c:v>
                </c:pt>
                <c:pt idx="15">
                  <c:v>85.584643507964813</c:v>
                </c:pt>
                <c:pt idx="16">
                  <c:v>89.11854501523824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2F-49D2-B21A-22EC0B0283BF}"/>
            </c:ext>
          </c:extLst>
        </c:ser>
        <c:ser>
          <c:idx val="10"/>
          <c:order val="10"/>
          <c:tx>
            <c:strRef>
              <c:f>'q=0.07'!$P$83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8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'q=0.07'!$P$84:$P$100</c:f>
              <c:numCache>
                <c:formatCode>General</c:formatCode>
                <c:ptCount val="17"/>
                <c:pt idx="0">
                  <c:v>1.7354593671584764</c:v>
                </c:pt>
                <c:pt idx="1">
                  <c:v>3.6004424133832944</c:v>
                </c:pt>
                <c:pt idx="2">
                  <c:v>6.6400237631317856</c:v>
                </c:pt>
                <c:pt idx="3">
                  <c:v>11.122134321398507</c:v>
                </c:pt>
                <c:pt idx="4">
                  <c:v>17.206369191898869</c:v>
                </c:pt>
                <c:pt idx="5">
                  <c:v>24.913815446050119</c:v>
                </c:pt>
                <c:pt idx="6">
                  <c:v>34.125245424839875</c:v>
                </c:pt>
                <c:pt idx="7">
                  <c:v>44.603222308203563</c:v>
                </c:pt>
                <c:pt idx="8">
                  <c:v>56.028905523525445</c:v>
                </c:pt>
                <c:pt idx="9">
                  <c:v>68.043627727636178</c:v>
                </c:pt>
                <c:pt idx="10">
                  <c:v>80.287284183261406</c:v>
                </c:pt>
                <c:pt idx="11">
                  <c:v>92.428634802901385</c:v>
                </c:pt>
                <c:pt idx="12">
                  <c:v>104.18557653103808</c:v>
                </c:pt>
                <c:pt idx="13">
                  <c:v>115.33567258992544</c:v>
                </c:pt>
                <c:pt idx="14">
                  <c:v>125.71856185367685</c:v>
                </c:pt>
                <c:pt idx="15">
                  <c:v>135.23242990264453</c:v>
                </c:pt>
                <c:pt idx="16">
                  <c:v>143.82672969577865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2F-49D2-B21A-22EC0B0283BF}"/>
            </c:ext>
          </c:extLst>
        </c:ser>
        <c:ser>
          <c:idx val="11"/>
          <c:order val="11"/>
          <c:tx>
            <c:strRef>
              <c:f>'q=0.07'!$Q$83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58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'q=0.07'!$Q$84:$Q$100</c:f>
              <c:numCache>
                <c:formatCode>General</c:formatCode>
                <c:ptCount val="17"/>
                <c:pt idx="0">
                  <c:v>4.3962341307409556</c:v>
                </c:pt>
                <c:pt idx="1">
                  <c:v>7.6889492168123255</c:v>
                </c:pt>
                <c:pt idx="2">
                  <c:v>12.371380631875709</c:v>
                </c:pt>
                <c:pt idx="3">
                  <c:v>18.586982349131656</c:v>
                </c:pt>
                <c:pt idx="4">
                  <c:v>26.380942264929676</c:v>
                </c:pt>
                <c:pt idx="5">
                  <c:v>35.69980124500924</c:v>
                </c:pt>
                <c:pt idx="6">
                  <c:v>46.403663690740046</c:v>
                </c:pt>
                <c:pt idx="7">
                  <c:v>58.286243712645245</c:v>
                </c:pt>
                <c:pt idx="8">
                  <c:v>71.098088347771665</c:v>
                </c:pt>
                <c:pt idx="9">
                  <c:v>84.569278501111782</c:v>
                </c:pt>
                <c:pt idx="10">
                  <c:v>98.42916272636306</c:v>
                </c:pt>
                <c:pt idx="11">
                  <c:v>112.42186041758517</c:v>
                </c:pt>
                <c:pt idx="12">
                  <c:v>126.31719876049428</c:v>
                </c:pt>
                <c:pt idx="13">
                  <c:v>139.91737464393177</c:v>
                </c:pt>
                <c:pt idx="14">
                  <c:v>153.05998778970587</c:v>
                </c:pt>
                <c:pt idx="15">
                  <c:v>165.61823642720458</c:v>
                </c:pt>
                <c:pt idx="16">
                  <c:v>177.49906897101769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2F-49D2-B21A-22EC0B0283BF}"/>
            </c:ext>
          </c:extLst>
        </c:ser>
        <c:ser>
          <c:idx val="12"/>
          <c:order val="12"/>
          <c:tx>
            <c:strRef>
              <c:f>'q=0.07'!$R$83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9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'q=0.07'!$R$84:$R$100</c:f>
              <c:numCache>
                <c:formatCode>General</c:formatCode>
                <c:ptCount val="17"/>
                <c:pt idx="0">
                  <c:v>7.2627317340548592</c:v>
                </c:pt>
                <c:pt idx="1">
                  <c:v>11.630153969558432</c:v>
                </c:pt>
                <c:pt idx="2">
                  <c:v>17.42979646437589</c:v>
                </c:pt>
                <c:pt idx="3">
                  <c:v>24.732806534004254</c:v>
                </c:pt>
                <c:pt idx="4">
                  <c:v>33.533178600251645</c:v>
                </c:pt>
                <c:pt idx="5">
                  <c:v>43.754902400533958</c:v>
                </c:pt>
                <c:pt idx="6">
                  <c:v>55.264610155472937</c:v>
                </c:pt>
                <c:pt idx="7">
                  <c:v>67.886806397582191</c:v>
                </c:pt>
                <c:pt idx="8">
                  <c:v>81.419371834533408</c:v>
                </c:pt>
                <c:pt idx="9">
                  <c:v>95.647761295166291</c:v>
                </c:pt>
                <c:pt idx="10">
                  <c:v>110.35698687608058</c:v>
                </c:pt>
                <c:pt idx="11">
                  <c:v>125.34100977271596</c:v>
                </c:pt>
                <c:pt idx="12">
                  <c:v>140.40953978725537</c:v>
                </c:pt>
                <c:pt idx="13">
                  <c:v>155.3924758707943</c:v>
                </c:pt>
                <c:pt idx="14">
                  <c:v>170.14234387374253</c:v>
                </c:pt>
                <c:pt idx="15">
                  <c:v>184.53513061577701</c:v>
                </c:pt>
                <c:pt idx="16">
                  <c:v>198.46990430288974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12F-49D2-B21A-22EC0B0283BF}"/>
            </c:ext>
          </c:extLst>
        </c:ser>
        <c:ser>
          <c:idx val="13"/>
          <c:order val="13"/>
          <c:tx>
            <c:strRef>
              <c:f>'q=0.07'!$S$83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0000"/>
                  <a:shade val="95000"/>
                </a:schemeClr>
              </a:contourClr>
            </a:sp3d>
          </c:spPr>
          <c:cat>
            <c:numRef>
              <c:f>'q=0.07'!$E$84:$E$100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'q=0.07'!$S$84:$S$100</c:f>
              <c:numCache>
                <c:formatCode>General</c:formatCode>
                <c:ptCount val="17"/>
                <c:pt idx="0">
                  <c:v>9.912600674666356</c:v>
                </c:pt>
                <c:pt idx="1">
                  <c:v>15.032626989455691</c:v>
                </c:pt>
                <c:pt idx="2">
                  <c:v>21.557339836710455</c:v>
                </c:pt>
                <c:pt idx="3">
                  <c:v>29.516896173740051</c:v>
                </c:pt>
                <c:pt idx="4">
                  <c:v>38.881855371094851</c:v>
                </c:pt>
                <c:pt idx="5">
                  <c:v>49.571666142621915</c:v>
                </c:pt>
                <c:pt idx="6">
                  <c:v>61.465496774412927</c:v>
                </c:pt>
                <c:pt idx="7">
                  <c:v>74.41370195857175</c:v>
                </c:pt>
                <c:pt idx="8">
                  <c:v>88.248733081776592</c:v>
                </c:pt>
                <c:pt idx="9">
                  <c:v>102.79476412724358</c:v>
                </c:pt>
                <c:pt idx="10">
                  <c:v>117.87567491852178</c:v>
                </c:pt>
                <c:pt idx="11">
                  <c:v>133.32129907699746</c:v>
                </c:pt>
                <c:pt idx="12">
                  <c:v>148.97201740639036</c:v>
                </c:pt>
                <c:pt idx="13">
                  <c:v>164.68187758166286</c:v>
                </c:pt>
                <c:pt idx="14">
                  <c:v>180.32046780810791</c:v>
                </c:pt>
                <c:pt idx="15">
                  <c:v>195.77378279256186</c:v>
                </c:pt>
                <c:pt idx="16">
                  <c:v>210.94430856702655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12F-49D2-B21A-22EC0B0283BF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20000"/>
                    <a:shade val="95000"/>
                  </a:schemeClr>
                </a:contourClr>
              </a:sp3d>
            </c:spPr>
          </c:bandFmt>
        </c:bandFmts>
        <c:axId val="102552592"/>
        <c:axId val="102549712"/>
        <c:axId val="707534880"/>
      </c:surface3DChart>
      <c:catAx>
        <c:axId val="102552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  <c:auto val="1"/>
        <c:lblAlgn val="ctr"/>
        <c:lblOffset val="100"/>
        <c:noMultiLvlLbl val="0"/>
      </c:catAx>
      <c:valAx>
        <c:axId val="1025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52592"/>
        <c:crosses val="autoZero"/>
        <c:crossBetween val="midCat"/>
      </c:valAx>
      <c:serAx>
        <c:axId val="7075348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q = 25%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'q=0.25'!$F$2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0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'q=0.25'!$F$3:$F$19</c:f>
              <c:numCache>
                <c:formatCode>General</c:formatCode>
                <c:ptCount val="17"/>
                <c:pt idx="0">
                  <c:v>1.7635362740542486E-17</c:v>
                </c:pt>
                <c:pt idx="1">
                  <c:v>3.9594040605447539E-13</c:v>
                </c:pt>
                <c:pt idx="2">
                  <c:v>1.0399371175032211E-9</c:v>
                </c:pt>
                <c:pt idx="3">
                  <c:v>4.7574112001321476E-7</c:v>
                </c:pt>
                <c:pt idx="4">
                  <c:v>5.1770215297262468E-5</c:v>
                </c:pt>
                <c:pt idx="5">
                  <c:v>1.7206863543721312E-3</c:v>
                </c:pt>
                <c:pt idx="6">
                  <c:v>2.147444591650198E-2</c:v>
                </c:pt>
                <c:pt idx="7">
                  <c:v>0.12021167385476657</c:v>
                </c:pt>
                <c:pt idx="8">
                  <c:v>0.35498961004221058</c:v>
                </c:pt>
                <c:pt idx="9">
                  <c:v>0.64767157752988336</c:v>
                </c:pt>
                <c:pt idx="10">
                  <c:v>0.85515130750403345</c:v>
                </c:pt>
                <c:pt idx="11">
                  <c:v>0.94477981615077811</c:v>
                </c:pt>
                <c:pt idx="12">
                  <c:v>0.96982489689265683</c:v>
                </c:pt>
                <c:pt idx="13">
                  <c:v>0.97459260666795378</c:v>
                </c:pt>
                <c:pt idx="14">
                  <c:v>0.97523949042893521</c:v>
                </c:pt>
                <c:pt idx="15">
                  <c:v>0.9753045650699349</c:v>
                </c:pt>
                <c:pt idx="16">
                  <c:v>0.97530958928464095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F5-4B79-BCF9-03D880D322E5}"/>
            </c:ext>
          </c:extLst>
        </c:ser>
        <c:ser>
          <c:idx val="1"/>
          <c:order val="1"/>
          <c:tx>
            <c:strRef>
              <c:f>'q=0.25'!$G$2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49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'q=0.25'!$G$3:$G$19</c:f>
              <c:numCache>
                <c:formatCode>General</c:formatCode>
                <c:ptCount val="17"/>
                <c:pt idx="0">
                  <c:v>2.6324272829681508E-10</c:v>
                </c:pt>
                <c:pt idx="1">
                  <c:v>5.2646862594659445E-8</c:v>
                </c:pt>
                <c:pt idx="2">
                  <c:v>3.5554247767257793E-6</c:v>
                </c:pt>
                <c:pt idx="3">
                  <c:v>9.9232390384096117E-5</c:v>
                </c:pt>
                <c:pt idx="4">
                  <c:v>1.3410191544449932E-3</c:v>
                </c:pt>
                <c:pt idx="5">
                  <c:v>9.9623468913253993E-3</c:v>
                </c:pt>
                <c:pt idx="6">
                  <c:v>4.5154331423385458E-2</c:v>
                </c:pt>
                <c:pt idx="7">
                  <c:v>0.13635388246331182</c:v>
                </c:pt>
                <c:pt idx="8">
                  <c:v>0.29619635157054758</c:v>
                </c:pt>
                <c:pt idx="9">
                  <c:v>0.49592860606289174</c:v>
                </c:pt>
                <c:pt idx="10">
                  <c:v>0.68193906262440018</c:v>
                </c:pt>
                <c:pt idx="11">
                  <c:v>0.81599962749386679</c:v>
                </c:pt>
                <c:pt idx="12">
                  <c:v>0.89321004213346389</c:v>
                </c:pt>
                <c:pt idx="13">
                  <c:v>0.9297366104344762</c:v>
                </c:pt>
                <c:pt idx="14">
                  <c:v>0.94427071577625943</c:v>
                </c:pt>
                <c:pt idx="15">
                  <c:v>0.94923562267180484</c:v>
                </c:pt>
                <c:pt idx="16">
                  <c:v>0.95071780255102711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F5-4B79-BCF9-03D880D322E5}"/>
            </c:ext>
          </c:extLst>
        </c:ser>
        <c:ser>
          <c:idx val="2"/>
          <c:order val="2"/>
          <c:tx>
            <c:strRef>
              <c:f>'q=0.25'!$H$2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58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'q=0.25'!$H$3:$H$19</c:f>
              <c:numCache>
                <c:formatCode>General</c:formatCode>
                <c:ptCount val="17"/>
                <c:pt idx="0">
                  <c:v>6.4791928598724755E-8</c:v>
                </c:pt>
                <c:pt idx="1">
                  <c:v>2.6722297586442128E-6</c:v>
                </c:pt>
                <c:pt idx="2">
                  <c:v>5.2925886372297011E-5</c:v>
                </c:pt>
                <c:pt idx="3">
                  <c:v>5.769233503775189E-4</c:v>
                </c:pt>
                <c:pt idx="4">
                  <c:v>3.8513695915863943E-3</c:v>
                </c:pt>
                <c:pt idx="5">
                  <c:v>1.7149856324892649E-2</c:v>
                </c:pt>
                <c:pt idx="6">
                  <c:v>5.4619531338227868E-2</c:v>
                </c:pt>
                <c:pt idx="7">
                  <c:v>0.13187315953065398</c:v>
                </c:pt>
                <c:pt idx="8">
                  <c:v>0.25366585743618625</c:v>
                </c:pt>
                <c:pt idx="9">
                  <c:v>0.40596348362849449</c:v>
                </c:pt>
                <c:pt idx="10">
                  <c:v>0.56173251066193164</c:v>
                </c:pt>
                <c:pt idx="11">
                  <c:v>0.69547186204320355</c:v>
                </c:pt>
                <c:pt idx="12">
                  <c:v>0.79401080787727707</c:v>
                </c:pt>
                <c:pt idx="13">
                  <c:v>0.85750191447733592</c:v>
                </c:pt>
                <c:pt idx="14">
                  <c:v>0.89386018744890372</c:v>
                </c:pt>
                <c:pt idx="15">
                  <c:v>0.91262494440429587</c:v>
                </c:pt>
                <c:pt idx="16">
                  <c:v>0.9214595277961426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F5-4B79-BCF9-03D880D322E5}"/>
            </c:ext>
          </c:extLst>
        </c:ser>
        <c:ser>
          <c:idx val="3"/>
          <c:order val="3"/>
          <c:tx>
            <c:strRef>
              <c:f>'q=0.25'!$I$2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68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'q=0.25'!$I$3:$I$19</c:f>
              <c:numCache>
                <c:formatCode>General</c:formatCode>
                <c:ptCount val="17"/>
                <c:pt idx="0">
                  <c:v>9.9529525637344197E-7</c:v>
                </c:pt>
                <c:pt idx="1">
                  <c:v>1.8583828940462629E-5</c:v>
                </c:pt>
                <c:pt idx="2">
                  <c:v>1.9860552519426338E-4</c:v>
                </c:pt>
                <c:pt idx="3">
                  <c:v>1.3471809016369041E-3</c:v>
                </c:pt>
                <c:pt idx="4">
                  <c:v>6.2891734311124586E-3</c:v>
                </c:pt>
                <c:pt idx="5">
                  <c:v>2.155524092418995E-2</c:v>
                </c:pt>
                <c:pt idx="6">
                  <c:v>5.7163763301958298E-2</c:v>
                </c:pt>
                <c:pt idx="7">
                  <c:v>0.12251733489966447</c:v>
                </c:pt>
                <c:pt idx="8">
                  <c:v>0.22015420321200582</c:v>
                </c:pt>
                <c:pt idx="9">
                  <c:v>0.34228887840716193</c:v>
                </c:pt>
                <c:pt idx="10">
                  <c:v>0.4732687535937245</c:v>
                </c:pt>
                <c:pt idx="11">
                  <c:v>0.59611478174374022</c:v>
                </c:pt>
                <c:pt idx="12">
                  <c:v>0.69859677267448594</c:v>
                </c:pt>
                <c:pt idx="13">
                  <c:v>0.77574494157499396</c:v>
                </c:pt>
                <c:pt idx="14">
                  <c:v>0.82880480942787027</c:v>
                </c:pt>
                <c:pt idx="15">
                  <c:v>0.86250236443085071</c:v>
                </c:pt>
                <c:pt idx="16">
                  <c:v>0.88244719911086666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F5-4B79-BCF9-03D880D322E5}"/>
            </c:ext>
          </c:extLst>
        </c:ser>
        <c:ser>
          <c:idx val="4"/>
          <c:order val="4"/>
          <c:tx>
            <c:strRef>
              <c:f>'q=0.25'!$J$2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77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'q=0.25'!$J$3:$J$19</c:f>
              <c:numCache>
                <c:formatCode>General</c:formatCode>
                <c:ptCount val="17"/>
                <c:pt idx="0">
                  <c:v>5.0038789678518044E-6</c:v>
                </c:pt>
                <c:pt idx="1">
                  <c:v>5.7958184735141623E-5</c:v>
                </c:pt>
                <c:pt idx="2">
                  <c:v>4.2678729078219247E-4</c:v>
                </c:pt>
                <c:pt idx="3">
                  <c:v>2.1722156093170407E-3</c:v>
                </c:pt>
                <c:pt idx="4">
                  <c:v>8.1581566285047445E-3</c:v>
                </c:pt>
                <c:pt idx="5">
                  <c:v>2.3818437431377449E-2</c:v>
                </c:pt>
                <c:pt idx="6">
                  <c:v>5.6392231630515315E-2</c:v>
                </c:pt>
                <c:pt idx="7">
                  <c:v>0.11210864033254586</c:v>
                </c:pt>
                <c:pt idx="8">
                  <c:v>0.19268288832457969</c:v>
                </c:pt>
                <c:pt idx="9">
                  <c:v>0.29349479315377769</c:v>
                </c:pt>
                <c:pt idx="10">
                  <c:v>0.40474412595558457</c:v>
                </c:pt>
                <c:pt idx="11">
                  <c:v>0.51479685662811747</c:v>
                </c:pt>
                <c:pt idx="12">
                  <c:v>0.61374237557450773</c:v>
                </c:pt>
                <c:pt idx="13">
                  <c:v>0.69554685870599953</c:v>
                </c:pt>
                <c:pt idx="14">
                  <c:v>0.75836867951388787</c:v>
                </c:pt>
                <c:pt idx="15">
                  <c:v>0.80357079474515403</c:v>
                </c:pt>
                <c:pt idx="16">
                  <c:v>0.83427363918867758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F5-4B79-BCF9-03D880D322E5}"/>
            </c:ext>
          </c:extLst>
        </c:ser>
        <c:ser>
          <c:idx val="5"/>
          <c:order val="5"/>
          <c:tx>
            <c:strRef>
              <c:f>'q=0.25'!$K$2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86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'q=0.25'!$K$3:$K$19</c:f>
              <c:numCache>
                <c:formatCode>General</c:formatCode>
                <c:ptCount val="17"/>
                <c:pt idx="0">
                  <c:v>1.4344407660019169E-5</c:v>
                </c:pt>
                <c:pt idx="1">
                  <c:v>1.2067932159426278E-4</c:v>
                </c:pt>
                <c:pt idx="2">
                  <c:v>6.9217165050239338E-4</c:v>
                </c:pt>
                <c:pt idx="3">
                  <c:v>2.9039853008745458E-3</c:v>
                </c:pt>
                <c:pt idx="4">
                  <c:v>9.4162159527509132E-3</c:v>
                </c:pt>
                <c:pt idx="5">
                  <c:v>2.4653864350213533E-2</c:v>
                </c:pt>
                <c:pt idx="6">
                  <c:v>5.4002564313303095E-2</c:v>
                </c:pt>
                <c:pt idx="7">
                  <c:v>0.10188564632540299</c:v>
                </c:pt>
                <c:pt idx="8">
                  <c:v>0.16963815076469452</c:v>
                </c:pt>
                <c:pt idx="9">
                  <c:v>0.25441954290057089</c:v>
                </c:pt>
                <c:pt idx="10">
                  <c:v>0.34978625738235991</c:v>
                </c:pt>
                <c:pt idx="11">
                  <c:v>0.44755084260487332</c:v>
                </c:pt>
                <c:pt idx="12">
                  <c:v>0.53995908606556486</c:v>
                </c:pt>
                <c:pt idx="13">
                  <c:v>0.62129713775849627</c:v>
                </c:pt>
                <c:pt idx="14">
                  <c:v>0.68853661436655378</c:v>
                </c:pt>
                <c:pt idx="15">
                  <c:v>0.74112434014610118</c:v>
                </c:pt>
                <c:pt idx="16">
                  <c:v>0.78028303904220975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F5-4B79-BCF9-03D880D322E5}"/>
            </c:ext>
          </c:extLst>
        </c:ser>
        <c:ser>
          <c:idx val="6"/>
          <c:order val="6"/>
          <c:tx>
            <c:strRef>
              <c:f>'q=0.25'!$L$2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6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'q=0.25'!$L$3:$L$19</c:f>
              <c:numCache>
                <c:formatCode>General</c:formatCode>
                <c:ptCount val="17"/>
                <c:pt idx="0">
                  <c:v>2.9777775371640747E-5</c:v>
                </c:pt>
                <c:pt idx="1">
                  <c:v>1.9916640929537374E-4</c:v>
                </c:pt>
                <c:pt idx="2">
                  <c:v>9.5456005862756376E-4</c:v>
                </c:pt>
                <c:pt idx="3">
                  <c:v>3.4843716745513341E-3</c:v>
                </c:pt>
                <c:pt idx="4">
                  <c:v>1.0159418162377367E-2</c:v>
                </c:pt>
                <c:pt idx="5">
                  <c:v>2.4574814521215762E-2</c:v>
                </c:pt>
                <c:pt idx="6">
                  <c:v>5.084901203927164E-2</c:v>
                </c:pt>
                <c:pt idx="7">
                  <c:v>9.2287566067974086E-2</c:v>
                </c:pt>
                <c:pt idx="8">
                  <c:v>0.15001198151803896</c:v>
                </c:pt>
                <c:pt idx="9">
                  <c:v>0.22225185989242846</c:v>
                </c:pt>
                <c:pt idx="10">
                  <c:v>0.30463238139907123</c:v>
                </c:pt>
                <c:pt idx="11">
                  <c:v>0.3912670971825371</c:v>
                </c:pt>
                <c:pt idx="12">
                  <c:v>0.47614123417780357</c:v>
                </c:pt>
                <c:pt idx="13">
                  <c:v>0.55427186418486496</c:v>
                </c:pt>
                <c:pt idx="14">
                  <c:v>0.62235518804861711</c:v>
                </c:pt>
                <c:pt idx="15">
                  <c:v>0.67887488889479874</c:v>
                </c:pt>
                <c:pt idx="16">
                  <c:v>0.72382111276594396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F5-4B79-BCF9-03D880D322E5}"/>
            </c:ext>
          </c:extLst>
        </c:ser>
        <c:ser>
          <c:idx val="7"/>
          <c:order val="7"/>
          <c:tx>
            <c:strRef>
              <c:f>'q=0.25'!$M$2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'q=0.25'!$M$3:$M$19</c:f>
              <c:numCache>
                <c:formatCode>General</c:formatCode>
                <c:ptCount val="17"/>
                <c:pt idx="0">
                  <c:v>5.0474427704031234E-5</c:v>
                </c:pt>
                <c:pt idx="1">
                  <c:v>2.8401553675815407E-4</c:v>
                </c:pt>
                <c:pt idx="2">
                  <c:v>1.1887107620173322E-3</c:v>
                </c:pt>
                <c:pt idx="3">
                  <c:v>3.9054558836143088E-3</c:v>
                </c:pt>
                <c:pt idx="4">
                  <c:v>1.0505367155968561E-2</c:v>
                </c:pt>
                <c:pt idx="5">
                  <c:v>2.392355378665395E-2</c:v>
                </c:pt>
                <c:pt idx="6">
                  <c:v>4.7385203878396731E-2</c:v>
                </c:pt>
                <c:pt idx="7">
                  <c:v>8.3456536893389485E-2</c:v>
                </c:pt>
                <c:pt idx="8">
                  <c:v>0.13311722031320528</c:v>
                </c:pt>
                <c:pt idx="9">
                  <c:v>0.1952701610471749</c:v>
                </c:pt>
                <c:pt idx="10">
                  <c:v>0.26688135139271429</c:v>
                </c:pt>
                <c:pt idx="11">
                  <c:v>0.34364821133787443</c:v>
                </c:pt>
                <c:pt idx="12">
                  <c:v>0.42090548364547697</c:v>
                </c:pt>
                <c:pt idx="13">
                  <c:v>0.49445850351458309</c:v>
                </c:pt>
                <c:pt idx="14">
                  <c:v>0.56113996345741934</c:v>
                </c:pt>
                <c:pt idx="15">
                  <c:v>0.61903040291174249</c:v>
                </c:pt>
                <c:pt idx="16">
                  <c:v>0.6673952806056298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F5-4B79-BCF9-03D880D322E5}"/>
            </c:ext>
          </c:extLst>
        </c:ser>
        <c:ser>
          <c:idx val="8"/>
          <c:order val="8"/>
          <c:tx>
            <c:strRef>
              <c:f>'q=0.25'!$N$2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6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'q=0.25'!$N$3:$N$19</c:f>
              <c:numCache>
                <c:formatCode>General</c:formatCode>
                <c:ptCount val="17"/>
                <c:pt idx="0">
                  <c:v>7.4697321005074267E-5</c:v>
                </c:pt>
                <c:pt idx="1">
                  <c:v>3.6723397587631564E-4</c:v>
                </c:pt>
                <c:pt idx="2">
                  <c:v>1.3823852559096338E-3</c:v>
                </c:pt>
                <c:pt idx="3">
                  <c:v>4.1818963158455303E-3</c:v>
                </c:pt>
                <c:pt idx="4">
                  <c:v>1.0558172251922284E-2</c:v>
                </c:pt>
                <c:pt idx="5">
                  <c:v>2.292531618990087E-2</c:v>
                </c:pt>
                <c:pt idx="6">
                  <c:v>4.3860047977859598E-2</c:v>
                </c:pt>
                <c:pt idx="7">
                  <c:v>7.5413021184200332E-2</c:v>
                </c:pt>
                <c:pt idx="8">
                  <c:v>0.11845703943873333</c:v>
                </c:pt>
                <c:pt idx="9">
                  <c:v>0.17233190669710124</c:v>
                </c:pt>
                <c:pt idx="10">
                  <c:v>0.23490509497445669</c:v>
                </c:pt>
                <c:pt idx="11">
                  <c:v>0.30299214394770152</c:v>
                </c:pt>
                <c:pt idx="12">
                  <c:v>0.37296442286704934</c:v>
                </c:pt>
                <c:pt idx="13">
                  <c:v>0.44135010829077814</c:v>
                </c:pt>
                <c:pt idx="14">
                  <c:v>0.50528633929806621</c:v>
                </c:pt>
                <c:pt idx="15">
                  <c:v>0.56276170458081798</c:v>
                </c:pt>
                <c:pt idx="16">
                  <c:v>0.61265971657634766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F5-4B79-BCF9-03D880D322E5}"/>
            </c:ext>
          </c:extLst>
        </c:ser>
        <c:ser>
          <c:idx val="9"/>
          <c:order val="9"/>
          <c:tx>
            <c:strRef>
              <c:f>'q=0.25'!$O$2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'q=0.25'!$O$3:$O$19</c:f>
              <c:numCache>
                <c:formatCode>General</c:formatCode>
                <c:ptCount val="17"/>
                <c:pt idx="0">
                  <c:v>1.0048764990417272E-4</c:v>
                </c:pt>
                <c:pt idx="1">
                  <c:v>4.4324083912756037E-4</c:v>
                </c:pt>
                <c:pt idx="2">
                  <c:v>1.5320534393548724E-3</c:v>
                </c:pt>
                <c:pt idx="3">
                  <c:v>4.336258610425049E-3</c:v>
                </c:pt>
                <c:pt idx="4">
                  <c:v>1.0401210791043624E-2</c:v>
                </c:pt>
                <c:pt idx="5">
                  <c:v>2.1728528388777358E-2</c:v>
                </c:pt>
                <c:pt idx="6">
                  <c:v>4.0411596427234221E-2</c:v>
                </c:pt>
                <c:pt idx="7">
                  <c:v>6.8125908505474453E-2</c:v>
                </c:pt>
                <c:pt idx="8">
                  <c:v>0.10565683450125576</c:v>
                </c:pt>
                <c:pt idx="9">
                  <c:v>0.15263349633925849</c:v>
                </c:pt>
                <c:pt idx="10">
                  <c:v>0.20754629670784833</c:v>
                </c:pt>
                <c:pt idx="11">
                  <c:v>0.26801651336607218</c:v>
                </c:pt>
                <c:pt idx="12">
                  <c:v>0.33121197995982127</c:v>
                </c:pt>
                <c:pt idx="13">
                  <c:v>0.39428364337217925</c:v>
                </c:pt>
                <c:pt idx="14">
                  <c:v>0.45472369615355024</c:v>
                </c:pt>
                <c:pt idx="15">
                  <c:v>0.51059294023350899</c:v>
                </c:pt>
                <c:pt idx="16">
                  <c:v>0.56061062319257837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F5-4B79-BCF9-03D880D322E5}"/>
            </c:ext>
          </c:extLst>
        </c:ser>
        <c:ser>
          <c:idx val="10"/>
          <c:order val="10"/>
          <c:tx>
            <c:strRef>
              <c:f>'q=0.25'!$P$2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7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'q=0.25'!$P$3:$P$19</c:f>
              <c:numCache>
                <c:formatCode>General</c:formatCode>
                <c:ptCount val="17"/>
                <c:pt idx="0">
                  <c:v>2.3494238886576882E-4</c:v>
                </c:pt>
                <c:pt idx="1">
                  <c:v>6.3054357499952435E-4</c:v>
                </c:pt>
                <c:pt idx="2">
                  <c:v>1.4715696099788988E-3</c:v>
                </c:pt>
                <c:pt idx="3">
                  <c:v>3.0598143739430012E-3</c:v>
                </c:pt>
                <c:pt idx="4">
                  <c:v>5.7769657628360463E-3</c:v>
                </c:pt>
                <c:pt idx="5">
                  <c:v>1.0054140593671563E-2</c:v>
                </c:pt>
                <c:pt idx="6">
                  <c:v>1.6327089932861086E-2</c:v>
                </c:pt>
                <c:pt idx="7">
                  <c:v>2.4986023676578286E-2</c:v>
                </c:pt>
                <c:pt idx="8">
                  <c:v>3.632964909073063E-2</c:v>
                </c:pt>
                <c:pt idx="9">
                  <c:v>5.053106389943917E-2</c:v>
                </c:pt>
                <c:pt idx="10">
                  <c:v>6.7619767803952985E-2</c:v>
                </c:pt>
                <c:pt idx="11">
                  <c:v>8.748049341386839E-2</c:v>
                </c:pt>
                <c:pt idx="12">
                  <c:v>0.10986669292976005</c:v>
                </c:pt>
                <c:pt idx="13">
                  <c:v>0.13442476085901769</c:v>
                </c:pt>
                <c:pt idx="14">
                  <c:v>0.16072443617691481</c:v>
                </c:pt>
                <c:pt idx="15">
                  <c:v>0.18829107554601021</c:v>
                </c:pt>
                <c:pt idx="16">
                  <c:v>0.21663629528274558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F5-4B79-BCF9-03D880D322E5}"/>
            </c:ext>
          </c:extLst>
        </c:ser>
        <c:ser>
          <c:idx val="11"/>
          <c:order val="11"/>
          <c:tx>
            <c:strRef>
              <c:f>'q=0.25'!$Q$2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8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'q=0.25'!$Q$3:$Q$19</c:f>
              <c:numCache>
                <c:formatCode>General</c:formatCode>
                <c:ptCount val="17"/>
                <c:pt idx="0">
                  <c:v>1.7127264610472355E-4</c:v>
                </c:pt>
                <c:pt idx="1">
                  <c:v>3.8717918148810978E-4</c:v>
                </c:pt>
                <c:pt idx="2">
                  <c:v>7.8806885603539335E-4</c:v>
                </c:pt>
                <c:pt idx="3">
                  <c:v>1.470087172083068E-3</c:v>
                </c:pt>
                <c:pt idx="4">
                  <c:v>2.548501463291458E-3</c:v>
                </c:pt>
                <c:pt idx="5">
                  <c:v>4.1514250228806178E-3</c:v>
                </c:pt>
                <c:pt idx="6">
                  <c:v>6.4115372459854943E-3</c:v>
                </c:pt>
                <c:pt idx="7">
                  <c:v>9.4569876628134431E-3</c:v>
                </c:pt>
                <c:pt idx="8">
                  <c:v>1.3402649042058035E-2</c:v>
                </c:pt>
                <c:pt idx="9">
                  <c:v>1.8342663635322661E-2</c:v>
                </c:pt>
                <c:pt idx="10">
                  <c:v>2.4344904862603711E-2</c:v>
                </c:pt>
                <c:pt idx="11">
                  <c:v>3.1447639683954406E-2</c:v>
                </c:pt>
                <c:pt idx="12">
                  <c:v>3.9658383387180557E-2</c:v>
                </c:pt>
                <c:pt idx="13">
                  <c:v>4.8954719213248989E-2</c:v>
                </c:pt>
                <c:pt idx="14">
                  <c:v>5.9286717951993737E-2</c:v>
                </c:pt>
                <c:pt idx="15">
                  <c:v>7.0580529977304962E-2</c:v>
                </c:pt>
                <c:pt idx="16">
                  <c:v>8.2742718768296281E-2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F5-4B79-BCF9-03D880D322E5}"/>
            </c:ext>
          </c:extLst>
        </c:ser>
        <c:ser>
          <c:idx val="12"/>
          <c:order val="12"/>
          <c:tx>
            <c:strRef>
              <c:f>'q=0.25'!$R$2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8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'q=0.25'!$R$3:$R$19</c:f>
              <c:numCache>
                <c:formatCode>General</c:formatCode>
                <c:ptCount val="17"/>
                <c:pt idx="0">
                  <c:v>9.3245791908866301E-5</c:v>
                </c:pt>
                <c:pt idx="1">
                  <c:v>1.9301207035421432E-4</c:v>
                </c:pt>
                <c:pt idx="2">
                  <c:v>3.6608113726140193E-4</c:v>
                </c:pt>
                <c:pt idx="3">
                  <c:v>6.4549075942305014E-4</c:v>
                </c:pt>
                <c:pt idx="4">
                  <c:v>1.0701853811192082E-3</c:v>
                </c:pt>
                <c:pt idx="5">
                  <c:v>1.6835445900435263E-3</c:v>
                </c:pt>
                <c:pt idx="6">
                  <c:v>2.5314848570829186E-3</c:v>
                </c:pt>
                <c:pt idx="7">
                  <c:v>3.6603493524719481E-3</c:v>
                </c:pt>
                <c:pt idx="8">
                  <c:v>5.1147925016223521E-3</c:v>
                </c:pt>
                <c:pt idx="9">
                  <c:v>6.9358324075861379E-3</c:v>
                </c:pt>
                <c:pt idx="10">
                  <c:v>9.1591978131405436E-3</c:v>
                </c:pt>
                <c:pt idx="11">
                  <c:v>1.181404705058741E-2</c:v>
                </c:pt>
                <c:pt idx="12">
                  <c:v>1.4922091395869233E-2</c:v>
                </c:pt>
                <c:pt idx="13">
                  <c:v>1.8497118331582057E-2</c:v>
                </c:pt>
                <c:pt idx="14">
                  <c:v>2.2544882937270458E-2</c:v>
                </c:pt>
                <c:pt idx="15">
                  <c:v>2.7063317796179657E-2</c:v>
                </c:pt>
                <c:pt idx="16">
                  <c:v>3.2043002269135326E-2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3F5-4B79-BCF9-03D880D322E5}"/>
            </c:ext>
          </c:extLst>
        </c:ser>
        <c:ser>
          <c:idx val="13"/>
          <c:order val="13"/>
          <c:tx>
            <c:strRef>
              <c:f>'q=0.25'!$S$2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9000"/>
                  <a:shade val="95000"/>
                </a:schemeClr>
              </a:contourClr>
            </a:sp3d>
          </c:spPr>
          <c:cat>
            <c:numRef>
              <c:f>'q=0.25'!$E$3:$E$19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'q=0.25'!$S$3:$S$19</c:f>
              <c:numCache>
                <c:formatCode>General</c:formatCode>
                <c:ptCount val="17"/>
                <c:pt idx="0">
                  <c:v>4.5250701475585113E-5</c:v>
                </c:pt>
                <c:pt idx="1">
                  <c:v>8.8743380491996987E-5</c:v>
                </c:pt>
                <c:pt idx="2">
                  <c:v>1.6116973977376011E-4</c:v>
                </c:pt>
                <c:pt idx="3">
                  <c:v>2.7447313235004223E-4</c:v>
                </c:pt>
                <c:pt idx="4">
                  <c:v>4.4265123735355669E-4</c:v>
                </c:pt>
                <c:pt idx="5">
                  <c:v>6.8137968722781846E-4</c:v>
                </c:pt>
                <c:pt idx="6">
                  <c:v>1.0075231435840778E-3</c:v>
                </c:pt>
                <c:pt idx="7">
                  <c:v>1.4385806567729026E-3</c:v>
                </c:pt>
                <c:pt idx="8">
                  <c:v>1.992110383539311E-3</c:v>
                </c:pt>
                <c:pt idx="9">
                  <c:v>2.685172595779964E-3</c:v>
                </c:pt>
                <c:pt idx="10">
                  <c:v>3.5338214778301283E-3</c:v>
                </c:pt>
                <c:pt idx="11">
                  <c:v>4.552667118318688E-3</c:v>
                </c:pt>
                <c:pt idx="12">
                  <c:v>5.7545204862353783E-3</c:v>
                </c:pt>
                <c:pt idx="13">
                  <c:v>7.150126713374636E-3</c:v>
                </c:pt>
                <c:pt idx="14">
                  <c:v>8.7479860009528395E-3</c:v>
                </c:pt>
                <c:pt idx="15">
                  <c:v>1.0554256986220194E-2</c:v>
                </c:pt>
                <c:pt idx="16">
                  <c:v>1.2572734342355871E-2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F5-4B79-BCF9-03D880D322E5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0000"/>
                    <a:shade val="95000"/>
                  </a:schemeClr>
                </a:contourClr>
              </a:sp3d>
            </c:spPr>
          </c:bandFmt>
        </c:bandFmts>
        <c:axId val="11842704"/>
        <c:axId val="11843184"/>
        <c:axId val="23812896"/>
      </c:surface3DChart>
      <c:catAx>
        <c:axId val="1184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122140201224847"/>
              <c:y val="0.7990477580800662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  <c:auto val="1"/>
        <c:lblAlgn val="ctr"/>
        <c:lblOffset val="100"/>
        <c:noMultiLvlLbl val="0"/>
      </c:catAx>
      <c:valAx>
        <c:axId val="118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2704"/>
        <c:crosses val="autoZero"/>
        <c:crossBetween val="midCat"/>
      </c:valAx>
      <c:serAx>
        <c:axId val="2381289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843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B0A-46BA-A204-03A5E3B65C82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B0A-46BA-A204-03A5E3B65C82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B0A-46BA-A204-03A5E3B65C82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0B0A-46BA-A204-03A5E3B65C82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0B0A-46BA-A204-03A5E3B65C82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0B0A-46BA-A204-03A5E3B65C82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0B0A-46BA-A204-03A5E3B65C82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0B0A-46BA-A204-03A5E3B65C82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0B0A-46BA-A204-03A5E3B65C82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0B0A-46BA-A204-03A5E3B65C82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0B0A-46BA-A204-03A5E3B65C82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0B0A-46BA-A204-03A5E3B65C82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0B0A-46BA-A204-03A5E3B65C82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0B0A-46BA-A204-03A5E3B65C82}"/>
            </c:ext>
          </c:extLst>
        </c:ser>
        <c:bandFmts/>
        <c:axId val="107604992"/>
        <c:axId val="107605472"/>
        <c:axId val="259903008"/>
      </c:surface3DChart>
      <c:catAx>
        <c:axId val="107604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  <c:auto val="1"/>
        <c:lblAlgn val="ctr"/>
        <c:lblOffset val="100"/>
        <c:noMultiLvlLbl val="0"/>
      </c:catAx>
      <c:valAx>
        <c:axId val="1076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4992"/>
        <c:crosses val="autoZero"/>
        <c:crossBetween val="midCat"/>
      </c:valAx>
      <c:serAx>
        <c:axId val="25990300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605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CE5-43D0-BBB4-86C70BD59096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CE5-43D0-BBB4-86C70BD59096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CE5-43D0-BBB4-86C70BD59096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CE5-43D0-BBB4-86C70BD59096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BCE5-43D0-BBB4-86C70BD59096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BCE5-43D0-BBB4-86C70BD59096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BCE5-43D0-BBB4-86C70BD59096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BCE5-43D0-BBB4-86C70BD59096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BCE5-43D0-BBB4-86C70BD59096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BCE5-43D0-BBB4-86C70BD59096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BCE5-43D0-BBB4-86C70BD59096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BCE5-43D0-BBB4-86C70BD59096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BCE5-43D0-BBB4-86C70BD59096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BCE5-43D0-BBB4-86C70BD59096}"/>
            </c:ext>
          </c:extLst>
        </c:ser>
        <c:bandFmts/>
        <c:axId val="104016448"/>
        <c:axId val="104015488"/>
        <c:axId val="23851520"/>
      </c:surface3DChart>
      <c:catAx>
        <c:axId val="104016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  <c:auto val="1"/>
        <c:lblAlgn val="ctr"/>
        <c:lblOffset val="100"/>
        <c:noMultiLvlLbl val="0"/>
      </c:catAx>
      <c:valAx>
        <c:axId val="1040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6448"/>
        <c:crosses val="autoZero"/>
        <c:crossBetween val="midCat"/>
      </c:valAx>
      <c:serAx>
        <c:axId val="2385152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layout>
            <c:manualLayout>
              <c:xMode val="edge"/>
              <c:yMode val="edge"/>
              <c:x val="0.86462936065030704"/>
              <c:y val="0.5167249082277229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548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'q=0.25'!$F$23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0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'q=0.25'!$F$24:$F$40</c:f>
              <c:numCache>
                <c:formatCode>General</c:formatCode>
                <c:ptCount val="17"/>
                <c:pt idx="0">
                  <c:v>-2.6036367367549619E-15</c:v>
                </c:pt>
                <c:pt idx="1">
                  <c:v>-5.31822936806731E-11</c:v>
                </c:pt>
                <c:pt idx="2">
                  <c:v>-1.2400785650577935E-7</c:v>
                </c:pt>
                <c:pt idx="3">
                  <c:v>-4.8824521477853255E-5</c:v>
                </c:pt>
                <c:pt idx="4">
                  <c:v>-4.3851854323984849E-3</c:v>
                </c:pt>
                <c:pt idx="5">
                  <c:v>-0.11317960031610007</c:v>
                </c:pt>
                <c:pt idx="6">
                  <c:v>-0.99363616825690915</c:v>
                </c:pt>
                <c:pt idx="7">
                  <c:v>-3.2283670815726402</c:v>
                </c:pt>
                <c:pt idx="8">
                  <c:v>-3.0479501675292582</c:v>
                </c:pt>
                <c:pt idx="9">
                  <c:v>4.5492234375912002</c:v>
                </c:pt>
                <c:pt idx="10">
                  <c:v>15.739030189741394</c:v>
                </c:pt>
                <c:pt idx="11">
                  <c:v>23.697670788308809</c:v>
                </c:pt>
                <c:pt idx="12">
                  <c:v>27.506322178977879</c:v>
                </c:pt>
                <c:pt idx="13">
                  <c:v>29.358076538940004</c:v>
                </c:pt>
                <c:pt idx="14">
                  <c:v>30.682692454308036</c:v>
                </c:pt>
                <c:pt idx="15">
                  <c:v>31.914484599348683</c:v>
                </c:pt>
                <c:pt idx="16">
                  <c:v>33.134761859334589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2D-4801-9B94-0AEA4CA028BE}"/>
            </c:ext>
          </c:extLst>
        </c:ser>
        <c:ser>
          <c:idx val="1"/>
          <c:order val="1"/>
          <c:tx>
            <c:strRef>
              <c:f>'q=0.25'!$G$23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49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'q=0.25'!$G$24:$G$40</c:f>
              <c:numCache>
                <c:formatCode>General</c:formatCode>
                <c:ptCount val="17"/>
                <c:pt idx="0">
                  <c:v>-1.865886509654628E-8</c:v>
                </c:pt>
                <c:pt idx="1">
                  <c:v>-3.3755082940011735E-6</c:v>
                </c:pt>
                <c:pt idx="2">
                  <c:v>-2.0094817018947284E-4</c:v>
                </c:pt>
                <c:pt idx="3">
                  <c:v>-4.7832829293610549E-3</c:v>
                </c:pt>
                <c:pt idx="4">
                  <c:v>-5.269263461537492E-2</c:v>
                </c:pt>
                <c:pt idx="5">
                  <c:v>-0.2982352550009133</c:v>
                </c:pt>
                <c:pt idx="6">
                  <c:v>-0.91742019185421064</c:v>
                </c:pt>
                <c:pt idx="7">
                  <c:v>-1.4559565629451798</c:v>
                </c:pt>
                <c:pt idx="8">
                  <c:v>-0.3946372027528593</c:v>
                </c:pt>
                <c:pt idx="9">
                  <c:v>3.6344012122312979</c:v>
                </c:pt>
                <c:pt idx="10">
                  <c:v>10.148135223436594</c:v>
                </c:pt>
                <c:pt idx="11">
                  <c:v>17.120280125834537</c:v>
                </c:pt>
                <c:pt idx="12">
                  <c:v>22.787138467550086</c:v>
                </c:pt>
                <c:pt idx="13">
                  <c:v>26.652941616322746</c:v>
                </c:pt>
                <c:pt idx="14">
                  <c:v>29.135948997816197</c:v>
                </c:pt>
                <c:pt idx="15">
                  <c:v>30.847503097363266</c:v>
                </c:pt>
                <c:pt idx="16">
                  <c:v>32.217238797103015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2D-4801-9B94-0AEA4CA028BE}"/>
            </c:ext>
          </c:extLst>
        </c:ser>
        <c:ser>
          <c:idx val="2"/>
          <c:order val="2"/>
          <c:tx>
            <c:strRef>
              <c:f>'q=0.25'!$H$23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58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'q=0.25'!$H$24:$H$40</c:f>
              <c:numCache>
                <c:formatCode>General</c:formatCode>
                <c:ptCount val="17"/>
                <c:pt idx="0">
                  <c:v>-2.9303134784563057E-6</c:v>
                </c:pt>
                <c:pt idx="1">
                  <c:v>-1.0853672905690139E-4</c:v>
                </c:pt>
                <c:pt idx="2">
                  <c:v>-1.8772204424062047E-3</c:v>
                </c:pt>
                <c:pt idx="3">
                  <c:v>-1.7226684337983765E-2</c:v>
                </c:pt>
                <c:pt idx="4">
                  <c:v>-9.1929679662852731E-2</c:v>
                </c:pt>
                <c:pt idx="5">
                  <c:v>-0.3016370296536019</c:v>
                </c:pt>
                <c:pt idx="6">
                  <c:v>-0.60745765953444808</c:v>
                </c:pt>
                <c:pt idx="7">
                  <c:v>-0.60596566011527431</c:v>
                </c:pt>
                <c:pt idx="8">
                  <c:v>0.46694512328334259</c:v>
                </c:pt>
                <c:pt idx="9">
                  <c:v>3.252274727960212</c:v>
                </c:pt>
                <c:pt idx="10">
                  <c:v>7.7114369881785905</c:v>
                </c:pt>
                <c:pt idx="11">
                  <c:v>13.084416127015619</c:v>
                </c:pt>
                <c:pt idx="12">
                  <c:v>18.373929821847049</c:v>
                </c:pt>
                <c:pt idx="13">
                  <c:v>22.868009212016208</c:v>
                </c:pt>
                <c:pt idx="14">
                  <c:v>26.33190779569037</c:v>
                </c:pt>
                <c:pt idx="15">
                  <c:v>28.889671099662802</c:v>
                </c:pt>
                <c:pt idx="16">
                  <c:v>30.80838915137679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2D-4801-9B94-0AEA4CA028BE}"/>
            </c:ext>
          </c:extLst>
        </c:ser>
        <c:ser>
          <c:idx val="3"/>
          <c:order val="3"/>
          <c:tx>
            <c:strRef>
              <c:f>'q=0.25'!$I$23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68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'q=0.25'!$I$24:$I$40</c:f>
              <c:numCache>
                <c:formatCode>General</c:formatCode>
                <c:ptCount val="17"/>
                <c:pt idx="0">
                  <c:v>-3.22054798771075E-5</c:v>
                </c:pt>
                <c:pt idx="1">
                  <c:v>-5.3539024821894232E-4</c:v>
                </c:pt>
                <c:pt idx="2">
                  <c:v>-4.9384561117148708E-3</c:v>
                </c:pt>
                <c:pt idx="3">
                  <c:v>-2.7727976678248785E-2</c:v>
                </c:pt>
                <c:pt idx="4">
                  <c:v>-0.10073263223443132</c:v>
                </c:pt>
                <c:pt idx="5">
                  <c:v>-0.24209597086660761</c:v>
                </c:pt>
                <c:pt idx="6">
                  <c:v>-0.35983259865252992</c:v>
                </c:pt>
                <c:pt idx="7">
                  <c:v>-0.15740759432307838</c:v>
                </c:pt>
                <c:pt idx="8">
                  <c:v>0.81679109499679292</c:v>
                </c:pt>
                <c:pt idx="9">
                  <c:v>2.9406867057319364</c:v>
                </c:pt>
                <c:pt idx="10">
                  <c:v>6.2725397180536557</c:v>
                </c:pt>
                <c:pt idx="11">
                  <c:v>10.488035941503885</c:v>
                </c:pt>
                <c:pt idx="12">
                  <c:v>15.036173777615796</c:v>
                </c:pt>
                <c:pt idx="13">
                  <c:v>19.380116884031736</c:v>
                </c:pt>
                <c:pt idx="14">
                  <c:v>23.16856594429294</c:v>
                </c:pt>
                <c:pt idx="15">
                  <c:v>26.277289393458226</c:v>
                </c:pt>
                <c:pt idx="16">
                  <c:v>28.754217842750098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2D-4801-9B94-0AEA4CA028BE}"/>
            </c:ext>
          </c:extLst>
        </c:ser>
        <c:ser>
          <c:idx val="4"/>
          <c:order val="4"/>
          <c:tx>
            <c:strRef>
              <c:f>'q=0.25'!$J$23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77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'q=0.25'!$J$24:$J$40</c:f>
              <c:numCache>
                <c:formatCode>General</c:formatCode>
                <c:ptCount val="17"/>
                <c:pt idx="0">
                  <c:v>-1.2313982176650112E-4</c:v>
                </c:pt>
                <c:pt idx="1">
                  <c:v>-1.2570200461454397E-3</c:v>
                </c:pt>
                <c:pt idx="2">
                  <c:v>-7.8764126182614743E-3</c:v>
                </c:pt>
                <c:pt idx="3">
                  <c:v>-3.2480266775106868E-2</c:v>
                </c:pt>
                <c:pt idx="4">
                  <c:v>-9.1572589012195699E-2</c:v>
                </c:pt>
                <c:pt idx="5">
                  <c:v>-0.17428060460689454</c:v>
                </c:pt>
                <c:pt idx="6">
                  <c:v>-0.18489438772165534</c:v>
                </c:pt>
                <c:pt idx="7">
                  <c:v>9.3824661946612764E-2</c:v>
                </c:pt>
                <c:pt idx="8">
                  <c:v>0.95789841157930988</c:v>
                </c:pt>
                <c:pt idx="9">
                  <c:v>2.6594580684399736</c:v>
                </c:pt>
                <c:pt idx="10">
                  <c:v>5.2779441139449341</c:v>
                </c:pt>
                <c:pt idx="11">
                  <c:v>8.6698508301874782</c:v>
                </c:pt>
                <c:pt idx="12">
                  <c:v>12.52233335031155</c:v>
                </c:pt>
                <c:pt idx="13">
                  <c:v>16.46800940226014</c:v>
                </c:pt>
                <c:pt idx="14">
                  <c:v>20.194817789870424</c:v>
                </c:pt>
                <c:pt idx="15">
                  <c:v>23.507335498681872</c:v>
                </c:pt>
                <c:pt idx="16">
                  <c:v>26.333344859784443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2D-4801-9B94-0AEA4CA028BE}"/>
            </c:ext>
          </c:extLst>
        </c:ser>
        <c:ser>
          <c:idx val="5"/>
          <c:order val="5"/>
          <c:tx>
            <c:strRef>
              <c:f>'q=0.25'!$K$23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86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'q=0.25'!$K$24:$K$40</c:f>
              <c:numCache>
                <c:formatCode>General</c:formatCode>
                <c:ptCount val="17"/>
                <c:pt idx="0">
                  <c:v>-2.7862029883157682E-4</c:v>
                </c:pt>
                <c:pt idx="1">
                  <c:v>-2.041379091531615E-3</c:v>
                </c:pt>
                <c:pt idx="2">
                  <c:v>-9.793481233468012E-3</c:v>
                </c:pt>
                <c:pt idx="3">
                  <c:v>-3.2403820955470709E-2</c:v>
                </c:pt>
                <c:pt idx="4">
                  <c:v>-7.5131755477687218E-2</c:v>
                </c:pt>
                <c:pt idx="5">
                  <c:v>-0.11454436662153389</c:v>
                </c:pt>
                <c:pt idx="6">
                  <c:v>-6.4626970051786969E-2</c:v>
                </c:pt>
                <c:pt idx="7">
                  <c:v>0.23738939370794521</c:v>
                </c:pt>
                <c:pt idx="8">
                  <c:v>0.99955419302221982</c:v>
                </c:pt>
                <c:pt idx="9">
                  <c:v>2.4032466155949956</c:v>
                </c:pt>
                <c:pt idx="10">
                  <c:v>4.5280447839746216</c:v>
                </c:pt>
                <c:pt idx="11">
                  <c:v>7.3146003008812128</c:v>
                </c:pt>
                <c:pt idx="12">
                  <c:v>10.58175028701862</c:v>
                </c:pt>
                <c:pt idx="13">
                  <c:v>14.083308068874231</c:v>
                </c:pt>
                <c:pt idx="14">
                  <c:v>17.574551333367054</c:v>
                </c:pt>
                <c:pt idx="15">
                  <c:v>20.862574341969196</c:v>
                </c:pt>
                <c:pt idx="16">
                  <c:v>23.829238422634187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2D-4801-9B94-0AEA4CA028BE}"/>
            </c:ext>
          </c:extLst>
        </c:ser>
        <c:ser>
          <c:idx val="6"/>
          <c:order val="6"/>
          <c:tx>
            <c:strRef>
              <c:f>'q=0.25'!$L$23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tint val="96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'q=0.25'!$L$24:$L$40</c:f>
              <c:numCache>
                <c:formatCode>General</c:formatCode>
                <c:ptCount val="17"/>
                <c:pt idx="0">
                  <c:v>-4.6767973798172486E-4</c:v>
                </c:pt>
                <c:pt idx="1">
                  <c:v>-2.6864540603520354E-3</c:v>
                </c:pt>
                <c:pt idx="2">
                  <c:v>-1.0548008937211389E-2</c:v>
                </c:pt>
                <c:pt idx="3">
                  <c:v>-2.9337991576645364E-2</c:v>
                </c:pt>
                <c:pt idx="4">
                  <c:v>-5.7159698923715946E-2</c:v>
                </c:pt>
                <c:pt idx="5">
                  <c:v>-6.6298310012170236E-2</c:v>
                </c:pt>
                <c:pt idx="6">
                  <c:v>1.7106637393845325E-2</c:v>
                </c:pt>
                <c:pt idx="7">
                  <c:v>0.31805121441228001</c:v>
                </c:pt>
                <c:pt idx="8">
                  <c:v>0.99014290202551392</c:v>
                </c:pt>
                <c:pt idx="9">
                  <c:v>2.1705288916762986</c:v>
                </c:pt>
                <c:pt idx="10">
                  <c:v>3.9326922914065081</c:v>
                </c:pt>
                <c:pt idx="11">
                  <c:v>6.2592187175572809</c:v>
                </c:pt>
                <c:pt idx="12">
                  <c:v>9.0449505547196623</c:v>
                </c:pt>
                <c:pt idx="13">
                  <c:v>12.12566828333283</c:v>
                </c:pt>
                <c:pt idx="14">
                  <c:v>15.31801298970079</c:v>
                </c:pt>
                <c:pt idx="15">
                  <c:v>18.45583284859902</c:v>
                </c:pt>
                <c:pt idx="16">
                  <c:v>21.413729705569349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2D-4801-9B94-0AEA4CA028BE}"/>
            </c:ext>
          </c:extLst>
        </c:ser>
        <c:ser>
          <c:idx val="7"/>
          <c:order val="7"/>
          <c:tx>
            <c:strRef>
              <c:f>'q=0.25'!$M$23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'q=0.25'!$M$24:$M$40</c:f>
              <c:numCache>
                <c:formatCode>General</c:formatCode>
                <c:ptCount val="17"/>
                <c:pt idx="0">
                  <c:v>-6.5144492443320104E-4</c:v>
                </c:pt>
                <c:pt idx="1">
                  <c:v>-3.0970419524486287E-3</c:v>
                </c:pt>
                <c:pt idx="2">
                  <c:v>-1.0352724282156327E-2</c:v>
                </c:pt>
                <c:pt idx="3">
                  <c:v>-2.4782206724775144E-2</c:v>
                </c:pt>
                <c:pt idx="4">
                  <c:v>-4.0313565664054252E-2</c:v>
                </c:pt>
                <c:pt idx="5">
                  <c:v>-2.8910049627328571E-2</c:v>
                </c:pt>
                <c:pt idx="6">
                  <c:v>7.1921885175118883E-2</c:v>
                </c:pt>
                <c:pt idx="7">
                  <c:v>0.36030607277462412</c:v>
                </c:pt>
                <c:pt idx="8">
                  <c:v>0.95383411260141004</c:v>
                </c:pt>
                <c:pt idx="9">
                  <c:v>1.9598871986338229</c:v>
                </c:pt>
                <c:pt idx="10">
                  <c:v>3.4443346184849437</c:v>
                </c:pt>
                <c:pt idx="11">
                  <c:v>5.4113625998398431</c:v>
                </c:pt>
                <c:pt idx="12">
                  <c:v>7.8012612631565448</c:v>
                </c:pt>
                <c:pt idx="13">
                  <c:v>10.504865546728514</c:v>
                </c:pt>
                <c:pt idx="14">
                  <c:v>13.387590013295313</c:v>
                </c:pt>
                <c:pt idx="15">
                  <c:v>16.314526619284202</c:v>
                </c:pt>
                <c:pt idx="16">
                  <c:v>19.170099471325209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2D-4801-9B94-0AEA4CA028BE}"/>
            </c:ext>
          </c:extLst>
        </c:ser>
        <c:ser>
          <c:idx val="8"/>
          <c:order val="8"/>
          <c:tx>
            <c:strRef>
              <c:f>'q=0.25'!$N$23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86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'q=0.25'!$N$24:$N$40</c:f>
              <c:numCache>
                <c:formatCode>General</c:formatCode>
                <c:ptCount val="17"/>
                <c:pt idx="0">
                  <c:v>-8.0082143091966297E-4</c:v>
                </c:pt>
                <c:pt idx="1">
                  <c:v>-3.2626082298230696E-3</c:v>
                </c:pt>
                <c:pt idx="2">
                  <c:v>-9.5049394763907016E-3</c:v>
                </c:pt>
                <c:pt idx="3">
                  <c:v>-1.9725571021959182E-2</c:v>
                </c:pt>
                <c:pt idx="4">
                  <c:v>-2.5637488030850392E-2</c:v>
                </c:pt>
                <c:pt idx="5">
                  <c:v>-6.7881797726054849E-4</c:v>
                </c:pt>
                <c:pt idx="6">
                  <c:v>0.10786220217571585</c:v>
                </c:pt>
                <c:pt idx="7">
                  <c:v>0.37846880744772582</c:v>
                </c:pt>
                <c:pt idx="8">
                  <c:v>0.90366285141211655</c:v>
                </c:pt>
                <c:pt idx="9">
                  <c:v>1.7696886750588083</c:v>
                </c:pt>
                <c:pt idx="10">
                  <c:v>3.0348926907505969</c:v>
                </c:pt>
                <c:pt idx="11">
                  <c:v>4.7145784549575342</c:v>
                </c:pt>
                <c:pt idx="12">
                  <c:v>6.7769228499821148</c:v>
                </c:pt>
                <c:pt idx="13">
                  <c:v>9.1499641787755515</c:v>
                </c:pt>
                <c:pt idx="14">
                  <c:v>11.736096379180042</c:v>
                </c:pt>
                <c:pt idx="15">
                  <c:v>14.429094681781816</c:v>
                </c:pt>
                <c:pt idx="16">
                  <c:v>17.129297564170869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2D-4801-9B94-0AEA4CA028BE}"/>
            </c:ext>
          </c:extLst>
        </c:ser>
        <c:ser>
          <c:idx val="9"/>
          <c:order val="9"/>
          <c:tx>
            <c:strRef>
              <c:f>'q=0.25'!$O$23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76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'q=0.25'!$O$24:$O$40</c:f>
              <c:numCache>
                <c:formatCode>General</c:formatCode>
                <c:ptCount val="17"/>
                <c:pt idx="0">
                  <c:v>-9.0095191623730292E-4</c:v>
                </c:pt>
                <c:pt idx="1">
                  <c:v>-3.2178989573789073E-3</c:v>
                </c:pt>
                <c:pt idx="2">
                  <c:v>-8.2717316020113861E-3</c:v>
                </c:pt>
                <c:pt idx="3">
                  <c:v>-1.4753215160845976E-2</c:v>
                </c:pt>
                <c:pt idx="4">
                  <c:v>-1.3389492484550208E-2</c:v>
                </c:pt>
                <c:pt idx="5">
                  <c:v>2.0179947332810311E-2</c:v>
                </c:pt>
                <c:pt idx="6">
                  <c:v>0.13049244257151837</c:v>
                </c:pt>
                <c:pt idx="7">
                  <c:v>0.38131578930871624</c:v>
                </c:pt>
                <c:pt idx="8">
                  <c:v>0.8470130562342626</c:v>
                </c:pt>
                <c:pt idx="9">
                  <c:v>1.598198188290449</c:v>
                </c:pt>
                <c:pt idx="10">
                  <c:v>2.6863201124131901</c:v>
                </c:pt>
                <c:pt idx="11">
                  <c:v>4.1321338158944361</c:v>
                </c:pt>
                <c:pt idx="12">
                  <c:v>5.9212108019140386</c:v>
                </c:pt>
                <c:pt idx="13">
                  <c:v>8.0069501539411565</c:v>
                </c:pt>
                <c:pt idx="14">
                  <c:v>10.319280311429322</c:v>
                </c:pt>
                <c:pt idx="15">
                  <c:v>12.77611171964795</c:v>
                </c:pt>
                <c:pt idx="16">
                  <c:v>15.294644395388348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2D-4801-9B94-0AEA4CA028BE}"/>
            </c:ext>
          </c:extLst>
        </c:ser>
        <c:ser>
          <c:idx val="10"/>
          <c:order val="10"/>
          <c:tx>
            <c:strRef>
              <c:f>'q=0.25'!$P$23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67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'q=0.25'!$P$24:$P$40</c:f>
              <c:numCache>
                <c:formatCode>General</c:formatCode>
                <c:ptCount val="17"/>
                <c:pt idx="0">
                  <c:v>-2.2201562492710995E-4</c:v>
                </c:pt>
                <c:pt idx="1">
                  <c:v>1.239688362002847E-4</c:v>
                </c:pt>
                <c:pt idx="2">
                  <c:v>2.0870696500120862E-3</c:v>
                </c:pt>
                <c:pt idx="3">
                  <c:v>8.2980358296802087E-3</c:v>
                </c:pt>
                <c:pt idx="4">
                  <c:v>2.3514805132762023E-2</c:v>
                </c:pt>
                <c:pt idx="5">
                  <c:v>5.5169366371053158E-2</c:v>
                </c:pt>
                <c:pt idx="6">
                  <c:v>0.11357615884319505</c:v>
                </c:pt>
                <c:pt idx="7">
                  <c:v>0.21168411932142345</c:v>
                </c:pt>
                <c:pt idx="8">
                  <c:v>0.36436565469348747</c:v>
                </c:pt>
                <c:pt idx="9">
                  <c:v>0.5873423423360381</c:v>
                </c:pt>
                <c:pt idx="10">
                  <c:v>0.89591801038231744</c:v>
                </c:pt>
                <c:pt idx="11">
                  <c:v>1.3037125712888427</c:v>
                </c:pt>
                <c:pt idx="12">
                  <c:v>1.821569121890491</c:v>
                </c:pt>
                <c:pt idx="13">
                  <c:v>2.4567570838653872</c:v>
                </c:pt>
                <c:pt idx="14">
                  <c:v>3.212532921364609</c:v>
                </c:pt>
                <c:pt idx="15">
                  <c:v>4.0880619215297198</c:v>
                </c:pt>
                <c:pt idx="16">
                  <c:v>5.078659106676465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2D-4801-9B94-0AEA4CA028BE}"/>
            </c:ext>
          </c:extLst>
        </c:ser>
        <c:ser>
          <c:idx val="11"/>
          <c:order val="11"/>
          <c:tx>
            <c:strRef>
              <c:f>'q=0.25'!$Q$23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58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'q=0.25'!$Q$24:$Q$40</c:f>
              <c:numCache>
                <c:formatCode>General</c:formatCode>
                <c:ptCount val="17"/>
                <c:pt idx="0">
                  <c:v>3.1035610418745155E-4</c:v>
                </c:pt>
                <c:pt idx="1">
                  <c:v>1.0758212227312495E-3</c:v>
                </c:pt>
                <c:pt idx="2">
                  <c:v>2.9948688605416912E-3</c:v>
                </c:pt>
                <c:pt idx="3">
                  <c:v>7.1623343757056673E-3</c:v>
                </c:pt>
                <c:pt idx="4">
                  <c:v>1.5264507521888578E-2</c:v>
                </c:pt>
                <c:pt idx="5">
                  <c:v>2.9678703318374328E-2</c:v>
                </c:pt>
                <c:pt idx="6">
                  <c:v>5.3516288063437292E-2</c:v>
                </c:pt>
                <c:pt idx="7">
                  <c:v>9.0597350368474633E-2</c:v>
                </c:pt>
                <c:pt idx="8">
                  <c:v>0.14535633655404745</c:v>
                </c:pt>
                <c:pt idx="9">
                  <c:v>0.222687924663246</c:v>
                </c:pt>
                <c:pt idx="10">
                  <c:v>0.32774948649726038</c:v>
                </c:pt>
                <c:pt idx="11">
                  <c:v>0.46574004921017054</c:v>
                </c:pt>
                <c:pt idx="12">
                  <c:v>0.64167593968275027</c:v>
                </c:pt>
                <c:pt idx="13">
                  <c:v>0.86018101717969175</c:v>
                </c:pt>
                <c:pt idx="14">
                  <c:v>1.1253055121557751</c:v>
                </c:pt>
                <c:pt idx="15">
                  <c:v>1.4403828941569228</c:v>
                </c:pt>
                <c:pt idx="16">
                  <c:v>1.8079296193046159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82D-4801-9B94-0AEA4CA028BE}"/>
            </c:ext>
          </c:extLst>
        </c:ser>
        <c:ser>
          <c:idx val="12"/>
          <c:order val="12"/>
          <c:tx>
            <c:strRef>
              <c:f>'q=0.25'!$R$23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48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'q=0.25'!$R$24:$R$40</c:f>
              <c:numCache>
                <c:formatCode>General</c:formatCode>
                <c:ptCount val="17"/>
                <c:pt idx="0">
                  <c:v>3.0031193514854448E-4</c:v>
                </c:pt>
                <c:pt idx="1">
                  <c:v>7.9197011791825363E-4</c:v>
                </c:pt>
                <c:pt idx="2">
                  <c:v>1.8406993184205585E-3</c:v>
                </c:pt>
                <c:pt idx="3">
                  <c:v>3.8676427822292008E-3</c:v>
                </c:pt>
                <c:pt idx="4">
                  <c:v>7.481773785075866E-3</c:v>
                </c:pt>
                <c:pt idx="5">
                  <c:v>1.3507598980074555E-2</c:v>
                </c:pt>
                <c:pt idx="6">
                  <c:v>2.3000974885943735E-2</c:v>
                </c:pt>
                <c:pt idx="7">
                  <c:v>3.7250859403139228E-2</c:v>
                </c:pt>
                <c:pt idx="8">
                  <c:v>5.7766530864655427E-2</c:v>
                </c:pt>
                <c:pt idx="9">
                  <c:v>8.6251331495966421E-2</c:v>
                </c:pt>
                <c:pt idx="10">
                  <c:v>0.12456515118830694</c:v>
                </c:pt>
                <c:pt idx="11">
                  <c:v>0.17467859230694541</c:v>
                </c:pt>
                <c:pt idx="12">
                  <c:v>0.23862206168448236</c:v>
                </c:pt>
                <c:pt idx="13">
                  <c:v>0.31843298891569277</c:v>
                </c:pt>
                <c:pt idx="14">
                  <c:v>0.41610406156310287</c:v>
                </c:pt>
                <c:pt idx="15">
                  <c:v>0.53353489211831173</c:v>
                </c:pt>
                <c:pt idx="16">
                  <c:v>0.67248897282974629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82D-4801-9B94-0AEA4CA028BE}"/>
            </c:ext>
          </c:extLst>
        </c:ser>
        <c:ser>
          <c:idx val="13"/>
          <c:order val="13"/>
          <c:tx>
            <c:strRef>
              <c:f>'q=0.25'!$S$23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39000"/>
                  <a:shade val="95000"/>
                </a:schemeClr>
              </a:contourClr>
            </a:sp3d>
          </c:spPr>
          <c:cat>
            <c:numRef>
              <c:f>'q=0.25'!$E$24:$E$40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'q=0.25'!$S$24:$S$40</c:f>
              <c:numCache>
                <c:formatCode>General</c:formatCode>
                <c:ptCount val="17"/>
                <c:pt idx="0">
                  <c:v>1.8455838257887725E-4</c:v>
                </c:pt>
                <c:pt idx="1">
                  <c:v>4.3590166091382197E-4</c:v>
                </c:pt>
                <c:pt idx="2">
                  <c:v>9.31528683701351E-4</c:v>
                </c:pt>
                <c:pt idx="3">
                  <c:v>1.8333094618686878E-3</c:v>
                </c:pt>
                <c:pt idx="4">
                  <c:v>3.3677963817411241E-3</c:v>
                </c:pt>
                <c:pt idx="5">
                  <c:v>5.8355065948512211E-3</c:v>
                </c:pt>
                <c:pt idx="6">
                  <c:v>9.6173326985388458E-3</c:v>
                </c:pt>
                <c:pt idx="7">
                  <c:v>1.5177539410835758E-2</c:v>
                </c:pt>
                <c:pt idx="8">
                  <c:v>2.3063139874630677E-2</c:v>
                </c:pt>
                <c:pt idx="9">
                  <c:v>3.3899748210523425E-2</c:v>
                </c:pt>
                <c:pt idx="10">
                  <c:v>4.8384247845202802E-2</c:v>
                </c:pt>
                <c:pt idx="11">
                  <c:v>6.7274786740269488E-2</c:v>
                </c:pt>
                <c:pt idx="12">
                  <c:v>9.1378711522749831E-2</c:v>
                </c:pt>
                <c:pt idx="13">
                  <c:v>0.12153909081608046</c:v>
                </c:pt>
                <c:pt idx="14">
                  <c:v>0.15862046584601719</c:v>
                </c:pt>
                <c:pt idx="15">
                  <c:v>0.20349441689857628</c:v>
                </c:pt>
                <c:pt idx="16">
                  <c:v>0.25702546007141458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82D-4801-9B94-0AEA4CA028BE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4">
                      <a:tint val="4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4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4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4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46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4">
                      <a:tint val="6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6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6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6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62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4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77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tint val="9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tint val="9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tint val="9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tint val="9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tint val="93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4">
                      <a:shade val="92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92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92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2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2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4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76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4">
                      <a:shade val="61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61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61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61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61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4">
                      <a:shade val="4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shade val="4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shade val="4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45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45000"/>
                    <a:shade val="95000"/>
                  </a:schemeClr>
                </a:contourClr>
              </a:sp3d>
            </c:spPr>
          </c:bandFmt>
        </c:bandFmts>
        <c:axId val="169659744"/>
        <c:axId val="169661184"/>
        <c:axId val="271878784"/>
      </c:surface3DChart>
      <c:catAx>
        <c:axId val="16965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  <c:auto val="1"/>
        <c:lblAlgn val="ctr"/>
        <c:lblOffset val="100"/>
        <c:noMultiLvlLbl val="0"/>
      </c:catAx>
      <c:valAx>
        <c:axId val="16966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59744"/>
        <c:crosses val="autoZero"/>
        <c:crossBetween val="midCat"/>
      </c:valAx>
      <c:serAx>
        <c:axId val="27187878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96611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A8-4AE6-9D83-F8F370A3F7EC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BA8-4AE6-9D83-F8F370A3F7EC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BA8-4AE6-9D83-F8F370A3F7EC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7BA8-4AE6-9D83-F8F370A3F7EC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7BA8-4AE6-9D83-F8F370A3F7EC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7BA8-4AE6-9D83-F8F370A3F7EC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7BA8-4AE6-9D83-F8F370A3F7EC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7BA8-4AE6-9D83-F8F370A3F7EC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7BA8-4AE6-9D83-F8F370A3F7EC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7BA8-4AE6-9D83-F8F370A3F7EC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7BA8-4AE6-9D83-F8F370A3F7EC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7BA8-4AE6-9D83-F8F370A3F7EC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7BA8-4AE6-9D83-F8F370A3F7EC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7BA8-4AE6-9D83-F8F370A3F7EC}"/>
            </c:ext>
          </c:extLst>
        </c:ser>
        <c:bandFmts/>
        <c:axId val="2041191616"/>
        <c:axId val="2041192096"/>
        <c:axId val="472593904"/>
      </c:surface3DChart>
      <c:catAx>
        <c:axId val="204119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  <c:auto val="1"/>
        <c:lblAlgn val="ctr"/>
        <c:lblOffset val="100"/>
        <c:noMultiLvlLbl val="0"/>
      </c:catAx>
      <c:valAx>
        <c:axId val="20411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1616"/>
        <c:crosses val="autoZero"/>
        <c:crossBetween val="midCat"/>
      </c:valAx>
      <c:serAx>
        <c:axId val="47259390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9209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70%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B1-4FEB-BE9A-5498B59A6C28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0B1-4FEB-BE9A-5498B59A6C28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70B1-4FEB-BE9A-5498B59A6C28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70B1-4FEB-BE9A-5498B59A6C28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70B1-4FEB-BE9A-5498B59A6C28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70B1-4FEB-BE9A-5498B59A6C28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70B1-4FEB-BE9A-5498B59A6C28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70B1-4FEB-BE9A-5498B59A6C28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70B1-4FEB-BE9A-5498B59A6C28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70B1-4FEB-BE9A-5498B59A6C28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70B1-4FEB-BE9A-5498B59A6C28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70B1-4FEB-BE9A-5498B59A6C28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70B1-4FEB-BE9A-5498B59A6C28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70B1-4FEB-BE9A-5498B59A6C28}"/>
            </c:ext>
          </c:extLst>
        </c:ser>
        <c:bandFmts/>
        <c:axId val="1952532784"/>
        <c:axId val="1952529904"/>
        <c:axId val="472730992"/>
      </c:surface3DChart>
      <c:catAx>
        <c:axId val="1952532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  <c:auto val="1"/>
        <c:lblAlgn val="ctr"/>
        <c:lblOffset val="100"/>
        <c:noMultiLvlLbl val="0"/>
      </c:catAx>
      <c:valAx>
        <c:axId val="19525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32784"/>
        <c:crosses val="autoZero"/>
        <c:crossBetween val="midCat"/>
      </c:valAx>
      <c:serAx>
        <c:axId val="47273099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252990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58092738407698"/>
          <c:y val="0.17171296296296298"/>
          <c:w val="0.83046762904636917"/>
          <c:h val="0.60250765529308836"/>
        </c:manualLayout>
      </c:layout>
      <c:surface3DChart>
        <c:wireframe val="0"/>
        <c:ser>
          <c:idx val="0"/>
          <c:order val="0"/>
          <c:tx>
            <c:strRef>
              <c:f>'q=0.25'!$F$43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39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'q=0.25'!$F$44:$F$60</c:f>
              <c:numCache>
                <c:formatCode>General</c:formatCode>
                <c:ptCount val="17"/>
                <c:pt idx="0">
                  <c:v>3.968946827266569E-17</c:v>
                </c:pt>
                <c:pt idx="1">
                  <c:v>7.0249263178681343E-13</c:v>
                </c:pt>
                <c:pt idx="2">
                  <c:v>1.4437203737747399E-9</c:v>
                </c:pt>
                <c:pt idx="3">
                  <c:v>5.1014571438124393E-7</c:v>
                </c:pt>
                <c:pt idx="4">
                  <c:v>4.2028827637078911E-5</c:v>
                </c:pt>
                <c:pt idx="5">
                  <c:v>1.0263322557541152E-3</c:v>
                </c:pt>
                <c:pt idx="6">
                  <c:v>8.999328071257022E-3</c:v>
                </c:pt>
                <c:pt idx="7">
                  <c:v>3.3088372538220355E-2</c:v>
                </c:pt>
                <c:pt idx="8">
                  <c:v>5.7909243554569369E-2</c:v>
                </c:pt>
                <c:pt idx="9">
                  <c:v>5.3563761206307056E-2</c:v>
                </c:pt>
                <c:pt idx="10">
                  <c:v>2.8567480660084243E-2</c:v>
                </c:pt>
                <c:pt idx="11">
                  <c:v>9.4510957989984417E-3</c:v>
                </c:pt>
                <c:pt idx="12">
                  <c:v>2.0630392618068171E-3</c:v>
                </c:pt>
                <c:pt idx="13">
                  <c:v>3.1313916770427428E-4</c:v>
                </c:pt>
                <c:pt idx="14">
                  <c:v>3.4566865513475811E-5</c:v>
                </c:pt>
                <c:pt idx="15">
                  <c:v>2.884227680839645E-6</c:v>
                </c:pt>
                <c:pt idx="16">
                  <c:v>1.8807049940476224E-7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7-4AC0-A1F3-64AE6414F848}"/>
            </c:ext>
          </c:extLst>
        </c:ser>
        <c:ser>
          <c:idx val="1"/>
          <c:order val="1"/>
          <c:tx>
            <c:strRef>
              <c:f>'q=0.25'!$G$43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48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'q=0.25'!$G$44:$G$60</c:f>
              <c:numCache>
                <c:formatCode>General</c:formatCode>
                <c:ptCount val="17"/>
                <c:pt idx="0">
                  <c:v>3.1182054309642287E-10</c:v>
                </c:pt>
                <c:pt idx="1">
                  <c:v>4.9670977766036743E-8</c:v>
                </c:pt>
                <c:pt idx="2">
                  <c:v>2.6603507701901088E-6</c:v>
                </c:pt>
                <c:pt idx="3">
                  <c:v>5.8406574219795041E-5</c:v>
                </c:pt>
                <c:pt idx="4">
                  <c:v>6.1298927857214905E-4</c:v>
                </c:pt>
                <c:pt idx="5">
                  <c:v>3.4718690944697912E-3</c:v>
                </c:pt>
                <c:pt idx="6">
                  <c:v>1.1691694486198672E-2</c:v>
                </c:pt>
                <c:pt idx="7">
                  <c:v>2.5318768929752482E-2</c:v>
                </c:pt>
                <c:pt idx="8">
                  <c:v>3.7592457371113545E-2</c:v>
                </c:pt>
                <c:pt idx="9">
                  <c:v>4.0349506321052615E-2</c:v>
                </c:pt>
                <c:pt idx="10">
                  <c:v>3.2718718298601845E-2</c:v>
                </c:pt>
                <c:pt idx="11">
                  <c:v>2.0798786332355938E-2</c:v>
                </c:pt>
                <c:pt idx="12">
                  <c:v>1.0693954208401579E-2</c:v>
                </c:pt>
                <c:pt idx="13">
                  <c:v>4.5671260250519747E-3</c:v>
                </c:pt>
                <c:pt idx="14">
                  <c:v>1.6574075490821407E-3</c:v>
                </c:pt>
                <c:pt idx="15">
                  <c:v>5.2118573369360714E-4</c:v>
                </c:pt>
                <c:pt idx="16">
                  <c:v>1.44435912370275E-4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47-4AC0-A1F3-64AE6414F848}"/>
            </c:ext>
          </c:extLst>
        </c:ser>
        <c:ser>
          <c:idx val="2"/>
          <c:order val="2"/>
          <c:tx>
            <c:strRef>
              <c:f>'q=0.25'!$H$43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58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'q=0.25'!$H$44:$H$60</c:f>
              <c:numCache>
                <c:formatCode>General</c:formatCode>
                <c:ptCount val="17"/>
                <c:pt idx="0">
                  <c:v>5.366433955645121E-8</c:v>
                </c:pt>
                <c:pt idx="1">
                  <c:v>1.778119474911967E-6</c:v>
                </c:pt>
                <c:pt idx="2">
                  <c:v>2.8235496313038712E-5</c:v>
                </c:pt>
                <c:pt idx="3">
                  <c:v>2.4552109664235017E-4</c:v>
                </c:pt>
                <c:pt idx="4">
                  <c:v>1.2965601334050732E-3</c:v>
                </c:pt>
                <c:pt idx="5">
                  <c:v>4.5119025820299129E-3</c:v>
                </c:pt>
                <c:pt idx="6">
                  <c:v>1.1044290818540036E-2</c:v>
                </c:pt>
                <c:pt idx="7">
                  <c:v>2.0047931157459828E-2</c:v>
                </c:pt>
                <c:pt idx="8">
                  <c:v>2.8178826832291146E-2</c:v>
                </c:pt>
                <c:pt idx="9">
                  <c:v>3.1783266528562781E-2</c:v>
                </c:pt>
                <c:pt idx="10">
                  <c:v>2.9635276278580803E-2</c:v>
                </c:pt>
                <c:pt idx="11">
                  <c:v>2.3420411443485521E-2</c:v>
                </c:pt>
                <c:pt idx="12">
                  <c:v>1.602211507857533E-2</c:v>
                </c:pt>
                <c:pt idx="13">
                  <c:v>9.6601257726927937E-3</c:v>
                </c:pt>
                <c:pt idx="14">
                  <c:v>5.2126312235587936E-3</c:v>
                </c:pt>
                <c:pt idx="15">
                  <c:v>2.5508490724554839E-3</c:v>
                </c:pt>
                <c:pt idx="16">
                  <c:v>1.1450679976214445E-3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47-4AC0-A1F3-64AE6414F848}"/>
            </c:ext>
          </c:extLst>
        </c:ser>
        <c:ser>
          <c:idx val="3"/>
          <c:order val="3"/>
          <c:tx>
            <c:strRef>
              <c:f>'q=0.25'!$I$43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67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'q=0.25'!$I$44:$I$60</c:f>
              <c:numCache>
                <c:formatCode>General</c:formatCode>
                <c:ptCount val="17"/>
                <c:pt idx="0">
                  <c:v>6.4649277974643437E-7</c:v>
                </c:pt>
                <c:pt idx="1">
                  <c:v>9.7696141293750386E-6</c:v>
                </c:pt>
                <c:pt idx="2">
                  <c:v>8.4471663156840163E-5</c:v>
                </c:pt>
                <c:pt idx="3">
                  <c:v>4.6226361717271558E-4</c:v>
                </c:pt>
                <c:pt idx="4">
                  <c:v>1.7316093164677E-3</c:v>
                </c:pt>
                <c:pt idx="5">
                  <c:v>4.7232970298224366E-3</c:v>
                </c:pt>
                <c:pt idx="6">
                  <c:v>9.8572410992734394E-3</c:v>
                </c:pt>
                <c:pt idx="7">
                  <c:v>1.6382131519940571E-2</c:v>
                </c:pt>
                <c:pt idx="8">
                  <c:v>2.2403783215754491E-2</c:v>
                </c:pt>
                <c:pt idx="9">
                  <c:v>2.5903952757563804E-2</c:v>
                </c:pt>
                <c:pt idx="10">
                  <c:v>2.5900174291440963E-2</c:v>
                </c:pt>
                <c:pt idx="11">
                  <c:v>2.2822338431576009E-2</c:v>
                </c:pt>
                <c:pt idx="12">
                  <c:v>1.8009347055731775E-2</c:v>
                </c:pt>
                <c:pt idx="13">
                  <c:v>1.2901494774726749E-2</c:v>
                </c:pt>
                <c:pt idx="14">
                  <c:v>8.4890326261287848E-3</c:v>
                </c:pt>
                <c:pt idx="15">
                  <c:v>5.182248595526762E-3</c:v>
                </c:pt>
                <c:pt idx="16">
                  <c:v>2.9607155083782683E-3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47-4AC0-A1F3-64AE6414F848}"/>
            </c:ext>
          </c:extLst>
        </c:ser>
        <c:ser>
          <c:idx val="4"/>
          <c:order val="4"/>
          <c:tx>
            <c:strRef>
              <c:f>'q=0.25'!$J$43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76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'q=0.25'!$J$44:$J$60</c:f>
              <c:numCache>
                <c:formatCode>General</c:formatCode>
                <c:ptCount val="17"/>
                <c:pt idx="0">
                  <c:v>2.711840585359362E-6</c:v>
                </c:pt>
                <c:pt idx="1">
                  <c:v>2.5585919973430196E-5</c:v>
                </c:pt>
                <c:pt idx="2">
                  <c:v>1.5361518905768076E-4</c:v>
                </c:pt>
                <c:pt idx="3">
                  <c:v>6.3671340788170325E-4</c:v>
                </c:pt>
                <c:pt idx="4">
                  <c:v>1.9409663532016198E-3</c:v>
                </c:pt>
                <c:pt idx="5">
                  <c:v>4.5745705187411464E-3</c:v>
                </c:pt>
                <c:pt idx="6">
                  <c:v>8.6756025839830504E-3</c:v>
                </c:pt>
                <c:pt idx="7">
                  <c:v>1.3674915737962215E-2</c:v>
                </c:pt>
                <c:pt idx="8">
                  <c:v>1.8396456462405883E-2</c:v>
                </c:pt>
                <c:pt idx="9">
                  <c:v>2.1589385854136535E-2</c:v>
                </c:pt>
                <c:pt idx="10">
                  <c:v>2.2509852725339091E-2</c:v>
                </c:pt>
                <c:pt idx="11">
                  <c:v>2.11735294312578E-2</c:v>
                </c:pt>
                <c:pt idx="12">
                  <c:v>1.8202816161881415E-2</c:v>
                </c:pt>
                <c:pt idx="13">
                  <c:v>1.4461326250445963E-2</c:v>
                </c:pt>
                <c:pt idx="14">
                  <c:v>1.0717973202839605E-2</c:v>
                </c:pt>
                <c:pt idx="15">
                  <c:v>7.4712294326412399E-3</c:v>
                </c:pt>
                <c:pt idx="16">
                  <c:v>4.9329834972940412E-3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47-4AC0-A1F3-64AE6414F848}"/>
            </c:ext>
          </c:extLst>
        </c:ser>
        <c:ser>
          <c:idx val="5"/>
          <c:order val="5"/>
          <c:tx>
            <c:strRef>
              <c:f>'q=0.25'!$K$43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86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'q=0.25'!$K$44:$K$60</c:f>
              <c:numCache>
                <c:formatCode>General</c:formatCode>
                <c:ptCount val="17"/>
                <c:pt idx="0">
                  <c:v>6.741136628683681E-6</c:v>
                </c:pt>
                <c:pt idx="1">
                  <c:v>4.6460667327907417E-5</c:v>
                </c:pt>
                <c:pt idx="2">
                  <c:v>2.187349719007744E-4</c:v>
                </c:pt>
                <c:pt idx="3">
                  <c:v>7.5332463859540311E-4</c:v>
                </c:pt>
                <c:pt idx="4">
                  <c:v>2.0016987791062757E-3</c:v>
                </c:pt>
                <c:pt idx="5">
                  <c:v>4.2797890332987396E-3</c:v>
                </c:pt>
                <c:pt idx="6">
                  <c:v>7.6149049163205069E-3</c:v>
                </c:pt>
                <c:pt idx="7">
                  <c:v>1.1586781432510768E-2</c:v>
                </c:pt>
                <c:pt idx="8">
                  <c:v>1.5417408362089793E-2</c:v>
                </c:pt>
                <c:pt idx="9">
                  <c:v>1.8273641878169468E-2</c:v>
                </c:pt>
                <c:pt idx="10">
                  <c:v>1.9592414194490284E-2</c:v>
                </c:pt>
                <c:pt idx="11">
                  <c:v>1.9249405560534082E-2</c:v>
                </c:pt>
                <c:pt idx="12">
                  <c:v>1.7521353373149296E-2</c:v>
                </c:pt>
                <c:pt idx="13">
                  <c:v>1.4913818084495318E-2</c:v>
                </c:pt>
                <c:pt idx="14">
                  <c:v>1.1966054179693859E-2</c:v>
                </c:pt>
                <c:pt idx="15">
                  <c:v>9.1126204613125802E-3</c:v>
                </c:pt>
                <c:pt idx="16">
                  <c:v>6.6260337021691968E-3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47-4AC0-A1F3-64AE6414F848}"/>
            </c:ext>
          </c:extLst>
        </c:ser>
        <c:ser>
          <c:idx val="6"/>
          <c:order val="6"/>
          <c:tx>
            <c:strRef>
              <c:f>'q=0.25'!$L$43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'q=0.25'!$L$44:$L$60</c:f>
              <c:numCache>
                <c:formatCode>General</c:formatCode>
                <c:ptCount val="17"/>
                <c:pt idx="0">
                  <c:v>1.2456825922256613E-5</c:v>
                </c:pt>
                <c:pt idx="1">
                  <c:v>6.8602850512210144E-5</c:v>
                </c:pt>
                <c:pt idx="2">
                  <c:v>2.7148518031806708E-4</c:v>
                </c:pt>
                <c:pt idx="3">
                  <c:v>8.1912225560903538E-4</c:v>
                </c:pt>
                <c:pt idx="4">
                  <c:v>1.9731168591854194E-3</c:v>
                </c:pt>
                <c:pt idx="5">
                  <c:v>3.9351016656621962E-3</c:v>
                </c:pt>
                <c:pt idx="6">
                  <c:v>6.6897089575818237E-3</c:v>
                </c:pt>
                <c:pt idx="7">
                  <c:v>9.9256264205295017E-3</c:v>
                </c:pt>
                <c:pt idx="8">
                  <c:v>1.3104057881572017E-2</c:v>
                </c:pt>
                <c:pt idx="9">
                  <c:v>1.5642148681203751E-2</c:v>
                </c:pt>
                <c:pt idx="10">
                  <c:v>1.7108970647084058E-2</c:v>
                </c:pt>
                <c:pt idx="11">
                  <c:v>1.7340415985745976E-2</c:v>
                </c:pt>
                <c:pt idx="12">
                  <c:v>1.6440979763929064E-2</c:v>
                </c:pt>
                <c:pt idx="13">
                  <c:v>1.4700866186510151E-2</c:v>
                </c:pt>
                <c:pt idx="14">
                  <c:v>1.2482960769019773E-2</c:v>
                </c:pt>
                <c:pt idx="15">
                  <c:v>1.0126228351799877E-2</c:v>
                </c:pt>
                <c:pt idx="16">
                  <c:v>7.8882648042729146E-3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47-4AC0-A1F3-64AE6414F848}"/>
            </c:ext>
          </c:extLst>
        </c:ser>
        <c:ser>
          <c:idx val="7"/>
          <c:order val="7"/>
          <c:tx>
            <c:strRef>
              <c:f>'q=0.25'!$M$43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96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'q=0.25'!$M$44:$M$60</c:f>
              <c:numCache>
                <c:formatCode>General</c:formatCode>
                <c:ptCount val="17"/>
                <c:pt idx="0">
                  <c:v>1.9153102066064735E-5</c:v>
                </c:pt>
                <c:pt idx="1">
                  <c:v>8.9147820102550803E-5</c:v>
                </c:pt>
                <c:pt idx="2">
                  <c:v>3.0970133879967615E-4</c:v>
                </c:pt>
                <c:pt idx="3">
                  <c:v>8.4615450200973131E-4</c:v>
                </c:pt>
                <c:pt idx="4">
                  <c:v>1.8936268278514348E-3</c:v>
                </c:pt>
                <c:pt idx="5">
                  <c:v>3.5845296891925177E-3</c:v>
                </c:pt>
                <c:pt idx="6">
                  <c:v>5.8889830729794059E-3</c:v>
                </c:pt>
                <c:pt idx="7">
                  <c:v>8.5739369636966458E-3</c:v>
                </c:pt>
                <c:pt idx="8">
                  <c:v>1.1253241808330412E-2</c:v>
                </c:pt>
                <c:pt idx="9">
                  <c:v>1.3504419264108235E-2</c:v>
                </c:pt>
                <c:pt idx="10">
                  <c:v>1.4993459645772282E-2</c:v>
                </c:pt>
                <c:pt idx="11">
                  <c:v>1.5554898501416578E-2</c:v>
                </c:pt>
                <c:pt idx="12">
                  <c:v>1.5206307115272712E-2</c:v>
                </c:pt>
                <c:pt idx="13">
                  <c:v>1.4108619301404305E-2</c:v>
                </c:pt>
                <c:pt idx="14">
                  <c:v>1.2500247566064515E-2</c:v>
                </c:pt>
                <c:pt idx="15">
                  <c:v>1.0632296289722218E-2</c:v>
                </c:pt>
                <c:pt idx="16">
                  <c:v>8.7217450966608958E-3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C47-4AC0-A1F3-64AE6414F848}"/>
            </c:ext>
          </c:extLst>
        </c:ser>
        <c:ser>
          <c:idx val="8"/>
          <c:order val="8"/>
          <c:tx>
            <c:strRef>
              <c:f>'q=0.25'!$N$43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86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'q=0.25'!$N$44:$N$60</c:f>
              <c:numCache>
                <c:formatCode>General</c:formatCode>
                <c:ptCount val="17"/>
                <c:pt idx="0">
                  <c:v>2.6078178660373954E-5</c:v>
                </c:pt>
                <c:pt idx="1">
                  <c:v>1.0649321987654199E-4</c:v>
                </c:pt>
                <c:pt idx="2">
                  <c:v>3.3431369754505338E-4</c:v>
                </c:pt>
                <c:pt idx="3">
                  <c:v>8.4555456288040113E-4</c:v>
                </c:pt>
                <c:pt idx="4">
                  <c:v>1.7870186752424876E-3</c:v>
                </c:pt>
                <c:pt idx="5">
                  <c:v>3.2481663088873591E-3</c:v>
                </c:pt>
                <c:pt idx="6">
                  <c:v>5.1963897230403264E-3</c:v>
                </c:pt>
                <c:pt idx="7">
                  <c:v>7.4551361441916849E-3</c:v>
                </c:pt>
                <c:pt idx="8">
                  <c:v>9.7402299874712328E-3</c:v>
                </c:pt>
                <c:pt idx="9">
                  <c:v>1.1737140842643155E-2</c:v>
                </c:pt>
                <c:pt idx="10">
                  <c:v>1.3183861271725139E-2</c:v>
                </c:pt>
                <c:pt idx="11">
                  <c:v>1.3927930897811979E-2</c:v>
                </c:pt>
                <c:pt idx="12">
                  <c:v>1.3943718160051653E-2</c:v>
                </c:pt>
                <c:pt idx="13">
                  <c:v>1.3314326668102179E-2</c:v>
                </c:pt>
                <c:pt idx="14">
                  <c:v>1.219300165757854E-2</c:v>
                </c:pt>
                <c:pt idx="15">
                  <c:v>1.0760302205879032E-2</c:v>
                </c:pt>
                <c:pt idx="16">
                  <c:v>9.1887430718535466E-3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47-4AC0-A1F3-64AE6414F848}"/>
            </c:ext>
          </c:extLst>
        </c:ser>
        <c:ser>
          <c:idx val="9"/>
          <c:order val="9"/>
          <c:tx>
            <c:strRef>
              <c:f>'q=0.25'!$O$43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77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'q=0.25'!$O$44:$O$60</c:f>
              <c:numCache>
                <c:formatCode>General</c:formatCode>
                <c:ptCount val="17"/>
                <c:pt idx="0">
                  <c:v>3.2633495184996683E-5</c:v>
                </c:pt>
                <c:pt idx="1">
                  <c:v>1.2001810649110855E-4</c:v>
                </c:pt>
                <c:pt idx="2">
                  <c:v>3.4743924252378562E-4</c:v>
                </c:pt>
                <c:pt idx="3">
                  <c:v>8.2613503438592139E-4</c:v>
                </c:pt>
                <c:pt idx="4">
                  <c:v>1.6678334271744788E-3</c:v>
                </c:pt>
                <c:pt idx="5">
                  <c:v>2.9346677933546656E-3</c:v>
                </c:pt>
                <c:pt idx="6">
                  <c:v>4.5960703815260285E-3</c:v>
                </c:pt>
                <c:pt idx="7">
                  <c:v>6.5167587093822336E-3</c:v>
                </c:pt>
                <c:pt idx="8">
                  <c:v>8.4831723033380359E-3</c:v>
                </c:pt>
                <c:pt idx="9">
                  <c:v>1.0256218550628363E-2</c:v>
                </c:pt>
                <c:pt idx="10">
                  <c:v>1.1628161850876379E-2</c:v>
                </c:pt>
                <c:pt idx="11">
                  <c:v>1.2464015169661075E-2</c:v>
                </c:pt>
                <c:pt idx="12">
                  <c:v>1.2717984599196991E-2</c:v>
                </c:pt>
                <c:pt idx="13">
                  <c:v>1.2426327371407125E-2</c:v>
                </c:pt>
                <c:pt idx="14">
                  <c:v>1.1684767511322041E-2</c:v>
                </c:pt>
                <c:pt idx="15">
                  <c:v>1.062033498465677E-2</c:v>
                </c:pt>
                <c:pt idx="16">
                  <c:v>9.3655677788754606E-3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C47-4AC0-A1F3-64AE6414F848}"/>
            </c:ext>
          </c:extLst>
        </c:ser>
        <c:ser>
          <c:idx val="10"/>
          <c:order val="10"/>
          <c:tx>
            <c:strRef>
              <c:f>'q=0.25'!$P$43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68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'q=0.25'!$P$44:$P$60</c:f>
              <c:numCache>
                <c:formatCode>General</c:formatCode>
                <c:ptCount val="17"/>
                <c:pt idx="0">
                  <c:v>5.0131935599468889E-5</c:v>
                </c:pt>
                <c:pt idx="1">
                  <c:v>1.1511205364985823E-4</c:v>
                </c:pt>
                <c:pt idx="2">
                  <c:v>2.3139415739295056E-4</c:v>
                </c:pt>
                <c:pt idx="3">
                  <c:v>4.1673092191269964E-4</c:v>
                </c:pt>
                <c:pt idx="4">
                  <c:v>6.8465403475804262E-4</c:v>
                </c:pt>
                <c:pt idx="5">
                  <c:v>1.040912970092781E-3</c:v>
                </c:pt>
                <c:pt idx="6">
                  <c:v>1.4814307182781049E-3</c:v>
                </c:pt>
                <c:pt idx="7">
                  <c:v>1.9922154170251703E-3</c:v>
                </c:pt>
                <c:pt idx="8">
                  <c:v>2.5510649053672261E-3</c:v>
                </c:pt>
                <c:pt idx="9">
                  <c:v>3.1304871141206621E-3</c:v>
                </c:pt>
                <c:pt idx="10">
                  <c:v>3.7011052868770535E-3</c:v>
                </c:pt>
                <c:pt idx="11">
                  <c:v>4.2348837134714703E-3</c:v>
                </c:pt>
                <c:pt idx="12">
                  <c:v>4.707705807071058E-3</c:v>
                </c:pt>
                <c:pt idx="13">
                  <c:v>5.1010700669738744E-3</c:v>
                </c:pt>
                <c:pt idx="14">
                  <c:v>5.4028753096566897E-3</c:v>
                </c:pt>
                <c:pt idx="15">
                  <c:v>5.6074117975036513E-3</c:v>
                </c:pt>
                <c:pt idx="16">
                  <c:v>5.7147534709997873E-3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47-4AC0-A1F3-64AE6414F848}"/>
            </c:ext>
          </c:extLst>
        </c:ser>
        <c:ser>
          <c:idx val="11"/>
          <c:order val="11"/>
          <c:tx>
            <c:strRef>
              <c:f>'q=0.25'!$Q$43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58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'q=0.25'!$Q$44:$Q$60</c:f>
              <c:numCache>
                <c:formatCode>General</c:formatCode>
                <c:ptCount val="17"/>
                <c:pt idx="0">
                  <c:v>2.9980781469379697E-5</c:v>
                </c:pt>
                <c:pt idx="1">
                  <c:v>5.8837877016625303E-5</c:v>
                </c:pt>
                <c:pt idx="2">
                  <c:v>1.0473417366671057E-4</c:v>
                </c:pt>
                <c:pt idx="3">
                  <c:v>1.7193678596420751E-4</c:v>
                </c:pt>
                <c:pt idx="4">
                  <c:v>2.6372756174964561E-4</c:v>
                </c:pt>
                <c:pt idx="5">
                  <c:v>3.8189539929579016E-4</c:v>
                </c:pt>
                <c:pt idx="6">
                  <c:v>5.2645075459285459E-4</c:v>
                </c:pt>
                <c:pt idx="7">
                  <c:v>6.9558364740792745E-4</c:v>
                </c:pt>
                <c:pt idx="8">
                  <c:v>8.8583757234259844E-4</c:v>
                </c:pt>
                <c:pt idx="9">
                  <c:v>1.0924418275613827E-3</c:v>
                </c:pt>
                <c:pt idx="10">
                  <c:v>1.309733930963079E-3</c:v>
                </c:pt>
                <c:pt idx="11">
                  <c:v>1.5316075953069224E-3</c:v>
                </c:pt>
                <c:pt idx="12">
                  <c:v>1.7519343870456353E-3</c:v>
                </c:pt>
                <c:pt idx="13">
                  <c:v>1.9649234544459378E-3</c:v>
                </c:pt>
                <c:pt idx="14">
                  <c:v>2.1653997527299627E-3</c:v>
                </c:pt>
                <c:pt idx="15">
                  <c:v>2.3489947418439271E-3</c:v>
                </c:pt>
                <c:pt idx="16">
                  <c:v>2.512253605083697E-3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47-4AC0-A1F3-64AE6414F848}"/>
            </c:ext>
          </c:extLst>
        </c:ser>
        <c:ser>
          <c:idx val="12"/>
          <c:order val="12"/>
          <c:tx>
            <c:strRef>
              <c:f>'q=0.25'!$R$43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9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'q=0.25'!$R$44:$R$60</c:f>
              <c:numCache>
                <c:formatCode>General</c:formatCode>
                <c:ptCount val="17"/>
                <c:pt idx="0">
                  <c:v>1.4491046236655149E-5</c:v>
                </c:pt>
                <c:pt idx="1">
                  <c:v>2.629163810197895E-5</c:v>
                </c:pt>
                <c:pt idx="2">
                  <c:v>4.4040168991122425E-5</c:v>
                </c:pt>
                <c:pt idx="3">
                  <c:v>6.9026825080655788E-5</c:v>
                </c:pt>
                <c:pt idx="4">
                  <c:v>1.0230344273252959E-4</c:v>
                </c:pt>
                <c:pt idx="5">
                  <c:v>1.4457792423539482E-4</c:v>
                </c:pt>
                <c:pt idx="6">
                  <c:v>1.9615008983051767E-4</c:v>
                </c:pt>
                <c:pt idx="7">
                  <c:v>2.5689074158905542E-4</c:v>
                </c:pt>
                <c:pt idx="8">
                  <c:v>3.262593348014019E-4</c:v>
                </c:pt>
                <c:pt idx="9">
                  <c:v>4.0335187060091952E-4</c:v>
                </c:pt>
                <c:pt idx="10">
                  <c:v>4.8696915525529486E-4</c:v>
                </c:pt>
                <c:pt idx="11">
                  <c:v>5.7569582214622641E-4</c:v>
                </c:pt>
                <c:pt idx="12">
                  <c:v>6.6798183646357657E-4</c:v>
                </c:pt>
                <c:pt idx="13">
                  <c:v>7.622200454214925E-4</c:v>
                </c:pt>
                <c:pt idx="14">
                  <c:v>8.5681528878858704E-4</c:v>
                </c:pt>
                <c:pt idx="15">
                  <c:v>9.5024238261011743E-4</c:v>
                </c:pt>
                <c:pt idx="16">
                  <c:v>1.0410917921640965E-3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47-4AC0-A1F3-64AE6414F848}"/>
            </c:ext>
          </c:extLst>
        </c:ser>
        <c:ser>
          <c:idx val="13"/>
          <c:order val="13"/>
          <c:tx>
            <c:strRef>
              <c:f>'q=0.25'!$S$43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tint val="40000"/>
                  <a:shade val="95000"/>
                </a:schemeClr>
              </a:contourClr>
            </a:sp3d>
          </c:spPr>
          <c:cat>
            <c:numRef>
              <c:f>'q=0.25'!$E$44:$E$60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'q=0.25'!$S$44:$S$60</c:f>
              <c:numCache>
                <c:formatCode>General</c:formatCode>
                <c:ptCount val="17"/>
                <c:pt idx="0">
                  <c:v>6.4886107214008179E-6</c:v>
                </c:pt>
                <c:pt idx="1">
                  <c:v>1.1230832194377014E-5</c:v>
                </c:pt>
                <c:pt idx="2">
                  <c:v>1.813857721756336E-5</c:v>
                </c:pt>
                <c:pt idx="3">
                  <c:v>2.7650644362052523E-5</c:v>
                </c:pt>
                <c:pt idx="4">
                  <c:v>4.0144771302823301E-5</c:v>
                </c:pt>
                <c:pt idx="5">
                  <c:v>5.591063464344998E-5</c:v>
                </c:pt>
                <c:pt idx="6">
                  <c:v>7.513198589982575E-5</c:v>
                </c:pt>
                <c:pt idx="7">
                  <c:v>9.7878162471697487E-5</c:v>
                </c:pt>
                <c:pt idx="8">
                  <c:v>1.2410410812274458E-4</c:v>
                </c:pt>
                <c:pt idx="9">
                  <c:v>1.5365738227243031E-4</c:v>
                </c:pt>
                <c:pt idx="10">
                  <c:v>1.8629035932964599E-4</c:v>
                </c:pt>
                <c:pt idx="11">
                  <c:v>2.2167581777599228E-4</c:v>
                </c:pt>
                <c:pt idx="12">
                  <c:v>2.5942429485542378E-4</c:v>
                </c:pt>
                <c:pt idx="13">
                  <c:v>2.9910185413675923E-4</c:v>
                </c:pt>
                <c:pt idx="14">
                  <c:v>3.4024721859921914E-4</c:v>
                </c:pt>
                <c:pt idx="15">
                  <c:v>3.8238752012588446E-4</c:v>
                </c:pt>
                <c:pt idx="16">
                  <c:v>4.2505218292572967E-4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C47-4AC0-A1F3-64AE6414F84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tint val="20000"/>
                    <a:shade val="95000"/>
                  </a:schemeClr>
                </a:contourClr>
              </a:sp3d>
            </c:spPr>
          </c:bandFmt>
        </c:bandFmts>
        <c:axId val="99043872"/>
        <c:axId val="99041472"/>
        <c:axId val="472579216"/>
      </c:surface3DChart>
      <c:catAx>
        <c:axId val="99043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layout>
            <c:manualLayout>
              <c:xMode val="edge"/>
              <c:yMode val="edge"/>
              <c:x val="0.43444781502451274"/>
              <c:y val="0.8484632773504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  <c:auto val="1"/>
        <c:lblAlgn val="ctr"/>
        <c:lblOffset val="100"/>
        <c:noMultiLvlLbl val="0"/>
      </c:catAx>
      <c:valAx>
        <c:axId val="9904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3872"/>
        <c:crosses val="autoZero"/>
        <c:crossBetween val="midCat"/>
      </c:valAx>
      <c:serAx>
        <c:axId val="47257921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04147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volatility = 5%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442-4FAC-A637-7CE10EEEDE22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442-4FAC-A637-7CE10EEEDE22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442-4FAC-A637-7CE10EEEDE22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9442-4FAC-A637-7CE10EEEDE22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9442-4FAC-A637-7CE10EEEDE22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9442-4FAC-A637-7CE10EEEDE22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442-4FAC-A637-7CE10EEEDE22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9442-4FAC-A637-7CE10EEEDE22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442-4FAC-A637-7CE10EEEDE22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9442-4FAC-A637-7CE10EEEDE22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9442-4FAC-A637-7CE10EEEDE22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9442-4FAC-A637-7CE10EEEDE22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9442-4FAC-A637-7CE10EEEDE22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9442-4FAC-A637-7CE10EEEDE22}"/>
            </c:ext>
          </c:extLst>
        </c:ser>
        <c:bandFmts/>
        <c:axId val="19676128"/>
        <c:axId val="19672768"/>
        <c:axId val="772060080"/>
      </c:surface3DChart>
      <c:catAx>
        <c:axId val="19676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  <c:auto val="1"/>
        <c:lblAlgn val="ctr"/>
        <c:lblOffset val="100"/>
        <c:noMultiLvlLbl val="0"/>
      </c:catAx>
      <c:valAx>
        <c:axId val="19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6128"/>
        <c:crosses val="autoZero"/>
        <c:crossBetween val="midCat"/>
      </c:valAx>
      <c:serAx>
        <c:axId val="7720600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727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'q=0.25'!$F$63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39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'q=0.25'!$F$64:$F$80</c:f>
              <c:numCache>
                <c:formatCode>General</c:formatCode>
                <c:ptCount val="17"/>
                <c:pt idx="0">
                  <c:v>2.8576417156319294E-15</c:v>
                </c:pt>
                <c:pt idx="1">
                  <c:v>5.9360627385985734E-11</c:v>
                </c:pt>
                <c:pt idx="2">
                  <c:v>1.414845966299245E-7</c:v>
                </c:pt>
                <c:pt idx="3">
                  <c:v>5.7391392867889953E-5</c:v>
                </c:pt>
                <c:pt idx="4">
                  <c:v>5.3796899375461024E-3</c:v>
                </c:pt>
                <c:pt idx="5">
                  <c:v>0.14830501095646967</c:v>
                </c:pt>
                <c:pt idx="6">
                  <c:v>1.4578911475436378</c:v>
                </c:pt>
                <c:pt idx="7">
                  <c:v>5.9724512431487735</c:v>
                </c:pt>
                <c:pt idx="8">
                  <c:v>11.581848710913876</c:v>
                </c:pt>
                <c:pt idx="9">
                  <c:v>11.810809345990707</c:v>
                </c:pt>
                <c:pt idx="10">
                  <c:v>6.9133303197403864</c:v>
                </c:pt>
                <c:pt idx="11">
                  <c:v>2.4998148388350883</c:v>
                </c:pt>
                <c:pt idx="12">
                  <c:v>0.59415530740036326</c:v>
                </c:pt>
                <c:pt idx="13">
                  <c:v>9.7855989907585705E-2</c:v>
                </c:pt>
                <c:pt idx="14">
                  <c:v>1.1683600543554823E-2</c:v>
                </c:pt>
                <c:pt idx="15">
                  <c:v>1.0513009896660507E-3</c:v>
                </c:pt>
                <c:pt idx="16">
                  <c:v>7.3723635766666796E-5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5-4E48-A265-BEE45C2D79C0}"/>
            </c:ext>
          </c:extLst>
        </c:ser>
        <c:ser>
          <c:idx val="1"/>
          <c:order val="1"/>
          <c:tx>
            <c:strRef>
              <c:f>'q=0.25'!$G$63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48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'q=0.25'!$G$64:$G$80</c:f>
              <c:numCache>
                <c:formatCode>General</c:formatCode>
                <c:ptCount val="17"/>
                <c:pt idx="0">
                  <c:v>4.4902158205884895E-8</c:v>
                </c:pt>
                <c:pt idx="1">
                  <c:v>8.3943952424602099E-6</c:v>
                </c:pt>
                <c:pt idx="2">
                  <c:v>5.2142875095726121E-4</c:v>
                </c:pt>
                <c:pt idx="3">
                  <c:v>1.3141479199453882E-2</c:v>
                </c:pt>
                <c:pt idx="4">
                  <c:v>0.15692525531447016</c:v>
                </c:pt>
                <c:pt idx="5">
                  <c:v>1.0033701683017697</c:v>
                </c:pt>
                <c:pt idx="6">
                  <c:v>3.7881090135283699</c:v>
                </c:pt>
                <c:pt idx="7">
                  <c:v>9.1400755836406447</c:v>
                </c:pt>
                <c:pt idx="8">
                  <c:v>15.03698294844542</c:v>
                </c:pt>
                <c:pt idx="9">
                  <c:v>17.794132287584201</c:v>
                </c:pt>
                <c:pt idx="10">
                  <c:v>15.835859656523292</c:v>
                </c:pt>
                <c:pt idx="11">
                  <c:v>11.002557969816289</c:v>
                </c:pt>
                <c:pt idx="12">
                  <c:v>6.1597176240393097</c:v>
                </c:pt>
                <c:pt idx="13">
                  <c:v>2.8544537656574844</c:v>
                </c:pt>
                <c:pt idx="14">
                  <c:v>1.1204075031795271</c:v>
                </c:pt>
                <c:pt idx="15">
                  <c:v>0.37994439986263961</c:v>
                </c:pt>
                <c:pt idx="16">
                  <c:v>0.11323775529829561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F5-4E48-A265-BEE45C2D79C0}"/>
            </c:ext>
          </c:extLst>
        </c:ser>
        <c:ser>
          <c:idx val="2"/>
          <c:order val="2"/>
          <c:tx>
            <c:strRef>
              <c:f>'q=0.25'!$H$63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58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'q=0.25'!$H$64:$H$80</c:f>
              <c:numCache>
                <c:formatCode>General</c:formatCode>
                <c:ptCount val="17"/>
                <c:pt idx="0">
                  <c:v>1.1591497344193462E-5</c:v>
                </c:pt>
                <c:pt idx="1">
                  <c:v>4.5075328689018351E-4</c:v>
                </c:pt>
                <c:pt idx="2">
                  <c:v>8.3012359160333799E-3</c:v>
                </c:pt>
                <c:pt idx="3">
                  <c:v>8.2863370116793164E-2</c:v>
                </c:pt>
                <c:pt idx="4">
                  <c:v>0.49787909122754803</c:v>
                </c:pt>
                <c:pt idx="5">
                  <c:v>1.9559097693099672</c:v>
                </c:pt>
                <c:pt idx="6">
                  <c:v>5.3675253378104566</c:v>
                </c:pt>
                <c:pt idx="7">
                  <c:v>10.855954721764494</c:v>
                </c:pt>
                <c:pt idx="8">
                  <c:v>16.907296099374683</c:v>
                </c:pt>
                <c:pt idx="9">
                  <c:v>21.024630808644282</c:v>
                </c:pt>
                <c:pt idx="10">
                  <c:v>21.515210578249661</c:v>
                </c:pt>
                <c:pt idx="11">
                  <c:v>18.584096480405755</c:v>
                </c:pt>
                <c:pt idx="12">
                  <c:v>13.843107427889084</c:v>
                </c:pt>
                <c:pt idx="13">
                  <c:v>9.0563679118994926</c:v>
                </c:pt>
                <c:pt idx="14">
                  <c:v>5.2856080606886149</c:v>
                </c:pt>
                <c:pt idx="15">
                  <c:v>2.7893534607300707</c:v>
                </c:pt>
                <c:pt idx="16">
                  <c:v>1.3465999652028189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F5-4E48-A265-BEE45C2D79C0}"/>
            </c:ext>
          </c:extLst>
        </c:ser>
        <c:ser>
          <c:idx val="3"/>
          <c:order val="3"/>
          <c:tx>
            <c:strRef>
              <c:f>'q=0.25'!$I$63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67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'q=0.25'!$I$64:$I$80</c:f>
              <c:numCache>
                <c:formatCode>General</c:formatCode>
                <c:ptCount val="17"/>
                <c:pt idx="0">
                  <c:v>1.8618992056697312E-4</c:v>
                </c:pt>
                <c:pt idx="1">
                  <c:v>3.3021295757287633E-3</c:v>
                </c:pt>
                <c:pt idx="2">
                  <c:v>3.3112891957481343E-2</c:v>
                </c:pt>
                <c:pt idx="3">
                  <c:v>0.20801862772772201</c:v>
                </c:pt>
                <c:pt idx="4">
                  <c:v>0.88658397003146239</c:v>
                </c:pt>
                <c:pt idx="5">
                  <c:v>2.7300656832373691</c:v>
                </c:pt>
                <c:pt idx="6">
                  <c:v>6.3874922323291887</c:v>
                </c:pt>
                <c:pt idx="7">
                  <c:v>11.827898957397094</c:v>
                </c:pt>
                <c:pt idx="8">
                  <c:v>17.923026572603597</c:v>
                </c:pt>
                <c:pt idx="9">
                  <c:v>22.847286332171279</c:v>
                </c:pt>
                <c:pt idx="10">
                  <c:v>25.071368714114854</c:v>
                </c:pt>
                <c:pt idx="11">
                  <c:v>24.14603406060742</c:v>
                </c:pt>
                <c:pt idx="12">
                  <c:v>20.746767808203003</c:v>
                </c:pt>
                <c:pt idx="13">
                  <c:v>16.126868468408439</c:v>
                </c:pt>
                <c:pt idx="14">
                  <c:v>11.477172110526116</c:v>
                </c:pt>
                <c:pt idx="15">
                  <c:v>7.5557184522780192</c:v>
                </c:pt>
                <c:pt idx="16">
                  <c:v>4.6424019171371249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F5-4E48-A265-BEE45C2D79C0}"/>
            </c:ext>
          </c:extLst>
        </c:ser>
        <c:ser>
          <c:idx val="4"/>
          <c:order val="4"/>
          <c:tx>
            <c:strRef>
              <c:f>'q=0.25'!$J$63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76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'q=0.25'!$J$64:$J$80</c:f>
              <c:numCache>
                <c:formatCode>General</c:formatCode>
                <c:ptCount val="17"/>
                <c:pt idx="0">
                  <c:v>9.7626261072937038E-4</c:v>
                </c:pt>
                <c:pt idx="1">
                  <c:v>1.0810051188774261E-2</c:v>
                </c:pt>
                <c:pt idx="2">
                  <c:v>7.5271442638263575E-2</c:v>
                </c:pt>
                <c:pt idx="3">
                  <c:v>0.35815129193345807</c:v>
                </c:pt>
                <c:pt idx="4">
                  <c:v>1.2422184660490367</c:v>
                </c:pt>
                <c:pt idx="5">
                  <c:v>3.305127199790479</c:v>
                </c:pt>
                <c:pt idx="6">
                  <c:v>7.0272380930262726</c:v>
                </c:pt>
                <c:pt idx="7">
                  <c:v>12.3416114535109</c:v>
                </c:pt>
                <c:pt idx="8">
                  <c:v>18.396456462405883</c:v>
                </c:pt>
                <c:pt idx="9">
                  <c:v>23.802297904185536</c:v>
                </c:pt>
                <c:pt idx="10">
                  <c:v>27.236921797660305</c:v>
                </c:pt>
                <c:pt idx="11">
                  <c:v>28.001992672838441</c:v>
                </c:pt>
                <c:pt idx="12">
                  <c:v>26.212055273109243</c:v>
                </c:pt>
                <c:pt idx="13">
                  <c:v>22.595822266321822</c:v>
                </c:pt>
                <c:pt idx="14">
                  <c:v>18.11337471279894</c:v>
                </c:pt>
                <c:pt idx="15">
                  <c:v>13.616315640988663</c:v>
                </c:pt>
                <c:pt idx="16">
                  <c:v>9.6686476546963203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F5-4E48-A265-BEE45C2D79C0}"/>
            </c:ext>
          </c:extLst>
        </c:ser>
        <c:ser>
          <c:idx val="5"/>
          <c:order val="5"/>
          <c:tx>
            <c:strRef>
              <c:f>'q=0.25'!$K$63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86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'q=0.25'!$K$64:$K$80</c:f>
              <c:numCache>
                <c:formatCode>General</c:formatCode>
                <c:ptCount val="17"/>
                <c:pt idx="0">
                  <c:v>2.9121710235913501E-3</c:v>
                </c:pt>
                <c:pt idx="1">
                  <c:v>2.3555558335249058E-2</c:v>
                </c:pt>
                <c:pt idx="2">
                  <c:v>0.12861616347765537</c:v>
                </c:pt>
                <c:pt idx="3">
                  <c:v>0.50849413105189711</c:v>
                </c:pt>
                <c:pt idx="4">
                  <c:v>1.53730466235362</c:v>
                </c:pt>
                <c:pt idx="5">
                  <c:v>3.7105770918700074</c:v>
                </c:pt>
                <c:pt idx="6">
                  <c:v>7.4016875786635339</c:v>
                </c:pt>
                <c:pt idx="7">
                  <c:v>12.548484291409164</c:v>
                </c:pt>
                <c:pt idx="8">
                  <c:v>18.500890034507755</c:v>
                </c:pt>
                <c:pt idx="9">
                  <c:v>24.176028204818206</c:v>
                </c:pt>
                <c:pt idx="10">
                  <c:v>28.448185410399898</c:v>
                </c:pt>
                <c:pt idx="11">
                  <c:v>30.54880662456759</c:v>
                </c:pt>
                <c:pt idx="12">
                  <c:v>30.276898628801984</c:v>
                </c:pt>
                <c:pt idx="13">
                  <c:v>27.963408908428718</c:v>
                </c:pt>
                <c:pt idx="14">
                  <c:v>24.267157876419148</c:v>
                </c:pt>
                <c:pt idx="15">
                  <c:v>19.929300948890614</c:v>
                </c:pt>
                <c:pt idx="16">
                  <c:v>15.584431267501952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F5-4E48-A265-BEE45C2D79C0}"/>
            </c:ext>
          </c:extLst>
        </c:ser>
        <c:ser>
          <c:idx val="6"/>
          <c:order val="6"/>
          <c:tx>
            <c:strRef>
              <c:f>'q=0.25'!$L$63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'q=0.25'!$L$64:$L$80</c:f>
              <c:numCache>
                <c:formatCode>General</c:formatCode>
                <c:ptCount val="17"/>
                <c:pt idx="0">
                  <c:v>6.2782402648173322E-3</c:v>
                </c:pt>
                <c:pt idx="1">
                  <c:v>4.0578586077972302E-2</c:v>
                </c:pt>
                <c:pt idx="2">
                  <c:v>0.18623883369819405</c:v>
                </c:pt>
                <c:pt idx="3">
                  <c:v>0.64505877629211539</c:v>
                </c:pt>
                <c:pt idx="4">
                  <c:v>1.767912705830136</c:v>
                </c:pt>
                <c:pt idx="5">
                  <c:v>3.9803553348173115</c:v>
                </c:pt>
                <c:pt idx="6">
                  <c:v>7.5861299578977892</c:v>
                </c:pt>
                <c:pt idx="7">
                  <c:v>12.541028982339025</c:v>
                </c:pt>
                <c:pt idx="8">
                  <c:v>18.345681034200826</c:v>
                </c:pt>
                <c:pt idx="9">
                  <c:v>24.143656489437994</c:v>
                </c:pt>
                <c:pt idx="10">
                  <c:v>28.982596276160397</c:v>
                </c:pt>
                <c:pt idx="11">
                  <c:v>32.105780197608674</c:v>
                </c:pt>
                <c:pt idx="12">
                  <c:v>33.145015204080991</c:v>
                </c:pt>
                <c:pt idx="13">
                  <c:v>32.158144782990952</c:v>
                </c:pt>
                <c:pt idx="14">
                  <c:v>29.534685179500784</c:v>
                </c:pt>
                <c:pt idx="15">
                  <c:v>25.837071639617385</c:v>
                </c:pt>
                <c:pt idx="16">
                  <c:v>21.64539862292488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F5-4E48-A265-BEE45C2D79C0}"/>
            </c:ext>
          </c:extLst>
        </c:ser>
        <c:ser>
          <c:idx val="7"/>
          <c:order val="7"/>
          <c:tx>
            <c:strRef>
              <c:f>'q=0.25'!$M$63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96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'q=0.25'!$M$64:$M$80</c:f>
              <c:numCache>
                <c:formatCode>General</c:formatCode>
                <c:ptCount val="17"/>
                <c:pt idx="0">
                  <c:v>1.1032186790053286E-2</c:v>
                </c:pt>
                <c:pt idx="1">
                  <c:v>6.0263926389324339E-2</c:v>
                </c:pt>
                <c:pt idx="2">
                  <c:v>0.24280584961894611</c:v>
                </c:pt>
                <c:pt idx="3">
                  <c:v>0.76153905180875814</c:v>
                </c:pt>
                <c:pt idx="4">
                  <c:v>1.9390738717198692</c:v>
                </c:pt>
                <c:pt idx="5">
                  <c:v>4.1437163207065506</c:v>
                </c:pt>
                <c:pt idx="6">
                  <c:v>7.6321220625813098</c:v>
                </c:pt>
                <c:pt idx="7">
                  <c:v>12.380764975577957</c:v>
                </c:pt>
                <c:pt idx="8">
                  <c:v>18.005186893328659</c:v>
                </c:pt>
                <c:pt idx="9">
                  <c:v>23.821795581886924</c:v>
                </c:pt>
                <c:pt idx="10">
                  <c:v>29.027337874215132</c:v>
                </c:pt>
                <c:pt idx="11">
                  <c:v>32.914165228997476</c:v>
                </c:pt>
                <c:pt idx="12">
                  <c:v>35.035331593588324</c:v>
                </c:pt>
                <c:pt idx="13">
                  <c:v>35.271548253510765</c:v>
                </c:pt>
                <c:pt idx="14">
                  <c:v>33.800669418638442</c:v>
                </c:pt>
                <c:pt idx="15">
                  <c:v>31.003775980829985</c:v>
                </c:pt>
                <c:pt idx="16">
                  <c:v>27.351392623128568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F5-4E48-A265-BEE45C2D79C0}"/>
            </c:ext>
          </c:extLst>
        </c:ser>
        <c:ser>
          <c:idx val="8"/>
          <c:order val="8"/>
          <c:tx>
            <c:strRef>
              <c:f>'q=0.25'!$N$63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86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'q=0.25'!$N$64:$N$80</c:f>
              <c:numCache>
                <c:formatCode>General</c:formatCode>
                <c:ptCount val="17"/>
                <c:pt idx="0">
                  <c:v>1.6898659771922318E-2</c:v>
                </c:pt>
                <c:pt idx="1">
                  <c:v>8.0988093716110168E-2</c:v>
                </c:pt>
                <c:pt idx="2">
                  <c:v>0.29486468123473708</c:v>
                </c:pt>
                <c:pt idx="3">
                  <c:v>0.85612399491640623</c:v>
                </c:pt>
                <c:pt idx="4">
                  <c:v>2.0586455138793456</c:v>
                </c:pt>
                <c:pt idx="5">
                  <c:v>4.2242402847080101</c:v>
                </c:pt>
                <c:pt idx="6">
                  <c:v>7.5763362161927947</c:v>
                </c:pt>
                <c:pt idx="7">
                  <c:v>12.110868666239393</c:v>
                </c:pt>
                <c:pt idx="8">
                  <c:v>17.532413977448218</c:v>
                </c:pt>
                <c:pt idx="9">
                  <c:v>23.292356002225343</c:v>
                </c:pt>
                <c:pt idx="10">
                  <c:v>28.714449849817349</c:v>
                </c:pt>
                <c:pt idx="11">
                  <c:v>33.155439502241414</c:v>
                </c:pt>
                <c:pt idx="12">
                  <c:v>36.142117470853876</c:v>
                </c:pt>
                <c:pt idx="13">
                  <c:v>37.446543754037371</c:v>
                </c:pt>
                <c:pt idx="14">
                  <c:v>37.091111042353909</c:v>
                </c:pt>
                <c:pt idx="15">
                  <c:v>35.299171386386163</c:v>
                </c:pt>
                <c:pt idx="16">
                  <c:v>32.417885557499311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F5-4E48-A265-BEE45C2D79C0}"/>
            </c:ext>
          </c:extLst>
        </c:ser>
        <c:ser>
          <c:idx val="9"/>
          <c:order val="9"/>
          <c:tx>
            <c:strRef>
              <c:f>'q=0.25'!$O$63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77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'q=0.25'!$O$64:$O$80</c:f>
              <c:numCache>
                <c:formatCode>General</c:formatCode>
                <c:ptCount val="17"/>
                <c:pt idx="0">
                  <c:v>2.3496116533197612E-2</c:v>
                </c:pt>
                <c:pt idx="1">
                  <c:v>0.10141529998498672</c:v>
                </c:pt>
                <c:pt idx="2">
                  <c:v>0.34049045767330993</c:v>
                </c:pt>
                <c:pt idx="3">
                  <c:v>0.92940191368416158</c:v>
                </c:pt>
                <c:pt idx="4">
                  <c:v>2.134826786783333</c:v>
                </c:pt>
                <c:pt idx="5">
                  <c:v>4.240594961397492</c:v>
                </c:pt>
                <c:pt idx="6">
                  <c:v>7.445634018072167</c:v>
                </c:pt>
                <c:pt idx="7">
                  <c:v>11.76274947043493</c:v>
                </c:pt>
                <c:pt idx="8">
                  <c:v>16.966344606676074</c:v>
                </c:pt>
                <c:pt idx="9">
                  <c:v>22.614961904135541</c:v>
                </c:pt>
                <c:pt idx="10">
                  <c:v>28.140151679120837</c:v>
                </c:pt>
                <c:pt idx="11">
                  <c:v>32.967320123753545</c:v>
                </c:pt>
                <c:pt idx="12">
                  <c:v>36.627795645687328</c:v>
                </c:pt>
                <c:pt idx="13">
                  <c:v>38.832273035647262</c:v>
                </c:pt>
                <c:pt idx="14">
                  <c:v>39.494514188268496</c:v>
                </c:pt>
                <c:pt idx="15">
                  <c:v>38.711121019073929</c:v>
                </c:pt>
                <c:pt idx="16">
                  <c:v>36.71302569319181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F5-4E48-A265-BEE45C2D79C0}"/>
            </c:ext>
          </c:extLst>
        </c:ser>
        <c:ser>
          <c:idx val="10"/>
          <c:order val="10"/>
          <c:tx>
            <c:strRef>
              <c:f>'q=0.25'!$P$63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68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'q=0.25'!$P$64:$P$80</c:f>
              <c:numCache>
                <c:formatCode>General</c:formatCode>
                <c:ptCount val="17"/>
                <c:pt idx="0">
                  <c:v>7.2189987263235209E-2</c:v>
                </c:pt>
                <c:pt idx="1">
                  <c:v>0.19453937066826044</c:v>
                </c:pt>
                <c:pt idx="2">
                  <c:v>0.4535325484901831</c:v>
                </c:pt>
                <c:pt idx="3">
                  <c:v>0.93764457430357451</c:v>
                </c:pt>
                <c:pt idx="4">
                  <c:v>1.7527143289805891</c:v>
                </c:pt>
                <c:pt idx="5">
                  <c:v>3.0082384835681379</c:v>
                </c:pt>
                <c:pt idx="6">
                  <c:v>4.7998355272210613</c:v>
                </c:pt>
                <c:pt idx="7">
                  <c:v>7.1918976554608651</c:v>
                </c:pt>
                <c:pt idx="8">
                  <c:v>10.204259621468907</c:v>
                </c:pt>
                <c:pt idx="9">
                  <c:v>13.80544817327212</c:v>
                </c:pt>
                <c:pt idx="10">
                  <c:v>17.913349588484945</c:v>
                </c:pt>
                <c:pt idx="11">
                  <c:v>22.402534844264082</c:v>
                </c:pt>
                <c:pt idx="12">
                  <c:v>27.1163854487293</c:v>
                </c:pt>
                <c:pt idx="13">
                  <c:v>31.881687918586721</c:v>
                </c:pt>
                <c:pt idx="14">
                  <c:v>36.523437093279227</c:v>
                </c:pt>
                <c:pt idx="15">
                  <c:v>40.878032003801628</c:v>
                </c:pt>
                <c:pt idx="16">
                  <c:v>44.803667212638338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F5-4E48-A265-BEE45C2D79C0}"/>
            </c:ext>
          </c:extLst>
        </c:ser>
        <c:ser>
          <c:idx val="11"/>
          <c:order val="11"/>
          <c:tx>
            <c:strRef>
              <c:f>'q=0.25'!$Q$63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58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'q=0.25'!$Q$64:$Q$80</c:f>
              <c:numCache>
                <c:formatCode>General</c:formatCode>
                <c:ptCount val="17"/>
                <c:pt idx="0">
                  <c:v>6.4758487973860135E-2</c:v>
                </c:pt>
                <c:pt idx="1">
                  <c:v>0.14915401823714514</c:v>
                </c:pt>
                <c:pt idx="2">
                  <c:v>0.30791847058012906</c:v>
                </c:pt>
                <c:pt idx="3">
                  <c:v>0.58028665262920021</c:v>
                </c:pt>
                <c:pt idx="4">
                  <c:v>1.012713837118639</c:v>
                </c:pt>
                <c:pt idx="5">
                  <c:v>1.6555165559472502</c:v>
                </c:pt>
                <c:pt idx="6">
                  <c:v>2.5585506673212728</c:v>
                </c:pt>
                <c:pt idx="7">
                  <c:v>3.7665854507139276</c:v>
                </c:pt>
                <c:pt idx="8">
                  <c:v>5.3150254340555891</c:v>
                </c:pt>
                <c:pt idx="9">
                  <c:v>7.2265026893185444</c:v>
                </c:pt>
                <c:pt idx="10">
                  <c:v>9.5086683387919528</c:v>
                </c:pt>
                <c:pt idx="11">
                  <c:v>12.153306268760428</c:v>
                </c:pt>
                <c:pt idx="12">
                  <c:v>15.136713104074285</c:v>
                </c:pt>
                <c:pt idx="13">
                  <c:v>18.421157385430668</c:v>
                </c:pt>
                <c:pt idx="14">
                  <c:v>21.957153492681819</c:v>
                </c:pt>
                <c:pt idx="15">
                  <c:v>25.686257502063338</c:v>
                </c:pt>
                <c:pt idx="16">
                  <c:v>29.544102395784275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F5-4E48-A265-BEE45C2D79C0}"/>
            </c:ext>
          </c:extLst>
        </c:ser>
        <c:ser>
          <c:idx val="12"/>
          <c:order val="12"/>
          <c:tx>
            <c:strRef>
              <c:f>'q=0.25'!$R$63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9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'q=0.25'!$R$64:$R$80</c:f>
              <c:numCache>
                <c:formatCode>General</c:formatCode>
                <c:ptCount val="17"/>
                <c:pt idx="0">
                  <c:v>4.1734213161566822E-2</c:v>
                </c:pt>
                <c:pt idx="1">
                  <c:v>8.8865736784688856E-2</c:v>
                </c:pt>
                <c:pt idx="2">
                  <c:v>0.17263746244519987</c:v>
                </c:pt>
                <c:pt idx="3">
                  <c:v>0.31062071286295106</c:v>
                </c:pt>
                <c:pt idx="4">
                  <c:v>0.52379362679055153</c:v>
                </c:pt>
                <c:pt idx="5">
                  <c:v>0.8356604020805819</c:v>
                </c:pt>
                <c:pt idx="6">
                  <c:v>1.2710525821017544</c:v>
                </c:pt>
                <c:pt idx="7">
                  <c:v>1.85475115427298</c:v>
                </c:pt>
                <c:pt idx="8">
                  <c:v>2.6100746784112152</c:v>
                </c:pt>
                <c:pt idx="9">
                  <c:v>3.5575634987001101</c:v>
                </c:pt>
                <c:pt idx="10">
                  <c:v>4.7138614228712541</c:v>
                </c:pt>
                <c:pt idx="11">
                  <c:v>6.090861798307075</c:v>
                </c:pt>
                <c:pt idx="12">
                  <c:v>7.6951507560604018</c:v>
                </c:pt>
                <c:pt idx="13">
                  <c:v>9.5277505677686563</c:v>
                </c:pt>
                <c:pt idx="14">
                  <c:v>11.584142704421696</c:v>
                </c:pt>
                <c:pt idx="15">
                  <c:v>13.854533938455511</c:v>
                </c:pt>
                <c:pt idx="16">
                  <c:v>16.324319301133034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F5-4E48-A265-BEE45C2D79C0}"/>
            </c:ext>
          </c:extLst>
        </c:ser>
        <c:ser>
          <c:idx val="13"/>
          <c:order val="13"/>
          <c:tx>
            <c:strRef>
              <c:f>'q=0.25'!$S$63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tint val="40000"/>
                  <a:shade val="95000"/>
                </a:schemeClr>
              </a:contourClr>
            </a:sp3d>
          </c:spPr>
          <c:cat>
            <c:numRef>
              <c:f>'q=0.25'!$E$64:$E$80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'q=0.25'!$S$64:$S$80</c:f>
              <c:numCache>
                <c:formatCode>General</c:formatCode>
                <c:ptCount val="17"/>
                <c:pt idx="0">
                  <c:v>2.3358998597042945E-2</c:v>
                </c:pt>
                <c:pt idx="1">
                  <c:v>4.7450266021242887E-2</c:v>
                </c:pt>
                <c:pt idx="2">
                  <c:v>8.8879028366060486E-2</c:v>
                </c:pt>
                <c:pt idx="3">
                  <c:v>0.15553487453654546</c:v>
                </c:pt>
                <c:pt idx="4">
                  <c:v>0.25692653633806922</c:v>
                </c:pt>
                <c:pt idx="5">
                  <c:v>0.4039543352989261</c:v>
                </c:pt>
                <c:pt idx="6">
                  <c:v>0.6085690857885887</c:v>
                </c:pt>
                <c:pt idx="7">
                  <c:v>0.88335041630706979</c:v>
                </c:pt>
                <c:pt idx="8">
                  <c:v>1.2410410812274459</c:v>
                </c:pt>
                <c:pt idx="9">
                  <c:v>1.6940726395535441</c:v>
                </c:pt>
                <c:pt idx="10">
                  <c:v>2.2541133478887168</c:v>
                </c:pt>
                <c:pt idx="11">
                  <c:v>2.931662690087498</c:v>
                </c:pt>
                <c:pt idx="12">
                  <c:v>3.7357098459181026</c:v>
                </c:pt>
                <c:pt idx="13">
                  <c:v>4.6734664708868641</c:v>
                </c:pt>
                <c:pt idx="14">
                  <c:v>5.7501779943268039</c:v>
                </c:pt>
                <c:pt idx="15">
                  <c:v>6.9690125542942445</c:v>
                </c:pt>
                <c:pt idx="16">
                  <c:v>8.3310227853443006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F5-4E48-A265-BEE45C2D79C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0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0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shade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0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5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1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7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0"/>
                    <a:shade val="95000"/>
                  </a:schemeClr>
                </a:contourClr>
              </a:sp3d>
            </c:spPr>
          </c:bandFmt>
        </c:bandFmts>
        <c:axId val="2049537328"/>
        <c:axId val="2049534928"/>
        <c:axId val="472652656"/>
      </c:surface3DChart>
      <c:catAx>
        <c:axId val="20495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  <c:auto val="1"/>
        <c:lblAlgn val="ctr"/>
        <c:lblOffset val="100"/>
        <c:noMultiLvlLbl val="0"/>
      </c:catAx>
      <c:valAx>
        <c:axId val="204953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7328"/>
        <c:crosses val="autoZero"/>
        <c:crossBetween val="midCat"/>
      </c:valAx>
      <c:serAx>
        <c:axId val="4726526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953492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volatility = 70%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0F0-48FF-AF64-B8602FBFAFE5}"/>
            </c:ext>
          </c:extLst>
        </c:ser>
        <c:ser>
          <c:idx val="1"/>
          <c:order val="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0F0-48FF-AF64-B8602FBFAFE5}"/>
            </c:ext>
          </c:extLst>
        </c:ser>
        <c:ser>
          <c:idx val="2"/>
          <c:order val="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0F0-48FF-AF64-B8602FBFAFE5}"/>
            </c:ext>
          </c:extLst>
        </c:ser>
        <c:ser>
          <c:idx val="3"/>
          <c:order val="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60F0-48FF-AF64-B8602FBFAFE5}"/>
            </c:ext>
          </c:extLst>
        </c:ser>
        <c:ser>
          <c:idx val="4"/>
          <c:order val="4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0F0-48FF-AF64-B8602FBFAFE5}"/>
            </c:ext>
          </c:extLst>
        </c:ser>
        <c:ser>
          <c:idx val="5"/>
          <c:order val="5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60F0-48FF-AF64-B8602FBFAFE5}"/>
            </c:ext>
          </c:extLst>
        </c:ser>
        <c:ser>
          <c:idx val="6"/>
          <c:order val="6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60F0-48FF-AF64-B8602FBFAFE5}"/>
            </c:ext>
          </c:extLst>
        </c:ser>
        <c:ser>
          <c:idx val="7"/>
          <c:order val="7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60F0-48FF-AF64-B8602FBFAFE5}"/>
            </c:ext>
          </c:extLst>
        </c:ser>
        <c:ser>
          <c:idx val="8"/>
          <c:order val="8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60F0-48FF-AF64-B8602FBFAFE5}"/>
            </c:ext>
          </c:extLst>
        </c:ser>
        <c:ser>
          <c:idx val="9"/>
          <c:order val="9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60F0-48FF-AF64-B8602FBFAFE5}"/>
            </c:ext>
          </c:extLst>
        </c:ser>
        <c:ser>
          <c:idx val="10"/>
          <c:order val="10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60F0-48FF-AF64-B8602FBFAFE5}"/>
            </c:ext>
          </c:extLst>
        </c:ser>
        <c:ser>
          <c:idx val="11"/>
          <c:order val="11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60F0-48FF-AF64-B8602FBFAFE5}"/>
            </c:ext>
          </c:extLst>
        </c:ser>
        <c:ser>
          <c:idx val="12"/>
          <c:order val="12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60F0-48FF-AF64-B8602FBFAFE5}"/>
            </c:ext>
          </c:extLst>
        </c:ser>
        <c:ser>
          <c:idx val="13"/>
          <c:order val="13"/>
          <c:val>
            <c:numRef>
              <c:f>'q=0.01'!#REF!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'q=0.01'!#REF!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60F0-48FF-AF64-B8602FBFAFE5}"/>
            </c:ext>
          </c:extLst>
        </c:ser>
        <c:bandFmts/>
        <c:axId val="2041188256"/>
        <c:axId val="104014048"/>
        <c:axId val="264750352"/>
      </c:surface3DChart>
      <c:catAx>
        <c:axId val="204118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  <c:auto val="1"/>
        <c:lblAlgn val="ctr"/>
        <c:lblOffset val="100"/>
        <c:noMultiLvlLbl val="0"/>
      </c:catAx>
      <c:valAx>
        <c:axId val="10401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1188256"/>
        <c:crosses val="autoZero"/>
        <c:crossBetween val="midCat"/>
      </c:valAx>
      <c:serAx>
        <c:axId val="26475035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401404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effectLst/>
              </a:rPr>
              <a:t>q = 25%</a:t>
            </a:r>
            <a:endParaRPr lang="it-IT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'q=0.25'!$F$83</c:f>
              <c:strCache>
                <c:ptCount val="1"/>
                <c:pt idx="0">
                  <c:v>0.1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3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3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3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3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39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'q=0.25'!$F$84:$F$100</c:f>
              <c:numCache>
                <c:formatCode>General</c:formatCode>
                <c:ptCount val="17"/>
                <c:pt idx="0">
                  <c:v>1.0504432343605057E-16</c:v>
                </c:pt>
                <c:pt idx="1">
                  <c:v>2.5518700834147615E-12</c:v>
                </c:pt>
                <c:pt idx="2">
                  <c:v>7.2071655665333762E-9</c:v>
                </c:pt>
                <c:pt idx="3">
                  <c:v>3.525687670690768E-6</c:v>
                </c:pt>
                <c:pt idx="4">
                  <c:v>4.0818082941132278E-4</c:v>
                </c:pt>
                <c:pt idx="5">
                  <c:v>1.4362989176889558E-2</c:v>
                </c:pt>
                <c:pt idx="6">
                  <c:v>0.18882251541790451</c:v>
                </c:pt>
                <c:pt idx="7">
                  <c:v>1.1072142802795846</c:v>
                </c:pt>
                <c:pt idx="8">
                  <c:v>3.4016070548449191</c:v>
                </c:pt>
                <c:pt idx="9">
                  <c:v>6.4006471616192853</c:v>
                </c:pt>
                <c:pt idx="10">
                  <c:v>8.6257357343444916</c:v>
                </c:pt>
                <c:pt idx="11">
                  <c:v>9.6300614759882937</c:v>
                </c:pt>
                <c:pt idx="12">
                  <c:v>9.922828687744687</c:v>
                </c:pt>
                <c:pt idx="13">
                  <c:v>9.9808825550699414</c:v>
                </c:pt>
                <c:pt idx="14">
                  <c:v>9.9890756980151547</c:v>
                </c:pt>
                <c:pt idx="15">
                  <c:v>9.9899318508276309</c:v>
                </c:pt>
                <c:pt idx="16">
                  <c:v>9.9900004257418047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4-4F04-95D9-9AE03FAE0383}"/>
            </c:ext>
          </c:extLst>
        </c:ser>
        <c:ser>
          <c:idx val="1"/>
          <c:order val="1"/>
          <c:tx>
            <c:strRef>
              <c:f>'q=0.25'!$G$83</c:f>
              <c:strCache>
                <c:ptCount val="1"/>
                <c:pt idx="0">
                  <c:v>0.2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4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4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4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4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48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'q=0.25'!$G$84:$G$100</c:f>
              <c:numCache>
                <c:formatCode>General</c:formatCode>
                <c:ptCount val="17"/>
                <c:pt idx="0">
                  <c:v>3.1160492026458327E-9</c:v>
                </c:pt>
                <c:pt idx="1">
                  <c:v>6.7374342783315271E-7</c:v>
                </c:pt>
                <c:pt idx="2">
                  <c:v>4.8878659880173353E-5</c:v>
                </c:pt>
                <c:pt idx="3">
                  <c:v>1.4571726232854635E-3</c:v>
                </c:pt>
                <c:pt idx="4">
                  <c:v>2.0923937575578762E-2</c:v>
                </c:pt>
                <c:pt idx="5">
                  <c:v>0.16434216067912119</c:v>
                </c:pt>
                <c:pt idx="6">
                  <c:v>0.78362207667365891</c:v>
                </c:pt>
                <c:pt idx="7">
                  <c:v>2.4765435794608672</c:v>
                </c:pt>
                <c:pt idx="8">
                  <c:v>5.5986509032777461</c:v>
                </c:pt>
                <c:pt idx="9">
                  <c:v>9.6943161399517184</c:v>
                </c:pt>
                <c:pt idx="10">
                  <c:v>13.690312490816012</c:v>
                </c:pt>
                <c:pt idx="11">
                  <c:v>16.701663149885622</c:v>
                </c:pt>
                <c:pt idx="12">
                  <c:v>18.511883860512938</c:v>
                </c:pt>
                <c:pt idx="13">
                  <c:v>19.40423914085558</c:v>
                </c:pt>
                <c:pt idx="14">
                  <c:v>19.773657237112982</c:v>
                </c:pt>
                <c:pt idx="15">
                  <c:v>19.90476086350575</c:v>
                </c:pt>
                <c:pt idx="16">
                  <c:v>19.945367046589521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84-4F04-95D9-9AE03FAE0383}"/>
            </c:ext>
          </c:extLst>
        </c:ser>
        <c:ser>
          <c:idx val="2"/>
          <c:order val="2"/>
          <c:tx>
            <c:strRef>
              <c:f>'q=0.25'!$H$83</c:f>
              <c:strCache>
                <c:ptCount val="1"/>
                <c:pt idx="0">
                  <c:v>0.3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58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'q=0.25'!$H$84:$H$100</c:f>
              <c:numCache>
                <c:formatCode>General</c:formatCode>
                <c:ptCount val="17"/>
                <c:pt idx="0">
                  <c:v>1.1439146615049899E-6</c:v>
                </c:pt>
                <c:pt idx="1">
                  <c:v>5.0974245298225034E-5</c:v>
                </c:pt>
                <c:pt idx="2">
                  <c:v>1.0838219775710311E-3</c:v>
                </c:pt>
                <c:pt idx="3">
                  <c:v>1.2610324173406634E-2</c:v>
                </c:pt>
                <c:pt idx="4">
                  <c:v>8.9383320516437423E-2</c:v>
                </c:pt>
                <c:pt idx="5">
                  <c:v>0.42051592363768459</c:v>
                </c:pt>
                <c:pt idx="6">
                  <c:v>1.4081855498230358</c:v>
                </c:pt>
                <c:pt idx="7">
                  <c:v>3.5576387531205937</c:v>
                </c:pt>
                <c:pt idx="8">
                  <c:v>7.125198682329895</c:v>
                </c:pt>
                <c:pt idx="9">
                  <c:v>11.810616714978766</c:v>
                </c:pt>
                <c:pt idx="10">
                  <c:v>16.832805438220923</c:v>
                </c:pt>
                <c:pt idx="11">
                  <c:v>21.342591910134463</c:v>
                </c:pt>
                <c:pt idx="12">
                  <c:v>24.811442002721254</c:v>
                </c:pt>
                <c:pt idx="13">
                  <c:v>27.140755299096742</c:v>
                </c:pt>
                <c:pt idx="14">
                  <c:v>28.52868165033718</c:v>
                </c:pt>
                <c:pt idx="15">
                  <c:v>29.27292310550795</c:v>
                </c:pt>
                <c:pt idx="16">
                  <c:v>29.636476607876229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84-4F04-95D9-9AE03FAE0383}"/>
            </c:ext>
          </c:extLst>
        </c:ser>
        <c:ser>
          <c:idx val="3"/>
          <c:order val="3"/>
          <c:tx>
            <c:strRef>
              <c:f>'q=0.25'!$I$83</c:f>
              <c:strCache>
                <c:ptCount val="1"/>
                <c:pt idx="0">
                  <c:v>0.4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6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6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6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6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67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'q=0.25'!$I$84:$I$100</c:f>
              <c:numCache>
                <c:formatCode>General</c:formatCode>
                <c:ptCount val="17"/>
                <c:pt idx="0">
                  <c:v>2.3309916000223063E-5</c:v>
                </c:pt>
                <c:pt idx="1">
                  <c:v>4.7002768025359589E-4</c:v>
                </c:pt>
                <c:pt idx="2">
                  <c:v>5.3899003889819469E-3</c:v>
                </c:pt>
                <c:pt idx="3">
                  <c:v>3.9005173194204865E-2</c:v>
                </c:pt>
                <c:pt idx="4">
                  <c:v>0.19325211642955242</c:v>
                </c:pt>
                <c:pt idx="5">
                  <c:v>0.69951819787494984</c:v>
                </c:pt>
                <c:pt idx="6">
                  <c:v>1.9501051829995901</c:v>
                </c:pt>
                <c:pt idx="7">
                  <c:v>4.3736528003748107</c:v>
                </c:pt>
                <c:pt idx="8">
                  <c:v>8.1865387072177178</c:v>
                </c:pt>
                <c:pt idx="9">
                  <c:v>13.196991413100671</c:v>
                </c:pt>
                <c:pt idx="10">
                  <c:v>18.829116019960004</c:v>
                </c:pt>
                <c:pt idx="11">
                  <c:v>24.354602489453836</c:v>
                </c:pt>
                <c:pt idx="12">
                  <c:v>29.167224382558185</c:v>
                </c:pt>
                <c:pt idx="13">
                  <c:v>32.943214210067971</c:v>
                </c:pt>
                <c:pt idx="14">
                  <c:v>35.645584992741135</c:v>
                </c:pt>
                <c:pt idx="15">
                  <c:v>37.428800395440604</c:v>
                </c:pt>
                <c:pt idx="16">
                  <c:v>38.523918466753472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84-4F04-95D9-9AE03FAE0383}"/>
            </c:ext>
          </c:extLst>
        </c:ser>
        <c:ser>
          <c:idx val="4"/>
          <c:order val="4"/>
          <c:tx>
            <c:strRef>
              <c:f>'q=0.25'!$J$83</c:f>
              <c:strCache>
                <c:ptCount val="1"/>
                <c:pt idx="0">
                  <c:v>0.5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76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'q=0.25'!$J$84:$J$100</c:f>
              <c:numCache>
                <c:formatCode>General</c:formatCode>
                <c:ptCount val="17"/>
                <c:pt idx="0">
                  <c:v>1.4580880407689205E-4</c:v>
                </c:pt>
                <c:pt idx="1">
                  <c:v>1.8231921312859784E-3</c:v>
                </c:pt>
                <c:pt idx="2">
                  <c:v>1.440035796127382E-2</c:v>
                </c:pt>
                <c:pt idx="3">
                  <c:v>7.8166962125663847E-2</c:v>
                </c:pt>
                <c:pt idx="4">
                  <c:v>0.3114710822061032</c:v>
                </c:pt>
                <c:pt idx="5">
                  <c:v>0.96019785440782845</c:v>
                </c:pt>
                <c:pt idx="6">
                  <c:v>2.389583328437431</c:v>
                </c:pt>
                <c:pt idx="7">
                  <c:v>4.9716963831165453</c:v>
                </c:pt>
                <c:pt idx="8">
                  <c:v>8.9046321616526285</c:v>
                </c:pt>
                <c:pt idx="9">
                  <c:v>14.074581653224522</c:v>
                </c:pt>
                <c:pt idx="10">
                  <c:v>20.055191489702594</c:v>
                </c:pt>
                <c:pt idx="11">
                  <c:v>26.244254027188095</c:v>
                </c:pt>
                <c:pt idx="12">
                  <c:v>32.054193118502688</c:v>
                </c:pt>
                <c:pt idx="13">
                  <c:v>37.06080665276474</c:v>
                </c:pt>
                <c:pt idx="14">
                  <c:v>41.06178974088651</c:v>
                </c:pt>
                <c:pt idx="15">
                  <c:v>44.05304433236072</c:v>
                </c:pt>
                <c:pt idx="16">
                  <c:v>46.161221059542818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84-4F04-95D9-9AE03FAE0383}"/>
            </c:ext>
          </c:extLst>
        </c:ser>
        <c:ser>
          <c:idx val="5"/>
          <c:order val="5"/>
          <c:tx>
            <c:strRef>
              <c:f>'q=0.25'!$K$83</c:f>
              <c:strCache>
                <c:ptCount val="1"/>
                <c:pt idx="0">
                  <c:v>0.6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86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'q=0.25'!$K$84:$K$100</c:f>
              <c:numCache>
                <c:formatCode>General</c:formatCode>
                <c:ptCount val="17"/>
                <c:pt idx="0">
                  <c:v>4.9944514197171753E-4</c:v>
                </c:pt>
                <c:pt idx="1">
                  <c:v>4.5347558117163319E-3</c:v>
                </c:pt>
                <c:pt idx="2">
                  <c:v>2.7890766864752625E-2</c:v>
                </c:pt>
                <c:pt idx="3">
                  <c:v>0.12476520865382947</c:v>
                </c:pt>
                <c:pt idx="4">
                  <c:v>0.42913718042091448</c:v>
                </c:pt>
                <c:pt idx="5">
                  <c:v>1.1862474037890298</c:v>
                </c:pt>
                <c:pt idx="6">
                  <c:v>2.731232017554841</c:v>
                </c:pt>
                <c:pt idx="7">
                  <c:v>5.3937248724070415</c:v>
                </c:pt>
                <c:pt idx="8">
                  <c:v>9.3620528146728308</c:v>
                </c:pt>
                <c:pt idx="9">
                  <c:v>14.579690845057753</c:v>
                </c:pt>
                <c:pt idx="10">
                  <c:v>20.732494871415359</c:v>
                </c:pt>
                <c:pt idx="11">
                  <c:v>27.331169422541155</c:v>
                </c:pt>
                <c:pt idx="12">
                  <c:v>33.843779526120535</c:v>
                </c:pt>
                <c:pt idx="13">
                  <c:v>39.818855356262141</c:v>
                </c:pt>
                <c:pt idx="14">
                  <c:v>44.958981437526688</c:v>
                </c:pt>
                <c:pt idx="15">
                  <c:v>49.136133195103461</c:v>
                </c:pt>
                <c:pt idx="16">
                  <c:v>52.363615266006491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84-4F04-95D9-9AE03FAE0383}"/>
            </c:ext>
          </c:extLst>
        </c:ser>
        <c:ser>
          <c:idx val="6"/>
          <c:order val="6"/>
          <c:tx>
            <c:strRef>
              <c:f>'q=0.25'!$L$83</c:f>
              <c:strCache>
                <c:ptCount val="1"/>
                <c:pt idx="0">
                  <c:v>0.7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95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shade val="95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shade val="9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'q=0.25'!$L$84:$L$100</c:f>
              <c:numCache>
                <c:formatCode>General</c:formatCode>
                <c:ptCount val="17"/>
                <c:pt idx="0">
                  <c:v>1.2048565304488875E-3</c:v>
                </c:pt>
                <c:pt idx="1">
                  <c:v>8.6951261395634936E-3</c:v>
                </c:pt>
                <c:pt idx="2">
                  <c:v>4.4678462966060602E-2</c:v>
                </c:pt>
                <c:pt idx="3">
                  <c:v>0.17385833568586623</c:v>
                </c:pt>
                <c:pt idx="4">
                  <c:v>0.53765715634534705</c:v>
                </c:pt>
                <c:pt idx="5">
                  <c:v>1.3730076608583912</c:v>
                </c:pt>
                <c:pt idx="6">
                  <c:v>2.9863271545405747</c:v>
                </c:pt>
                <c:pt idx="7">
                  <c:v>5.6742061927401863</c:v>
                </c:pt>
                <c:pt idx="8">
                  <c:v>9.6185474761337488</c:v>
                </c:pt>
                <c:pt idx="9">
                  <c:v>14.805470916830446</c:v>
                </c:pt>
                <c:pt idx="10">
                  <c:v>21.006748255441874</c:v>
                </c:pt>
                <c:pt idx="11">
                  <c:v>27.829566868981289</c:v>
                </c:pt>
                <c:pt idx="12">
                  <c:v>34.80914559238299</c:v>
                </c:pt>
                <c:pt idx="13">
                  <c:v>41.506300369733076</c:v>
                </c:pt>
                <c:pt idx="14">
                  <c:v>47.579494191369648</c:v>
                </c:pt>
                <c:pt idx="15">
                  <c:v>52.818253241331078</c:v>
                </c:pt>
                <c:pt idx="16">
                  <c:v>57.141059772554144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084-4F04-95D9-9AE03FAE0383}"/>
            </c:ext>
          </c:extLst>
        </c:ser>
        <c:ser>
          <c:idx val="7"/>
          <c:order val="7"/>
          <c:tx>
            <c:strRef>
              <c:f>'q=0.25'!$M$83</c:f>
              <c:strCache>
                <c:ptCount val="1"/>
                <c:pt idx="0">
                  <c:v>0.8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96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'q=0.25'!$M$84:$M$100</c:f>
              <c:numCache>
                <c:formatCode>General</c:formatCode>
                <c:ptCount val="17"/>
                <c:pt idx="0">
                  <c:v>2.3255315324715109E-3</c:v>
                </c:pt>
                <c:pt idx="1">
                  <c:v>1.4116607762642312E-2</c:v>
                </c:pt>
                <c:pt idx="2">
                  <c:v>6.3333034616172387E-2</c:v>
                </c:pt>
                <c:pt idx="3">
                  <c:v>0.22179262189200424</c:v>
                </c:pt>
                <c:pt idx="4">
                  <c:v>0.63272890009831328</c:v>
                </c:pt>
                <c:pt idx="5">
                  <c:v>1.5211480815687908</c:v>
                </c:pt>
                <c:pt idx="6">
                  <c:v>3.167310978929081</c:v>
                </c:pt>
                <c:pt idx="7">
                  <c:v>5.8410756481286512</c:v>
                </c:pt>
                <c:pt idx="8">
                  <c:v>9.7190865948876421</c:v>
                </c:pt>
                <c:pt idx="9">
                  <c:v>14.819389222807064</c:v>
                </c:pt>
                <c:pt idx="10">
                  <c:v>20.980437959493873</c:v>
                </c:pt>
                <c:pt idx="11">
                  <c:v>27.890390466265416</c:v>
                </c:pt>
                <c:pt idx="12">
                  <c:v>35.151988398460396</c:v>
                </c:pt>
                <c:pt idx="13">
                  <c:v>42.358348043159083</c:v>
                </c:pt>
                <c:pt idx="14">
                  <c:v>49.157169221453863</c:v>
                </c:pt>
                <c:pt idx="15">
                  <c:v>55.290436455118545</c:v>
                </c:pt>
                <c:pt idx="16">
                  <c:v>60.607384323422181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084-4F04-95D9-9AE03FAE0383}"/>
            </c:ext>
          </c:extLst>
        </c:ser>
        <c:ser>
          <c:idx val="8"/>
          <c:order val="8"/>
          <c:tx>
            <c:strRef>
              <c:f>'q=0.25'!$N$83</c:f>
              <c:strCache>
                <c:ptCount val="1"/>
                <c:pt idx="0">
                  <c:v>0.9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86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86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8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8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86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'q=0.25'!$N$84:$N$100</c:f>
              <c:numCache>
                <c:formatCode>General</c:formatCode>
                <c:ptCount val="17"/>
                <c:pt idx="0">
                  <c:v>3.8586302109777631E-3</c:v>
                </c:pt>
                <c:pt idx="1">
                  <c:v>2.0461845230277016E-2</c:v>
                </c:pt>
                <c:pt idx="2">
                  <c:v>8.2555072748280819E-2</c:v>
                </c:pt>
                <c:pt idx="3">
                  <c:v>0.26617691085424261</c:v>
                </c:pt>
                <c:pt idx="4">
                  <c:v>0.71268436809215474</c:v>
                </c:pt>
                <c:pt idx="5">
                  <c:v>1.6336853948045715</c:v>
                </c:pt>
                <c:pt idx="6">
                  <c:v>3.2859540908531999</c:v>
                </c:pt>
                <c:pt idx="7">
                  <c:v>5.9169834184115295</c:v>
                </c:pt>
                <c:pt idx="8">
                  <c:v>9.69839069437635</c:v>
                </c:pt>
                <c:pt idx="9">
                  <c:v>14.672099792240347</c:v>
                </c:pt>
                <c:pt idx="10">
                  <c:v>20.728773178227531</c:v>
                </c:pt>
                <c:pt idx="11">
                  <c:v>27.623982749612107</c:v>
                </c:pt>
                <c:pt idx="12">
                  <c:v>35.023578111773851</c:v>
                </c:pt>
                <c:pt idx="13">
                  <c:v>42.561914882524334</c:v>
                </c:pt>
                <c:pt idx="14">
                  <c:v>49.896489142865299</c:v>
                </c:pt>
                <c:pt idx="15">
                  <c:v>56.747734674934009</c:v>
                </c:pt>
                <c:pt idx="16">
                  <c:v>62.919662520313189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84-4F04-95D9-9AE03FAE0383}"/>
            </c:ext>
          </c:extLst>
        </c:ser>
        <c:ser>
          <c:idx val="9"/>
          <c:order val="9"/>
          <c:tx>
            <c:strRef>
              <c:f>'q=0.25'!$O$83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7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77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'q=0.25'!$O$84:$O$100</c:f>
              <c:numCache>
                <c:formatCode>General</c:formatCode>
                <c:ptCount val="17"/>
                <c:pt idx="0">
                  <c:v>5.7493564435618033E-3</c:v>
                </c:pt>
                <c:pt idx="1">
                  <c:v>2.7350737913731091E-2</c:v>
                </c:pt>
                <c:pt idx="2">
                  <c:v>0.10131539558294915</c:v>
                </c:pt>
                <c:pt idx="3">
                  <c:v>0.30561347212283785</c:v>
                </c:pt>
                <c:pt idx="4">
                  <c:v>0.77739847184295774</c:v>
                </c:pt>
                <c:pt idx="5">
                  <c:v>1.7145424243905161</c:v>
                </c:pt>
                <c:pt idx="6">
                  <c:v>3.3527769364758808</c:v>
                </c:pt>
                <c:pt idx="7">
                  <c:v>5.9203598626154292</c:v>
                </c:pt>
                <c:pt idx="8">
                  <c:v>9.5837303670822429</c:v>
                </c:pt>
                <c:pt idx="9">
                  <c:v>14.402539424000253</c:v>
                </c:pt>
                <c:pt idx="10">
                  <c:v>20.308528425881274</c:v>
                </c:pt>
                <c:pt idx="11">
                  <c:v>27.113170719568966</c:v>
                </c:pt>
                <c:pt idx="12">
                  <c:v>34.539165798647637</c:v>
                </c:pt>
                <c:pt idx="13">
                  <c:v>42.264833514471768</c:v>
                </c:pt>
                <c:pt idx="14">
                  <c:v>49.96939081856533</c:v>
                </c:pt>
                <c:pt idx="15">
                  <c:v>57.369843418382303</c:v>
                </c:pt>
                <c:pt idx="16">
                  <c:v>64.244656551374959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084-4F04-95D9-9AE03FAE0383}"/>
            </c:ext>
          </c:extLst>
        </c:ser>
        <c:ser>
          <c:idx val="10"/>
          <c:order val="10"/>
          <c:tx>
            <c:strRef>
              <c:f>'q=0.25'!$P$83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6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6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6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6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68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'q=0.25'!$P$84:$P$100</c:f>
              <c:numCache>
                <c:formatCode>General</c:formatCode>
                <c:ptCount val="17"/>
                <c:pt idx="0">
                  <c:v>2.6258777895130155E-2</c:v>
                </c:pt>
                <c:pt idx="1">
                  <c:v>7.5978407205818943E-2</c:v>
                </c:pt>
                <c:pt idx="2">
                  <c:v>0.19000016614484427</c:v>
                </c:pt>
                <c:pt idx="3">
                  <c:v>0.42106692607455837</c:v>
                </c:pt>
                <c:pt idx="4">
                  <c:v>0.84334132269814621</c:v>
                </c:pt>
                <c:pt idx="5">
                  <c:v>1.5505598647019991</c:v>
                </c:pt>
                <c:pt idx="6">
                  <c:v>2.6501624746972627</c:v>
                </c:pt>
                <c:pt idx="7">
                  <c:v>4.2541950512467412</c:v>
                </c:pt>
                <c:pt idx="8">
                  <c:v>6.4685324817958865</c:v>
                </c:pt>
                <c:pt idx="9">
                  <c:v>9.3822388413532654</c:v>
                </c:pt>
                <c:pt idx="10">
                  <c:v>13.058689722898905</c:v>
                </c:pt>
                <c:pt idx="11">
                  <c:v>17.5295787493082</c:v>
                </c:pt>
                <c:pt idx="12">
                  <c:v>22.792307018128593</c:v>
                </c:pt>
                <c:pt idx="13">
                  <c:v>28.810673518617239</c:v>
                </c:pt>
                <c:pt idx="14">
                  <c:v>35.518348638269167</c:v>
                </c:pt>
                <c:pt idx="15">
                  <c:v>42.824360293728077</c:v>
                </c:pt>
                <c:pt idx="16">
                  <c:v>50.619742631338191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84-4F04-95D9-9AE03FAE0383}"/>
            </c:ext>
          </c:extLst>
        </c:ser>
        <c:ser>
          <c:idx val="11"/>
          <c:order val="11"/>
          <c:tx>
            <c:strRef>
              <c:f>'q=0.25'!$Q$83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58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58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58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58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58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'q=0.25'!$Q$84:$Q$100</c:f>
              <c:numCache>
                <c:formatCode>General</c:formatCode>
                <c:ptCount val="17"/>
                <c:pt idx="0">
                  <c:v>2.8286082800725997E-2</c:v>
                </c:pt>
                <c:pt idx="1">
                  <c:v>6.8948427893069333E-2</c:v>
                </c:pt>
                <c:pt idx="2">
                  <c:v>0.15041498688441907</c:v>
                </c:pt>
                <c:pt idx="3">
                  <c:v>0.29917363929231056</c:v>
                </c:pt>
                <c:pt idx="4">
                  <c:v>0.55047846478583562</c:v>
                </c:pt>
                <c:pt idx="5">
                  <c:v>0.94794059326167146</c:v>
                </c:pt>
                <c:pt idx="6">
                  <c:v>1.5421237133772154</c:v>
                </c:pt>
                <c:pt idx="7">
                  <c:v>2.388293648504396</c:v>
                </c:pt>
                <c:pt idx="8">
                  <c:v>3.5435891907346142</c:v>
                </c:pt>
                <c:pt idx="9">
                  <c:v>5.0639355496858229</c:v>
                </c:pt>
                <c:pt idx="10">
                  <c:v>7.0010170619658387</c:v>
                </c:pt>
                <c:pt idx="11">
                  <c:v>9.3995774169983566</c:v>
                </c:pt>
                <c:pt idx="12">
                  <c:v>12.295242221161706</c:v>
                </c:pt>
                <c:pt idx="13">
                  <c:v>15.712977360100986</c:v>
                </c:pt>
                <c:pt idx="14">
                  <c:v>19.666220310769898</c:v>
                </c:pt>
                <c:pt idx="15">
                  <c:v>24.156658419749188</c:v>
                </c:pt>
                <c:pt idx="16">
                  <c:v>29.174581924752154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084-4F04-95D9-9AE03FAE0383}"/>
            </c:ext>
          </c:extLst>
        </c:ser>
        <c:ser>
          <c:idx val="12"/>
          <c:order val="12"/>
          <c:tx>
            <c:strRef>
              <c:f>'q=0.25'!$R$83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9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9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9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9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9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'q=0.25'!$R$84:$R$100</c:f>
              <c:numCache>
                <c:formatCode>General</c:formatCode>
                <c:ptCount val="17"/>
                <c:pt idx="0">
                  <c:v>2.0315802186531087E-2</c:v>
                </c:pt>
                <c:pt idx="1">
                  <c:v>4.5355514483946223E-2</c:v>
                </c:pt>
                <c:pt idx="2">
                  <c:v>9.2231885703236691E-2</c:v>
                </c:pt>
                <c:pt idx="3">
                  <c:v>0.17346875058243494</c:v>
                </c:pt>
                <c:pt idx="4">
                  <c:v>0.3054012891780139</c:v>
                </c:pt>
                <c:pt idx="5">
                  <c:v>0.50816207352666942</c:v>
                </c:pt>
                <c:pt idx="6">
                  <c:v>0.80537095326333297</c:v>
                </c:pt>
                <c:pt idx="7">
                  <c:v>1.223557064465691</c:v>
                </c:pt>
                <c:pt idx="8">
                  <c:v>1.7913680908369052</c:v>
                </c:pt>
                <c:pt idx="9">
                  <c:v>2.5386370578292006</c:v>
                </c:pt>
                <c:pt idx="10">
                  <c:v>3.4953811907286565</c:v>
                </c:pt>
                <c:pt idx="11">
                  <c:v>4.6908029529168367</c:v>
                </c:pt>
                <c:pt idx="12">
                  <c:v>6.1523530695684343</c:v>
                </c:pt>
                <c:pt idx="13">
                  <c:v>7.9049018088910294</c:v>
                </c:pt>
                <c:pt idx="14">
                  <c:v>9.9700502639975461</c:v>
                </c:pt>
                <c:pt idx="15">
                  <c:v>12.365599494597532</c:v>
                </c:pt>
                <c:pt idx="16">
                  <c:v>15.105183208533843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084-4F04-95D9-9AE03FAE0383}"/>
            </c:ext>
          </c:extLst>
        </c:ser>
        <c:ser>
          <c:idx val="13"/>
          <c:order val="13"/>
          <c:tx>
            <c:strRef>
              <c:f>'q=0.25'!$S$83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4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tint val="4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tint val="4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tint val="4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tint val="40000"/>
                  <a:shade val="95000"/>
                </a:schemeClr>
              </a:contourClr>
            </a:sp3d>
          </c:spPr>
          <c:cat>
            <c:numRef>
              <c:f>'q=0.25'!$E$84:$E$100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'q=0.25'!$S$84:$S$100</c:f>
              <c:numCache>
                <c:formatCode>General</c:formatCode>
                <c:ptCount val="17"/>
                <c:pt idx="0">
                  <c:v>1.2225334186811742E-2</c:v>
                </c:pt>
                <c:pt idx="1">
                  <c:v>2.5866112979077649E-2</c:v>
                </c:pt>
                <c:pt idx="2">
                  <c:v>5.0381888084852208E-2</c:v>
                </c:pt>
                <c:pt idx="3">
                  <c:v>9.1553385840109497E-2</c:v>
                </c:pt>
                <c:pt idx="4">
                  <c:v>0.15685249806080068</c:v>
                </c:pt>
                <c:pt idx="5">
                  <c:v>0.25549217932042212</c:v>
                </c:pt>
                <c:pt idx="6">
                  <c:v>0.39838015185215797</c:v>
                </c:pt>
                <c:pt idx="7">
                  <c:v>0.59798119899894486</c:v>
                </c:pt>
                <c:pt idx="8">
                  <c:v>0.86810015442871502</c:v>
                </c:pt>
                <c:pt idx="9">
                  <c:v>1.2236024280927658</c:v>
                </c:pt>
                <c:pt idx="10">
                  <c:v>1.6800911861748791</c:v>
                </c:pt>
                <c:pt idx="11">
                  <c:v>2.2535605254235835</c:v>
                </c:pt>
                <c:pt idx="12">
                  <c:v>2.9600426680344536</c:v>
                </c:pt>
                <c:pt idx="13">
                  <c:v>3.8152648704434964</c:v>
                </c:pt>
                <c:pt idx="14">
                  <c:v>4.8343288461751781</c:v>
                </c:pt>
                <c:pt idx="15">
                  <c:v>6.0314224173051354</c:v>
                </c:pt>
                <c:pt idx="16">
                  <c:v>7.4195701026546201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084-4F04-95D9-9AE03FAE0383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6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6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6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6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6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6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6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6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6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6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6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tint val="20000"/>
                    <a:shade val="95000"/>
                  </a:schemeClr>
                </a:contourClr>
              </a:sp3d>
            </c:spPr>
          </c:bandFmt>
        </c:bandFmts>
        <c:axId val="102552592"/>
        <c:axId val="102549712"/>
        <c:axId val="707534880"/>
      </c:surface3DChart>
      <c:catAx>
        <c:axId val="102552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  <c:auto val="1"/>
        <c:lblAlgn val="ctr"/>
        <c:lblOffset val="100"/>
        <c:noMultiLvlLbl val="0"/>
      </c:catAx>
      <c:valAx>
        <c:axId val="1025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52592"/>
        <c:crosses val="autoZero"/>
        <c:crossBetween val="midCat"/>
      </c:valAx>
      <c:serAx>
        <c:axId val="70753488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549712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11" Type="http://schemas.openxmlformats.org/officeDocument/2006/relationships/chart" Target="../charts/chart37.xml"/><Relationship Id="rId5" Type="http://schemas.openxmlformats.org/officeDocument/2006/relationships/chart" Target="../charts/chart31.xml"/><Relationship Id="rId10" Type="http://schemas.openxmlformats.org/officeDocument/2006/relationships/chart" Target="../charts/chart36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7620</xdr:colOff>
      <xdr:row>0</xdr:row>
      <xdr:rowOff>179070</xdr:rowOff>
    </xdr:from>
    <xdr:to>
      <xdr:col>29</xdr:col>
      <xdr:colOff>7620</xdr:colOff>
      <xdr:row>18</xdr:row>
      <xdr:rowOff>175260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CF207C9-5C23-AB10-256F-D2F72A2747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19</xdr:row>
      <xdr:rowOff>179070</xdr:rowOff>
    </xdr:from>
    <xdr:to>
      <xdr:col>29</xdr:col>
      <xdr:colOff>7620</xdr:colOff>
      <xdr:row>38</xdr:row>
      <xdr:rowOff>22860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515EAB81-9278-F7E6-3B31-B6B4C58F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38</xdr:row>
      <xdr:rowOff>179070</xdr:rowOff>
    </xdr:from>
    <xdr:to>
      <xdr:col>29</xdr:col>
      <xdr:colOff>7620</xdr:colOff>
      <xdr:row>56</xdr:row>
      <xdr:rowOff>175260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8E416F95-642A-154C-A72E-10E922F27C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59</xdr:row>
      <xdr:rowOff>11430</xdr:rowOff>
    </xdr:from>
    <xdr:to>
      <xdr:col>29</xdr:col>
      <xdr:colOff>0</xdr:colOff>
      <xdr:row>77</xdr:row>
      <xdr:rowOff>22860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71AD818-C79A-55E9-B7A7-DE8CF6E1D9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7620</xdr:colOff>
      <xdr:row>78</xdr:row>
      <xdr:rowOff>3810</xdr:rowOff>
    </xdr:from>
    <xdr:to>
      <xdr:col>29</xdr:col>
      <xdr:colOff>7620</xdr:colOff>
      <xdr:row>96</xdr:row>
      <xdr:rowOff>7620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3C0603D6-066C-789F-E41C-1C37F1A41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96</xdr:row>
      <xdr:rowOff>179070</xdr:rowOff>
    </xdr:from>
    <xdr:to>
      <xdr:col>29</xdr:col>
      <xdr:colOff>15240</xdr:colOff>
      <xdr:row>114</xdr:row>
      <xdr:rowOff>175260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F0274157-5310-D7FD-8D5C-AB0667A891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</xdr:colOff>
      <xdr:row>117</xdr:row>
      <xdr:rowOff>3810</xdr:rowOff>
    </xdr:from>
    <xdr:to>
      <xdr:col>29</xdr:col>
      <xdr:colOff>0</xdr:colOff>
      <xdr:row>135</xdr:row>
      <xdr:rowOff>7620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24F98C45-1282-4C54-5E88-FB4A656F4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136</xdr:row>
      <xdr:rowOff>3810</xdr:rowOff>
    </xdr:from>
    <xdr:to>
      <xdr:col>29</xdr:col>
      <xdr:colOff>15240</xdr:colOff>
      <xdr:row>154</xdr:row>
      <xdr:rowOff>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CEFE81-1F29-4946-6E9E-C7CAA4614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7620</xdr:colOff>
      <xdr:row>155</xdr:row>
      <xdr:rowOff>3810</xdr:rowOff>
    </xdr:from>
    <xdr:to>
      <xdr:col>28</xdr:col>
      <xdr:colOff>601980</xdr:colOff>
      <xdr:row>173</xdr:row>
      <xdr:rowOff>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800894E-0DE8-5A00-0E5E-062BE8D84C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601980</xdr:colOff>
      <xdr:row>175</xdr:row>
      <xdr:rowOff>19050</xdr:rowOff>
    </xdr:from>
    <xdr:to>
      <xdr:col>28</xdr:col>
      <xdr:colOff>601980</xdr:colOff>
      <xdr:row>193</xdr:row>
      <xdr:rowOff>22860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84D3DEC0-244B-F130-C941-3422E42656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193</xdr:row>
      <xdr:rowOff>171450</xdr:rowOff>
    </xdr:from>
    <xdr:to>
      <xdr:col>29</xdr:col>
      <xdr:colOff>0</xdr:colOff>
      <xdr:row>212</xdr:row>
      <xdr:rowOff>7620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2C881F6-5401-52E4-8299-8274EA4AA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212</xdr:row>
      <xdr:rowOff>179070</xdr:rowOff>
    </xdr:from>
    <xdr:to>
      <xdr:col>29</xdr:col>
      <xdr:colOff>7620</xdr:colOff>
      <xdr:row>231</xdr:row>
      <xdr:rowOff>7620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27730994-752A-3F38-9576-FB3F37888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0</xdr:colOff>
      <xdr:row>233</xdr:row>
      <xdr:rowOff>11430</xdr:rowOff>
    </xdr:from>
    <xdr:to>
      <xdr:col>28</xdr:col>
      <xdr:colOff>601980</xdr:colOff>
      <xdr:row>250</xdr:row>
      <xdr:rowOff>175260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7F8841D2-B24E-809A-7802-E3AFFD321F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252</xdr:row>
      <xdr:rowOff>3810</xdr:rowOff>
    </xdr:from>
    <xdr:to>
      <xdr:col>29</xdr:col>
      <xdr:colOff>0</xdr:colOff>
      <xdr:row>270</xdr:row>
      <xdr:rowOff>15240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477F55E-4A1B-CB47-D338-D6FCDA965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601980</xdr:colOff>
      <xdr:row>270</xdr:row>
      <xdr:rowOff>171450</xdr:rowOff>
    </xdr:from>
    <xdr:to>
      <xdr:col>29</xdr:col>
      <xdr:colOff>15240</xdr:colOff>
      <xdr:row>289</xdr:row>
      <xdr:rowOff>7620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DAED8C40-9593-494E-DDA6-41904C53D7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7620</xdr:colOff>
      <xdr:row>0</xdr:row>
      <xdr:rowOff>179070</xdr:rowOff>
    </xdr:from>
    <xdr:to>
      <xdr:col>29</xdr:col>
      <xdr:colOff>7620</xdr:colOff>
      <xdr:row>18</xdr:row>
      <xdr:rowOff>175260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E781878-836B-47FA-B2E5-DD544C29F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19</xdr:row>
      <xdr:rowOff>179070</xdr:rowOff>
    </xdr:from>
    <xdr:to>
      <xdr:col>29</xdr:col>
      <xdr:colOff>7620</xdr:colOff>
      <xdr:row>20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B2F0AFE-DFA0-4C02-8D87-6306A84DA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29</xdr:col>
      <xdr:colOff>7620</xdr:colOff>
      <xdr:row>20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CFB2E19-FC43-44C5-A7D0-2B6E458AA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22</xdr:row>
      <xdr:rowOff>11430</xdr:rowOff>
    </xdr:from>
    <xdr:to>
      <xdr:col>29</xdr:col>
      <xdr:colOff>0</xdr:colOff>
      <xdr:row>40</xdr:row>
      <xdr:rowOff>22860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DD29A23-6AEA-4A13-946B-1AC50DA1D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7620</xdr:colOff>
      <xdr:row>41</xdr:row>
      <xdr:rowOff>0</xdr:rowOff>
    </xdr:from>
    <xdr:to>
      <xdr:col>29</xdr:col>
      <xdr:colOff>7620</xdr:colOff>
      <xdr:row>41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B9889032-26B1-4775-BF4B-A20D54A39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41</xdr:row>
      <xdr:rowOff>0</xdr:rowOff>
    </xdr:from>
    <xdr:to>
      <xdr:col>29</xdr:col>
      <xdr:colOff>15240</xdr:colOff>
      <xdr:row>41</xdr:row>
      <xdr:rowOff>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C92C8C1-8EC5-4B91-90C7-D1D8D1B2FE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</xdr:colOff>
      <xdr:row>42</xdr:row>
      <xdr:rowOff>3810</xdr:rowOff>
    </xdr:from>
    <xdr:to>
      <xdr:col>29</xdr:col>
      <xdr:colOff>0</xdr:colOff>
      <xdr:row>60</xdr:row>
      <xdr:rowOff>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E26AE12-A4DE-49C6-B364-97239F4CC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60</xdr:row>
      <xdr:rowOff>0</xdr:rowOff>
    </xdr:from>
    <xdr:to>
      <xdr:col>29</xdr:col>
      <xdr:colOff>15240</xdr:colOff>
      <xdr:row>60</xdr:row>
      <xdr:rowOff>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C9818B19-B899-4650-B4D6-BC93CBF8A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601980</xdr:colOff>
      <xdr:row>62</xdr:row>
      <xdr:rowOff>19050</xdr:rowOff>
    </xdr:from>
    <xdr:to>
      <xdr:col>28</xdr:col>
      <xdr:colOff>601980</xdr:colOff>
      <xdr:row>80</xdr:row>
      <xdr:rowOff>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8D07AA6E-95E2-4318-8F42-7CE36E0E0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80</xdr:row>
      <xdr:rowOff>0</xdr:rowOff>
    </xdr:from>
    <xdr:to>
      <xdr:col>29</xdr:col>
      <xdr:colOff>7620</xdr:colOff>
      <xdr:row>80</xdr:row>
      <xdr:rowOff>7620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1BD5CD12-239C-4399-8334-87885C0E7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82</xdr:row>
      <xdr:rowOff>11430</xdr:rowOff>
    </xdr:from>
    <xdr:to>
      <xdr:col>28</xdr:col>
      <xdr:colOff>601980</xdr:colOff>
      <xdr:row>99</xdr:row>
      <xdr:rowOff>175260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C1EE6648-8B86-4304-BA5E-6F2B53E892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7620</xdr:colOff>
      <xdr:row>0</xdr:row>
      <xdr:rowOff>179070</xdr:rowOff>
    </xdr:from>
    <xdr:to>
      <xdr:col>29</xdr:col>
      <xdr:colOff>7620</xdr:colOff>
      <xdr:row>18</xdr:row>
      <xdr:rowOff>175260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A8DCB16-2C86-4D23-95BB-00E41985C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19</xdr:row>
      <xdr:rowOff>179070</xdr:rowOff>
    </xdr:from>
    <xdr:to>
      <xdr:col>29</xdr:col>
      <xdr:colOff>7620</xdr:colOff>
      <xdr:row>20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0D8A066-7FB7-4097-932A-13CAFFCB4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29</xdr:col>
      <xdr:colOff>7620</xdr:colOff>
      <xdr:row>20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555AE7A-D3D0-434F-B084-DC43D93A3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22</xdr:row>
      <xdr:rowOff>11430</xdr:rowOff>
    </xdr:from>
    <xdr:to>
      <xdr:col>29</xdr:col>
      <xdr:colOff>0</xdr:colOff>
      <xdr:row>40</xdr:row>
      <xdr:rowOff>22860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7B4BA24-37C7-4386-B820-0FEA096B4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7620</xdr:colOff>
      <xdr:row>41</xdr:row>
      <xdr:rowOff>0</xdr:rowOff>
    </xdr:from>
    <xdr:to>
      <xdr:col>29</xdr:col>
      <xdr:colOff>7620</xdr:colOff>
      <xdr:row>41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6E421FF7-C018-4A70-9964-3B7AE5785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41</xdr:row>
      <xdr:rowOff>0</xdr:rowOff>
    </xdr:from>
    <xdr:to>
      <xdr:col>29</xdr:col>
      <xdr:colOff>15240</xdr:colOff>
      <xdr:row>41</xdr:row>
      <xdr:rowOff>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A5BC674E-2F7C-4EEF-A8F5-0C4AE6326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</xdr:colOff>
      <xdr:row>42</xdr:row>
      <xdr:rowOff>3810</xdr:rowOff>
    </xdr:from>
    <xdr:to>
      <xdr:col>29</xdr:col>
      <xdr:colOff>0</xdr:colOff>
      <xdr:row>60</xdr:row>
      <xdr:rowOff>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23DDE81D-5C99-4170-933D-570C84912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60</xdr:row>
      <xdr:rowOff>0</xdr:rowOff>
    </xdr:from>
    <xdr:to>
      <xdr:col>29</xdr:col>
      <xdr:colOff>15240</xdr:colOff>
      <xdr:row>60</xdr:row>
      <xdr:rowOff>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4533FE95-433D-4D02-AE8B-424749EA5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601980</xdr:colOff>
      <xdr:row>62</xdr:row>
      <xdr:rowOff>19050</xdr:rowOff>
    </xdr:from>
    <xdr:to>
      <xdr:col>28</xdr:col>
      <xdr:colOff>601980</xdr:colOff>
      <xdr:row>80</xdr:row>
      <xdr:rowOff>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B2D37C8C-66F9-495E-8E1C-72E988008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80</xdr:row>
      <xdr:rowOff>0</xdr:rowOff>
    </xdr:from>
    <xdr:to>
      <xdr:col>29</xdr:col>
      <xdr:colOff>7620</xdr:colOff>
      <xdr:row>80</xdr:row>
      <xdr:rowOff>7620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B0700D35-B9F8-49CE-A7F2-0A5A936D7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82</xdr:row>
      <xdr:rowOff>11430</xdr:rowOff>
    </xdr:from>
    <xdr:to>
      <xdr:col>28</xdr:col>
      <xdr:colOff>601980</xdr:colOff>
      <xdr:row>99</xdr:row>
      <xdr:rowOff>175260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9DB31D33-51CC-4375-8127-E036CBD381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7620</xdr:colOff>
      <xdr:row>0</xdr:row>
      <xdr:rowOff>179070</xdr:rowOff>
    </xdr:from>
    <xdr:to>
      <xdr:col>29</xdr:col>
      <xdr:colOff>7620</xdr:colOff>
      <xdr:row>18</xdr:row>
      <xdr:rowOff>175260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2725B2C-117F-4193-BE5D-42F4FB7DE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19</xdr:row>
      <xdr:rowOff>179070</xdr:rowOff>
    </xdr:from>
    <xdr:to>
      <xdr:col>29</xdr:col>
      <xdr:colOff>7620</xdr:colOff>
      <xdr:row>20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8FA9BCE-6F57-45D0-9318-A37E1BA4D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29</xdr:col>
      <xdr:colOff>7620</xdr:colOff>
      <xdr:row>20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DAFDF1B-BB95-4DA9-8675-9A52549F7F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22</xdr:row>
      <xdr:rowOff>11430</xdr:rowOff>
    </xdr:from>
    <xdr:to>
      <xdr:col>29</xdr:col>
      <xdr:colOff>0</xdr:colOff>
      <xdr:row>40</xdr:row>
      <xdr:rowOff>22860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FD97B0A-5575-411A-BB4E-B2E63E23F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7620</xdr:colOff>
      <xdr:row>41</xdr:row>
      <xdr:rowOff>0</xdr:rowOff>
    </xdr:from>
    <xdr:to>
      <xdr:col>29</xdr:col>
      <xdr:colOff>7620</xdr:colOff>
      <xdr:row>41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4B4BC97E-AEC4-45B1-8CC8-7E5FB1976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41</xdr:row>
      <xdr:rowOff>0</xdr:rowOff>
    </xdr:from>
    <xdr:to>
      <xdr:col>29</xdr:col>
      <xdr:colOff>15240</xdr:colOff>
      <xdr:row>41</xdr:row>
      <xdr:rowOff>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57CC54B-3A33-486F-9186-0A46A045D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</xdr:colOff>
      <xdr:row>42</xdr:row>
      <xdr:rowOff>3810</xdr:rowOff>
    </xdr:from>
    <xdr:to>
      <xdr:col>29</xdr:col>
      <xdr:colOff>0</xdr:colOff>
      <xdr:row>60</xdr:row>
      <xdr:rowOff>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FD3421F0-9EB4-449F-9DB6-0C048AC79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60</xdr:row>
      <xdr:rowOff>0</xdr:rowOff>
    </xdr:from>
    <xdr:to>
      <xdr:col>29</xdr:col>
      <xdr:colOff>15240</xdr:colOff>
      <xdr:row>60</xdr:row>
      <xdr:rowOff>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7D391A73-05A8-4701-B440-4F2F2393A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601980</xdr:colOff>
      <xdr:row>62</xdr:row>
      <xdr:rowOff>19050</xdr:rowOff>
    </xdr:from>
    <xdr:to>
      <xdr:col>28</xdr:col>
      <xdr:colOff>601980</xdr:colOff>
      <xdr:row>80</xdr:row>
      <xdr:rowOff>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1ECBEDBF-54E3-40F9-B136-BB5C4F311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80</xdr:row>
      <xdr:rowOff>0</xdr:rowOff>
    </xdr:from>
    <xdr:to>
      <xdr:col>29</xdr:col>
      <xdr:colOff>7620</xdr:colOff>
      <xdr:row>80</xdr:row>
      <xdr:rowOff>7620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A3B856E-FAEA-458E-998A-2A8A35C1F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82</xdr:row>
      <xdr:rowOff>11430</xdr:rowOff>
    </xdr:from>
    <xdr:to>
      <xdr:col>28</xdr:col>
      <xdr:colOff>601980</xdr:colOff>
      <xdr:row>99</xdr:row>
      <xdr:rowOff>175260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71CBD3ED-89B7-475D-B229-49E1C70B2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7620</xdr:colOff>
      <xdr:row>0</xdr:row>
      <xdr:rowOff>179070</xdr:rowOff>
    </xdr:from>
    <xdr:to>
      <xdr:col>29</xdr:col>
      <xdr:colOff>7620</xdr:colOff>
      <xdr:row>18</xdr:row>
      <xdr:rowOff>175260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B342E6E-B33C-417D-B1F9-158D864AC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19</xdr:row>
      <xdr:rowOff>179070</xdr:rowOff>
    </xdr:from>
    <xdr:to>
      <xdr:col>29</xdr:col>
      <xdr:colOff>7620</xdr:colOff>
      <xdr:row>20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FCD5C04-D06B-441C-A218-83B23FDCDC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29</xdr:col>
      <xdr:colOff>7620</xdr:colOff>
      <xdr:row>20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A1C52AF-E852-40B4-BD91-D494DEEA2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22</xdr:row>
      <xdr:rowOff>11430</xdr:rowOff>
    </xdr:from>
    <xdr:to>
      <xdr:col>29</xdr:col>
      <xdr:colOff>0</xdr:colOff>
      <xdr:row>40</xdr:row>
      <xdr:rowOff>22860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86BCD64-F952-42D7-AD32-17D8B51939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7620</xdr:colOff>
      <xdr:row>41</xdr:row>
      <xdr:rowOff>0</xdr:rowOff>
    </xdr:from>
    <xdr:to>
      <xdr:col>29</xdr:col>
      <xdr:colOff>7620</xdr:colOff>
      <xdr:row>41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4C6392F-E2CD-443B-80F9-4F01C79E1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41</xdr:row>
      <xdr:rowOff>0</xdr:rowOff>
    </xdr:from>
    <xdr:to>
      <xdr:col>29</xdr:col>
      <xdr:colOff>15240</xdr:colOff>
      <xdr:row>41</xdr:row>
      <xdr:rowOff>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2FEB17CD-6DF1-44B4-92E8-BBFC0DB18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</xdr:colOff>
      <xdr:row>42</xdr:row>
      <xdr:rowOff>3810</xdr:rowOff>
    </xdr:from>
    <xdr:to>
      <xdr:col>29</xdr:col>
      <xdr:colOff>0</xdr:colOff>
      <xdr:row>60</xdr:row>
      <xdr:rowOff>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2CD0C77C-B662-4C4F-A8CA-25D255C48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60</xdr:row>
      <xdr:rowOff>0</xdr:rowOff>
    </xdr:from>
    <xdr:to>
      <xdr:col>29</xdr:col>
      <xdr:colOff>15240</xdr:colOff>
      <xdr:row>60</xdr:row>
      <xdr:rowOff>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8EFE6BE2-FF51-4134-BEC0-D04E9179F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601980</xdr:colOff>
      <xdr:row>62</xdr:row>
      <xdr:rowOff>19050</xdr:rowOff>
    </xdr:from>
    <xdr:to>
      <xdr:col>28</xdr:col>
      <xdr:colOff>601980</xdr:colOff>
      <xdr:row>80</xdr:row>
      <xdr:rowOff>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5ECA6024-78FB-4FEF-8DCB-12410C3D03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80</xdr:row>
      <xdr:rowOff>0</xdr:rowOff>
    </xdr:from>
    <xdr:to>
      <xdr:col>29</xdr:col>
      <xdr:colOff>7620</xdr:colOff>
      <xdr:row>80</xdr:row>
      <xdr:rowOff>7620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12B5773-5838-48A6-90EE-8FE268FD1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82</xdr:row>
      <xdr:rowOff>11430</xdr:rowOff>
    </xdr:from>
    <xdr:to>
      <xdr:col>28</xdr:col>
      <xdr:colOff>601980</xdr:colOff>
      <xdr:row>99</xdr:row>
      <xdr:rowOff>175260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80B3A29B-5F1F-405A-AC25-CB96FFCB8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10"/>
  <sheetViews>
    <sheetView workbookViewId="0">
      <selection activeCell="A10" sqref="A10"/>
    </sheetView>
  </sheetViews>
  <sheetFormatPr defaultRowHeight="14.4" x14ac:dyDescent="0.3"/>
  <sheetData>
    <row r="1" spans="1:2" x14ac:dyDescent="0.3">
      <c r="A1" t="s">
        <v>0</v>
      </c>
    </row>
    <row r="3" spans="1:2" x14ac:dyDescent="0.3">
      <c r="A3" t="s">
        <v>1</v>
      </c>
      <c r="B3" t="s">
        <v>2</v>
      </c>
    </row>
    <row r="4" spans="1:2" x14ac:dyDescent="0.3">
      <c r="A4" t="s">
        <v>3</v>
      </c>
      <c r="B4" t="s">
        <v>4</v>
      </c>
    </row>
    <row r="5" spans="1:2" x14ac:dyDescent="0.3">
      <c r="A5" t="s">
        <v>5</v>
      </c>
      <c r="B5" t="s">
        <v>6</v>
      </c>
    </row>
    <row r="6" spans="1:2" x14ac:dyDescent="0.3">
      <c r="A6" t="s">
        <v>7</v>
      </c>
      <c r="B6" t="s">
        <v>8</v>
      </c>
    </row>
    <row r="7" spans="1:2" x14ac:dyDescent="0.3">
      <c r="A7" t="s">
        <v>10</v>
      </c>
      <c r="B7" t="s">
        <v>11</v>
      </c>
    </row>
    <row r="9" spans="1:2" x14ac:dyDescent="0.3">
      <c r="A9" t="s">
        <v>9</v>
      </c>
    </row>
    <row r="10" spans="1:2" x14ac:dyDescent="0.3">
      <c r="A10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179D1-4FBE-4EDE-B624-33724DC19126}">
  <sheetPr codeName="Foglio2"/>
  <dimension ref="A1:N239"/>
  <sheetViews>
    <sheetView workbookViewId="0">
      <selection activeCell="P28" sqref="P28"/>
    </sheetView>
  </sheetViews>
  <sheetFormatPr defaultRowHeight="14.4" x14ac:dyDescent="0.3"/>
  <cols>
    <col min="7" max="7" width="11" bestFit="1" customWidth="1"/>
    <col min="8" max="9" width="9.21875" bestFit="1" customWidth="1"/>
    <col min="13" max="13" width="12" bestFit="1" customWidth="1"/>
  </cols>
  <sheetData>
    <row r="1" spans="1:14" x14ac:dyDescent="0.3">
      <c r="A1" t="s">
        <v>13</v>
      </c>
      <c r="B1" t="s">
        <v>14</v>
      </c>
      <c r="C1" t="s">
        <v>15</v>
      </c>
      <c r="D1" s="1" t="s">
        <v>16</v>
      </c>
      <c r="E1" s="1" t="s">
        <v>17</v>
      </c>
      <c r="F1" t="s">
        <v>26</v>
      </c>
      <c r="G1" s="2" t="s">
        <v>18</v>
      </c>
      <c r="H1" s="2" t="s">
        <v>19</v>
      </c>
      <c r="I1" s="3" t="s">
        <v>20</v>
      </c>
      <c r="J1" s="3" t="s">
        <v>21</v>
      </c>
      <c r="K1" s="4" t="s">
        <v>22</v>
      </c>
      <c r="L1" s="5" t="s">
        <v>23</v>
      </c>
      <c r="M1" s="6" t="s">
        <v>24</v>
      </c>
      <c r="N1" s="6" t="s">
        <v>25</v>
      </c>
    </row>
    <row r="2" spans="1:14" x14ac:dyDescent="0.3">
      <c r="A2">
        <v>100</v>
      </c>
      <c r="B2">
        <f>1/100</f>
        <v>0.01</v>
      </c>
      <c r="C2">
        <v>0.2</v>
      </c>
      <c r="D2">
        <v>60</v>
      </c>
      <c r="E2">
        <v>0.1</v>
      </c>
      <c r="F2">
        <v>0</v>
      </c>
      <c r="G2" cm="1">
        <f t="array" ref="G2">delta_call(D2,A2,E2,B2,F2,C2)</f>
        <v>4.8964030371399111E-16</v>
      </c>
      <c r="H2" cm="1">
        <f t="array" ref="H2">delta_put(D2,A2,E2,B2,F2,C2)</f>
        <v>-0.99999999999999956</v>
      </c>
      <c r="I2" cm="1">
        <f t="array" ref="I2">theta_call(D2,A2,E2,B2,F2,C2)</f>
        <v>-7.6011344785671907E-14</v>
      </c>
      <c r="J2" cm="1">
        <f t="array" ref="J2">theta_put(D2,A2,E2,B2,F2,C2)</f>
        <v>9.9900049975736385E-4</v>
      </c>
      <c r="K2" cm="1">
        <f t="array" ref="K2">gamma_new(D2,A2,E2,B2,F2,C2)</f>
        <v>1.0516556577990481E-15</v>
      </c>
      <c r="L2" cm="1">
        <f t="array" ref="L2">vega_new(D2,A2,E2,B2,F2,C2)</f>
        <v>7.5719207361531471E-14</v>
      </c>
      <c r="M2" cm="1">
        <f t="array" ref="M2">rho_call(D2,A2,E2,B2,F2,C2)</f>
        <v>2.9155373317769776E-15</v>
      </c>
      <c r="N2" cm="1">
        <f t="array" ref="N2">rho_put(D2,A2,E2,B2,F2,C2)</f>
        <v>-9.9900049983337471</v>
      </c>
    </row>
    <row r="3" spans="1:14" x14ac:dyDescent="0.3">
      <c r="A3">
        <v>100</v>
      </c>
      <c r="B3">
        <f t="shared" ref="B3:B18" si="0">1/100</f>
        <v>0.01</v>
      </c>
      <c r="C3">
        <v>0.2</v>
      </c>
      <c r="D3">
        <v>65</v>
      </c>
      <c r="E3">
        <v>0.1</v>
      </c>
      <c r="F3">
        <v>0</v>
      </c>
      <c r="G3" cm="1">
        <f t="array" ref="G3">delta_call(D3,A3,E3,B3,F3,C3)</f>
        <v>6.7189909908190016E-12</v>
      </c>
      <c r="H3" cm="1">
        <f t="array" ref="H3">delta_put(D3,A3,E3,B3,F3,C3)</f>
        <v>-0.99999999999328104</v>
      </c>
      <c r="I3" cm="1">
        <f t="array" ref="I3">theta_call(D3,A3,E3,B3,F3,C3)</f>
        <v>-9.5808504409308486E-10</v>
      </c>
      <c r="J3" cm="1">
        <f t="array" ref="J3">theta_put(D3,A3,E3,B3,F3,C3)</f>
        <v>9.9899954174833107E-4</v>
      </c>
      <c r="K3" cm="1">
        <f t="array" ref="K3">gamma_new(D3,A3,E3,B3,F3,C3)</f>
        <v>1.1286957540817281E-11</v>
      </c>
      <c r="L3" cm="1">
        <f t="array" ref="L3">vega_new(D3,A3,E3,B3,F3,C3)</f>
        <v>9.5374791219906021E-10</v>
      </c>
      <c r="M3" cm="1">
        <f t="array" ref="M3">rho_call(D3,A3,E3,B3,F3,C3)</f>
        <v>4.3284662987202277E-11</v>
      </c>
      <c r="N3" cm="1">
        <f t="array" ref="N3">rho_put(D3,A3,E3,B3,F3,C3)</f>
        <v>-9.9900049982904662</v>
      </c>
    </row>
    <row r="4" spans="1:14" x14ac:dyDescent="0.3">
      <c r="A4">
        <v>100</v>
      </c>
      <c r="B4">
        <f t="shared" si="0"/>
        <v>0.01</v>
      </c>
      <c r="C4">
        <v>0.2</v>
      </c>
      <c r="D4">
        <v>70</v>
      </c>
      <c r="E4">
        <v>0.1</v>
      </c>
      <c r="F4">
        <v>0</v>
      </c>
      <c r="G4" cm="1">
        <f t="array" ref="G4">delta_call(D4,A4,E4,B4,F4,C4)</f>
        <v>1.1217502453550677E-8</v>
      </c>
      <c r="H4" cm="1">
        <f t="array" ref="H4">delta_put(D4,A4,E4,B4,F4,C4)</f>
        <v>-0.99999998878249752</v>
      </c>
      <c r="I4" cm="1">
        <f t="array" ref="I4">theta_call(D4,A4,E4,B4,F4,C4)</f>
        <v>-1.4382918682304679E-6</v>
      </c>
      <c r="J4" cm="1">
        <f t="array" ref="J4">theta_put(D4,A4,E4,B4,F4,C4)</f>
        <v>9.9756220796514469E-4</v>
      </c>
      <c r="K4" cm="1">
        <f t="array" ref="K4">gamma_new(D4,A4,E4,B4,F4,C4)</f>
        <v>1.4597010892531749E-8</v>
      </c>
      <c r="L4" cm="1">
        <f t="array" ref="L4">vega_new(D4,A4,E4,B4,F4,C4)</f>
        <v>1.4305070674681113E-6</v>
      </c>
      <c r="M4" cm="1">
        <f t="array" ref="M4">rho_call(D4,A4,E4,B4,F4,C4)</f>
        <v>7.7692467200589755E-8</v>
      </c>
      <c r="N4" cm="1">
        <f t="array" ref="N4">rho_put(D4,A4,E4,B4,F4,C4)</f>
        <v>-9.9900049206412831</v>
      </c>
    </row>
    <row r="5" spans="1:14" x14ac:dyDescent="0.3">
      <c r="A5">
        <v>100</v>
      </c>
      <c r="B5">
        <f t="shared" si="0"/>
        <v>0.01</v>
      </c>
      <c r="C5">
        <v>0.2</v>
      </c>
      <c r="D5">
        <v>75</v>
      </c>
      <c r="E5">
        <v>0.1</v>
      </c>
      <c r="F5">
        <v>0</v>
      </c>
      <c r="G5" cm="1">
        <f t="array" ref="G5">delta_call(D5,A5,E5,B5,F5,C5)</f>
        <v>3.3782456328086734E-6</v>
      </c>
      <c r="H5" cm="1">
        <f t="array" ref="H5">delta_put(D5,A5,E5,B5,F5,C5)</f>
        <v>-0.99999662175436721</v>
      </c>
      <c r="I5" cm="1">
        <f t="array" ref="I5">theta_call(D5,A5,E5,B5,F5,C5)</f>
        <v>-3.7952035137337408E-4</v>
      </c>
      <c r="J5" cm="1">
        <f t="array" ref="J5">theta_put(D5,A5,E5,B5,F5,C5)</f>
        <v>6.1948014846000096E-4</v>
      </c>
      <c r="K5" cm="1">
        <f t="array" ref="K5">gamma_new(D5,A5,E5,B5,F5,C5)</f>
        <v>3.3512354645083046E-6</v>
      </c>
      <c r="L5" cm="1">
        <f t="array" ref="L5">vega_new(D5,A5,E5,B5,F5,C5)</f>
        <v>3.770139897571843E-4</v>
      </c>
      <c r="M5" cm="1">
        <f t="array" ref="M5">rho_call(D5,A5,E5,B5,F5,C5)</f>
        <v>2.5013539023405381E-5</v>
      </c>
      <c r="N5" cm="1">
        <f t="array" ref="N5">rho_put(D5,A5,E5,B5,F5,C5)</f>
        <v>-9.9899799847947275</v>
      </c>
    </row>
    <row r="6" spans="1:14" x14ac:dyDescent="0.3">
      <c r="A6">
        <v>100</v>
      </c>
      <c r="B6">
        <f t="shared" si="0"/>
        <v>0.01</v>
      </c>
      <c r="C6">
        <v>0.2</v>
      </c>
      <c r="D6">
        <v>80</v>
      </c>
      <c r="E6">
        <v>0.1</v>
      </c>
      <c r="F6">
        <v>0</v>
      </c>
      <c r="G6" cm="1">
        <f t="array" ref="G6">delta_call(D6,A6,E6,B6,F6,C6)</f>
        <v>2.4998248472572982E-4</v>
      </c>
      <c r="H6" cm="1">
        <f t="array" ref="H6">delta_put(D6,A6,E6,B6,F6,C6)</f>
        <v>-0.99975001751527426</v>
      </c>
      <c r="I6" cm="1">
        <f t="array" ref="I6">theta_call(D6,A6,E6,B6,F6,C6)</f>
        <v>-2.380682309751259E-2</v>
      </c>
      <c r="J6" cm="1">
        <f t="array" ref="J6">theta_put(D6,A6,E6,B6,F6,C6)</f>
        <v>-2.2807822597679214E-2</v>
      </c>
      <c r="K6" cm="1">
        <f t="array" ref="K6">gamma_new(D6,A6,E6,B6,F6,C6)</f>
        <v>1.8444991272199748E-4</v>
      </c>
      <c r="L6" cm="1">
        <f t="array" ref="L6">vega_new(D6,A6,E6,B6,F6,C6)</f>
        <v>2.3609588828415677E-2</v>
      </c>
      <c r="M6" cm="1">
        <f t="array" ref="M6">rho_call(D6,A6,E6,B6,F6,C6)</f>
        <v>1.9684019476440403E-3</v>
      </c>
      <c r="N6" cm="1">
        <f t="array" ref="N6">rho_put(D6,A6,E6,B6,F6,C6)</f>
        <v>-9.988036596386106</v>
      </c>
    </row>
    <row r="7" spans="1:14" x14ac:dyDescent="0.3">
      <c r="A7">
        <v>100</v>
      </c>
      <c r="B7">
        <f t="shared" si="0"/>
        <v>0.01</v>
      </c>
      <c r="C7">
        <v>0.2</v>
      </c>
      <c r="D7">
        <v>85</v>
      </c>
      <c r="E7">
        <v>0.1</v>
      </c>
      <c r="F7">
        <v>0</v>
      </c>
      <c r="G7" cm="1">
        <f t="array" ref="G7">delta_call(D7,A7,E7,B7,F7,C7)</f>
        <v>5.830908137902522E-3</v>
      </c>
      <c r="H7" cm="1">
        <f t="array" ref="H7">delta_put(D7,A7,E7,B7,F7,C7)</f>
        <v>-0.99416909186209745</v>
      </c>
      <c r="I7" cm="1">
        <f t="array" ref="I7">theta_call(D7,A7,E7,B7,F7,C7)</f>
        <v>-0.45045289342107142</v>
      </c>
      <c r="J7" cm="1">
        <f t="array" ref="J7">theta_put(D7,A7,E7,B7,F7,C7)</f>
        <v>-0.44945389292123805</v>
      </c>
      <c r="K7" cm="1">
        <f t="array" ref="K7">gamma_new(D7,A7,E7,B7,F7,C7)</f>
        <v>3.0836372935947147E-3</v>
      </c>
      <c r="L7" cm="1">
        <f t="array" ref="L7">vega_new(D7,A7,E7,B7,F7,C7)</f>
        <v>0.44558558892443634</v>
      </c>
      <c r="M7" cm="1">
        <f t="array" ref="M7">rho_call(D7,A7,E7,B7,F7,C7)</f>
        <v>4.8575796157643812E-2</v>
      </c>
      <c r="N7" cm="1">
        <f t="array" ref="N7">rho_put(D7,A7,E7,B7,F7,C7)</f>
        <v>-9.9414292021761064</v>
      </c>
    </row>
    <row r="8" spans="1:14" x14ac:dyDescent="0.3">
      <c r="A8">
        <v>100</v>
      </c>
      <c r="B8">
        <f t="shared" si="0"/>
        <v>0.01</v>
      </c>
      <c r="C8">
        <v>0.2</v>
      </c>
      <c r="D8">
        <v>90</v>
      </c>
      <c r="E8">
        <v>0.1</v>
      </c>
      <c r="F8">
        <v>0</v>
      </c>
      <c r="G8" cm="1">
        <f t="array" ref="G8">delta_call(D8,A8,E8,B8,F8,C8)</f>
        <v>5.2781549996934837E-2</v>
      </c>
      <c r="H8" cm="1">
        <f t="array" ref="H8">delta_put(D8,A8,E8,B8,F8,C8)</f>
        <v>-0.94721845000306515</v>
      </c>
      <c r="I8" cm="1">
        <f t="array" ref="I8">theta_call(D8,A8,E8,B8,F8,C8)</f>
        <v>-3.1108124618828876</v>
      </c>
      <c r="J8" cm="1">
        <f t="array" ref="J8">theta_put(D8,A8,E8,B8,F8,C8)</f>
        <v>-3.1098134613830544</v>
      </c>
      <c r="K8" cm="1">
        <f t="array" ref="K8">gamma_new(D8,A8,E8,B8,F8,C8)</f>
        <v>1.8916378586336526E-2</v>
      </c>
      <c r="L8" cm="1">
        <f t="array" ref="L8">vega_new(D8,A8,E8,B8,F8,C8)</f>
        <v>3.0644533309865176</v>
      </c>
      <c r="M8" cm="1">
        <f t="array" ref="M8">rho_call(D8,A8,E8,B8,F8,C8)</f>
        <v>0.46266505291057552</v>
      </c>
      <c r="N8" cm="1">
        <f t="array" ref="N8">rho_put(D8,A8,E8,B8,F8,C8)</f>
        <v>-9.5273399454231757</v>
      </c>
    </row>
    <row r="9" spans="1:14" x14ac:dyDescent="0.3">
      <c r="A9">
        <v>100</v>
      </c>
      <c r="B9">
        <f t="shared" si="0"/>
        <v>0.01</v>
      </c>
      <c r="C9">
        <v>0.2</v>
      </c>
      <c r="D9">
        <v>95</v>
      </c>
      <c r="E9">
        <v>0.1</v>
      </c>
      <c r="F9">
        <v>0</v>
      </c>
      <c r="G9" cm="1">
        <f t="array" ref="G9">delta_call(D9,A9,E9,B9,F9,C9)</f>
        <v>0.22255758462414449</v>
      </c>
      <c r="H9" cm="1">
        <f t="array" ref="H9">delta_put(D9,A9,E9,B9,F9,C9)</f>
        <v>-0.77744241537585546</v>
      </c>
      <c r="I9" cm="1">
        <f t="array" ref="I9">theta_call(D9,A9,E9,B9,F9,C9)</f>
        <v>-9.1585069028288952</v>
      </c>
      <c r="J9" cm="1">
        <f t="array" ref="J9">theta_put(D9,A9,E9,B9,F9,C9)</f>
        <v>-9.157507902329062</v>
      </c>
      <c r="K9" cm="1">
        <f t="array" ref="K9">gamma_new(D9,A9,E9,B9,F9,C9)</f>
        <v>4.9607400575778247E-2</v>
      </c>
      <c r="L9" cm="1">
        <f t="array" ref="L9">vega_new(D9,A9,E9,B9,F9,C9)</f>
        <v>8.9541358039279739</v>
      </c>
      <c r="M9" cm="1">
        <f t="array" ref="M9">rho_call(D9,A9,E9,B9,F9,C9)</f>
        <v>2.0396276517295933</v>
      </c>
      <c r="N9" cm="1">
        <f t="array" ref="N9">rho_put(D9,A9,E9,B9,F9,C9)</f>
        <v>-7.9503773466041574</v>
      </c>
    </row>
    <row r="10" spans="1:14" x14ac:dyDescent="0.3">
      <c r="A10">
        <v>100</v>
      </c>
      <c r="B10">
        <f t="shared" si="0"/>
        <v>0.01</v>
      </c>
      <c r="C10">
        <v>0.2</v>
      </c>
      <c r="D10">
        <v>100</v>
      </c>
      <c r="E10">
        <v>0.1</v>
      </c>
      <c r="F10">
        <v>0</v>
      </c>
      <c r="G10" cm="1">
        <f t="array" ref="G10">delta_call(D10,A10,E10,B10,F10,C10)</f>
        <v>0.51891639999929629</v>
      </c>
      <c r="H10" cm="1">
        <f t="array" ref="H10">delta_put(D10,A10,E10,B10,F10,C10)</f>
        <v>-0.48108360000070371</v>
      </c>
      <c r="I10" cm="1">
        <f t="array" ref="I10">theta_call(D10,A10,E10,B10,F10,C10)</f>
        <v>-13.095664340891949</v>
      </c>
      <c r="J10" cm="1">
        <f t="array" ref="J10">theta_put(D10,A10,E10,B10,F10,C10)</f>
        <v>-13.094665340392115</v>
      </c>
      <c r="K10" cm="1">
        <f t="array" ref="K10">gamma_new(D10,A10,E10,B10,F10,C10)</f>
        <v>6.3007389850102596E-2</v>
      </c>
      <c r="L10" cm="1">
        <f t="array" ref="L10">vega_new(D10,A10,E10,B10,F10,C10)</f>
        <v>12.60147797002052</v>
      </c>
      <c r="M10" cm="1">
        <f t="array" ref="M10">rho_call(D10,A10,E10,B10,F10,C10)</f>
        <v>4.9319898584384116</v>
      </c>
      <c r="N10" cm="1">
        <f t="array" ref="N10">rho_put(D10,A10,E10,B10,F10,C10)</f>
        <v>-5.058015139895339</v>
      </c>
    </row>
    <row r="11" spans="1:14" x14ac:dyDescent="0.3">
      <c r="A11">
        <v>100</v>
      </c>
      <c r="B11">
        <f t="shared" si="0"/>
        <v>0.01</v>
      </c>
      <c r="C11">
        <v>0.2</v>
      </c>
      <c r="D11">
        <v>105</v>
      </c>
      <c r="E11">
        <v>0.1</v>
      </c>
      <c r="F11">
        <v>0</v>
      </c>
      <c r="G11" cm="1">
        <f t="array" ref="G11">delta_call(D11,A11,E11,B11,F11,C11)</f>
        <v>0.79357096026156482</v>
      </c>
      <c r="H11" cm="1">
        <f t="array" ref="H11">delta_put(D11,A11,E11,B11,F11,C11)</f>
        <v>-0.20642903973843518</v>
      </c>
      <c r="I11" cm="1">
        <f t="array" ref="I11">theta_call(D11,A11,E11,B11,F11,C11)</f>
        <v>-10.248896273360074</v>
      </c>
      <c r="J11" cm="1">
        <f t="array" ref="J11">theta_put(D11,A11,E11,B11,F11,C11)</f>
        <v>-10.247897272860241</v>
      </c>
      <c r="K11" cm="1">
        <f t="array" ref="K11">gamma_new(D11,A11,E11,B11,F11,C11)</f>
        <v>4.2961708392642114E-2</v>
      </c>
      <c r="L11" cm="1">
        <f t="array" ref="L11">vega_new(D11,A11,E11,B11,F11,C11)</f>
        <v>9.4730567005775868</v>
      </c>
      <c r="M11" cm="1">
        <f t="array" ref="M11">rho_call(D11,A11,E11,B11,F11,C11)</f>
        <v>7.7428944428213189</v>
      </c>
      <c r="N11" cm="1">
        <f t="array" ref="N11">rho_put(D11,A11,E11,B11,F11,C11)</f>
        <v>-2.2471105555124318</v>
      </c>
    </row>
    <row r="12" spans="1:14" x14ac:dyDescent="0.3">
      <c r="A12">
        <v>100</v>
      </c>
      <c r="B12">
        <f t="shared" si="0"/>
        <v>0.01</v>
      </c>
      <c r="C12">
        <v>0.2</v>
      </c>
      <c r="D12">
        <v>110</v>
      </c>
      <c r="E12">
        <v>0.1</v>
      </c>
      <c r="F12">
        <v>0</v>
      </c>
      <c r="G12" cm="1">
        <f t="array" ref="G12">delta_call(D12,A12,E12,B12,F12,C12)</f>
        <v>0.93995791805464912</v>
      </c>
      <c r="H12" cm="1">
        <f t="array" ref="H12">delta_put(D12,A12,E12,B12,F12,C12)</f>
        <v>-6.0042081945350878E-2</v>
      </c>
      <c r="I12" cm="1">
        <f t="array" ref="I12">theta_call(D12,A12,E12,B12,F12,C12)</f>
        <v>-5.07894917656352</v>
      </c>
      <c r="J12" cm="1">
        <f t="array" ref="J12">theta_put(D12,A12,E12,B12,F12,C12)</f>
        <v>-5.0779501760636867</v>
      </c>
      <c r="K12" cm="1">
        <f t="array" ref="K12">gamma_new(D12,A12,E12,B12,F12,C12)</f>
        <v>1.7132125878144416E-2</v>
      </c>
      <c r="L12" cm="1">
        <f t="array" ref="L12">vega_new(D12,A12,E12,B12,F12,C12)</f>
        <v>4.1459744625109494</v>
      </c>
      <c r="M12" cm="1">
        <f t="array" ref="M12">rho_call(D12,A12,E12,B12,F12,C12)</f>
        <v>9.3111062933054907</v>
      </c>
      <c r="N12" cm="1">
        <f t="array" ref="N12">rho_put(D12,A12,E12,B12,F12,C12)</f>
        <v>-0.67889870502826</v>
      </c>
    </row>
    <row r="13" spans="1:14" x14ac:dyDescent="0.3">
      <c r="A13">
        <v>100</v>
      </c>
      <c r="B13">
        <f t="shared" si="0"/>
        <v>0.01</v>
      </c>
      <c r="C13">
        <v>0.2</v>
      </c>
      <c r="D13">
        <v>115</v>
      </c>
      <c r="E13">
        <v>0.1</v>
      </c>
      <c r="F13">
        <v>0</v>
      </c>
      <c r="G13" cm="1">
        <f t="array" ref="G13">delta_call(D13,A13,E13,B13,F13,C13)</f>
        <v>0.98800422406854482</v>
      </c>
      <c r="H13" cm="1">
        <f t="array" ref="H13">delta_put(D13,A13,E13,B13,F13,C13)</f>
        <v>-1.1995775931455177E-2</v>
      </c>
      <c r="I13" cm="1">
        <f t="array" ref="I13">theta_call(D13,A13,E13,B13,F13,C13)</f>
        <v>-2.122376667743791</v>
      </c>
      <c r="J13" cm="1">
        <f t="array" ref="J13">theta_put(D13,A13,E13,B13,F13,C13)</f>
        <v>-2.1213776672439577</v>
      </c>
      <c r="K13" cm="1">
        <f t="array" ref="K13">gamma_new(D13,A13,E13,B13,F13,C13)</f>
        <v>4.293033327812704E-3</v>
      </c>
      <c r="L13" cm="1">
        <f t="array" ref="L13">vega_new(D13,A13,E13,B13,F13,C13)</f>
        <v>1.1355073152064601</v>
      </c>
      <c r="M13" cm="1">
        <f t="array" ref="M13">rho_call(D13,A13,E13,B13,F13,C13)</f>
        <v>9.8489758625579285</v>
      </c>
      <c r="N13" cm="1">
        <f t="array" ref="N13">rho_put(D13,A13,E13,B13,F13,C13)</f>
        <v>-0.14102913577582221</v>
      </c>
    </row>
    <row r="14" spans="1:14" x14ac:dyDescent="0.3">
      <c r="A14">
        <v>100</v>
      </c>
      <c r="B14">
        <f t="shared" si="0"/>
        <v>0.01</v>
      </c>
      <c r="C14">
        <v>0.2</v>
      </c>
      <c r="D14">
        <v>120</v>
      </c>
      <c r="E14">
        <v>0.1</v>
      </c>
      <c r="F14">
        <v>0</v>
      </c>
      <c r="G14" cm="1">
        <f t="array" ref="G14">delta_call(D14,A14,E14,B14,F14,C14)</f>
        <v>0.99830623193923973</v>
      </c>
      <c r="H14" cm="1">
        <f t="array" ref="H14">delta_put(D14,A14,E14,B14,F14,C14)</f>
        <v>-1.6937680607602701E-3</v>
      </c>
      <c r="I14" cm="1">
        <f t="array" ref="I14">theta_call(D14,A14,E14,B14,F14,C14)</f>
        <v>-1.2057786628148568</v>
      </c>
      <c r="J14" cm="1">
        <f t="array" ref="J14">theta_put(D14,A14,E14,B14,F14,C14)</f>
        <v>-1.2047796623150233</v>
      </c>
      <c r="K14" cm="1">
        <f t="array" ref="K14">gamma_new(D14,A14,E14,B14,F14,C14)</f>
        <v>7.1823787351586266E-4</v>
      </c>
      <c r="L14" cm="1">
        <f t="array" ref="L14">vega_new(D14,A14,E14,B14,F14,C14)</f>
        <v>0.20685250757256843</v>
      </c>
      <c r="M14" cm="1">
        <f t="array" ref="M14">rho_call(D14,A14,E14,B14,F14,C14)</f>
        <v>9.9693029945287854</v>
      </c>
      <c r="N14" cm="1">
        <f t="array" ref="N14">rho_put(D14,A14,E14,B14,F14,C14)</f>
        <v>-2.070200380496523E-2</v>
      </c>
    </row>
    <row r="15" spans="1:14" x14ac:dyDescent="0.3">
      <c r="A15">
        <v>100</v>
      </c>
      <c r="B15">
        <f t="shared" si="0"/>
        <v>0.01</v>
      </c>
      <c r="C15">
        <v>0.2</v>
      </c>
      <c r="D15">
        <v>125</v>
      </c>
      <c r="E15">
        <v>0.1</v>
      </c>
      <c r="F15">
        <v>0</v>
      </c>
      <c r="G15" cm="1">
        <f t="array" ref="G15">delta_call(D15,A15,E15,B15,F15,C15)</f>
        <v>0.99982531626414572</v>
      </c>
      <c r="H15" cm="1">
        <f t="array" ref="H15">delta_put(D15,A15,E15,B15,F15,C15)</f>
        <v>-1.7468373585427521E-4</v>
      </c>
      <c r="I15" cm="1">
        <f t="array" ref="I15">theta_call(D15,A15,E15,B15,F15,C15)</f>
        <v>-1.0271745595277382</v>
      </c>
      <c r="J15" cm="1">
        <f t="array" ref="J15">theta_put(D15,A15,E15,B15,F15,C15)</f>
        <v>-1.0261755590279047</v>
      </c>
      <c r="K15" cm="1">
        <f t="array" ref="K15">gamma_new(D15,A15,E15,B15,F15,C15)</f>
        <v>8.4468232865850983E-5</v>
      </c>
      <c r="L15" cm="1">
        <f t="array" ref="L15">vega_new(D15,A15,E15,B15,F15,C15)</f>
        <v>2.6396322770578434E-2</v>
      </c>
      <c r="M15" cm="1">
        <f t="array" ref="M15">rho_call(D15,A15,E15,B15,F15,C15)</f>
        <v>9.9877868050641503</v>
      </c>
      <c r="N15" cm="1">
        <f t="array" ref="N15">rho_put(D15,A15,E15,B15,F15,C15)</f>
        <v>-2.218193269600377E-3</v>
      </c>
    </row>
    <row r="16" spans="1:14" x14ac:dyDescent="0.3">
      <c r="A16">
        <v>100</v>
      </c>
      <c r="B16">
        <f t="shared" si="0"/>
        <v>0.01</v>
      </c>
      <c r="C16">
        <v>0.2</v>
      </c>
      <c r="D16">
        <v>130</v>
      </c>
      <c r="E16">
        <v>0.1</v>
      </c>
      <c r="F16">
        <v>0</v>
      </c>
      <c r="G16" cm="1">
        <f t="array" ref="G16">delta_call(D16,A16,E16,B16,F16,C16)</f>
        <v>0.99998640314018139</v>
      </c>
      <c r="H16" cm="1">
        <f t="array" ref="H16">delta_put(D16,A16,E16,B16,F16,C16)</f>
        <v>-1.3596859818609808E-5</v>
      </c>
      <c r="I16" cm="1">
        <f t="array" ref="I16">theta_call(D16,A16,E16,B16,F16,C16)</f>
        <v>-1.0034490042939652</v>
      </c>
      <c r="J16" cm="1">
        <f t="array" ref="J16">theta_put(D16,A16,E16,B16,F16,C16)</f>
        <v>-1.0024500037941317</v>
      </c>
      <c r="K16" cm="1">
        <f t="array" ref="K16">gamma_new(D16,A16,E16,B16,F16,C16)</f>
        <v>7.2972234478141031E-6</v>
      </c>
      <c r="L16" cm="1">
        <f t="array" ref="L16">vega_new(D16,A16,E16,B16,F16,C16)</f>
        <v>2.4664615253611665E-3</v>
      </c>
      <c r="M16" cm="1">
        <f t="array" ref="M16">rho_call(D16,A16,E16,B16,F16,C16)</f>
        <v>9.989825783141761</v>
      </c>
      <c r="N16" cm="1">
        <f t="array" ref="N16">rho_put(D16,A16,E16,B16,F16,C16)</f>
        <v>-1.7921519198971225E-4</v>
      </c>
    </row>
    <row r="17" spans="1:14" x14ac:dyDescent="0.3">
      <c r="A17">
        <v>100</v>
      </c>
      <c r="B17">
        <f t="shared" si="0"/>
        <v>0.01</v>
      </c>
      <c r="C17">
        <v>0.2</v>
      </c>
      <c r="D17">
        <v>135</v>
      </c>
      <c r="E17">
        <v>0.1</v>
      </c>
      <c r="F17">
        <v>0</v>
      </c>
      <c r="G17" cm="1">
        <f t="array" ref="G17">delta_call(D17,A17,E17,B17,F17,C17)</f>
        <v>0.99999917643923686</v>
      </c>
      <c r="H17" cm="1">
        <f t="array" ref="H17">delta_put(D17,A17,E17,B17,F17,C17)</f>
        <v>-8.2356076314127336E-7</v>
      </c>
      <c r="I17" cm="1">
        <f t="array" ref="I17">theta_call(D17,A17,E17,B17,F17,C17)</f>
        <v>-1.0011746734250258</v>
      </c>
      <c r="J17" cm="1">
        <f t="array" ref="J17">theta_put(D17,A17,E17,B17,F17,C17)</f>
        <v>-1.0001756729251923</v>
      </c>
      <c r="K17" cm="1">
        <f t="array" ref="K17">gamma_new(D17,A17,E17,B17,F17,C17)</f>
        <v>4.8093577566927407E-7</v>
      </c>
      <c r="L17" cm="1">
        <f t="array" ref="L17">vega_new(D17,A17,E17,B17,F17,C17)</f>
        <v>1.7530109023145043E-4</v>
      </c>
      <c r="M17" cm="1">
        <f t="array" ref="M17">rho_call(D17,A17,E17,B17,F17,C17)</f>
        <v>9.9899937425487071</v>
      </c>
      <c r="N17" cm="1">
        <f t="array" ref="N17">rho_put(D17,A17,E17,B17,F17,C17)</f>
        <v>-1.1255785043573496E-5</v>
      </c>
    </row>
    <row r="18" spans="1:14" x14ac:dyDescent="0.3">
      <c r="A18">
        <v>100</v>
      </c>
      <c r="B18">
        <f t="shared" si="0"/>
        <v>0.01</v>
      </c>
      <c r="C18">
        <v>0.2</v>
      </c>
      <c r="D18">
        <v>140</v>
      </c>
      <c r="E18">
        <v>0.1</v>
      </c>
      <c r="F18">
        <v>0</v>
      </c>
      <c r="G18" cm="1">
        <f t="array" ref="G18">delta_call(D18,A18,E18,B18,F18,C18)</f>
        <v>0.99999996008829672</v>
      </c>
      <c r="H18" cm="1">
        <f t="array" ref="H18">delta_put(D18,A18,E18,B18,F18,C18)</f>
        <v>-3.9911703275663513E-8</v>
      </c>
      <c r="I18" cm="1">
        <f t="array" ref="I18">theta_call(D18,A18,E18,B18,F18,C18)</f>
        <v>-1.0010102373263094</v>
      </c>
      <c r="J18" cm="1">
        <f t="array" ref="J18">theta_put(D18,A18,E18,B18,F18,C18)</f>
        <v>-1.000011236826476</v>
      </c>
      <c r="K18" cm="1">
        <f t="array" ref="K18">gamma_new(D18,A18,E18,B18,F18,C18)</f>
        <v>2.4984119686305787E-8</v>
      </c>
      <c r="L18" cm="1">
        <f t="array" ref="L18">vega_new(D18,A18,E18,B18,F18,C18)</f>
        <v>9.7937749170318685E-6</v>
      </c>
      <c r="M18" cm="1">
        <f t="array" ref="M18">rho_call(D18,A18,E18,B18,F18,C18)</f>
        <v>9.9900044333117659</v>
      </c>
      <c r="N18" cm="1">
        <f t="array" ref="N18">rho_put(D18,A18,E18,B18,F18,C18)</f>
        <v>-5.6502198475527621E-7</v>
      </c>
    </row>
    <row r="19" spans="1:14" x14ac:dyDescent="0.3">
      <c r="A19">
        <v>100</v>
      </c>
      <c r="B19">
        <f>1/100</f>
        <v>0.01</v>
      </c>
      <c r="C19">
        <v>0.2</v>
      </c>
      <c r="D19">
        <v>60</v>
      </c>
      <c r="E19">
        <v>0.2</v>
      </c>
      <c r="F19">
        <v>0</v>
      </c>
      <c r="G19" cm="1">
        <f t="array" ref="G19">delta_call(D19,A19,E19,B19,F19,C19)</f>
        <v>8.3013130785334355E-9</v>
      </c>
      <c r="H19" cm="1">
        <f t="array" ref="H19">delta_put(D19,A19,E19,B19,F19,C19)</f>
        <v>-0.99999999169868692</v>
      </c>
      <c r="I19" cm="1">
        <f t="array" ref="I19">theta_call(D19,A19,E19,B19,F19,C19)</f>
        <v>-6.5218741008161125E-7</v>
      </c>
      <c r="J19" cm="1">
        <f t="array" ref="J19">theta_put(D19,A19,E19,B19,F19,C19)</f>
        <v>1.9953518099245847E-3</v>
      </c>
      <c r="K19" cm="1">
        <f t="array" ref="K19">gamma_new(D19,A19,E19,B19,F19,C19)</f>
        <v>8.9897290546272933E-9</v>
      </c>
      <c r="L19" cm="1">
        <f t="array" ref="L19">vega_new(D19,A19,E19,B19,F19,C19)</f>
        <v>1.2945209838663301E-6</v>
      </c>
      <c r="M19" cm="1">
        <f t="array" ref="M19">rho_call(D19,A19,E19,B19,F19,C19)</f>
        <v>9.8144996773923596E-8</v>
      </c>
      <c r="N19" cm="1">
        <f t="array" ref="N19">rho_put(D19,A19,E19,B19,F19,C19)</f>
        <v>-19.960039875201662</v>
      </c>
    </row>
    <row r="20" spans="1:14" x14ac:dyDescent="0.3">
      <c r="A20">
        <v>100</v>
      </c>
      <c r="B20">
        <f t="shared" ref="B20:B35" si="1">1/100</f>
        <v>0.01</v>
      </c>
      <c r="C20">
        <v>0.2</v>
      </c>
      <c r="D20">
        <v>65</v>
      </c>
      <c r="E20">
        <v>0.2</v>
      </c>
      <c r="F20">
        <v>0</v>
      </c>
      <c r="G20" cm="1">
        <f t="array" ref="G20">delta_call(D20,A20,E20,B20,F20,C20)</f>
        <v>1.0210267589266487E-6</v>
      </c>
      <c r="H20" cm="1">
        <f t="array" ref="H20">delta_put(D20,A20,E20,B20,F20,C20)</f>
        <v>-0.99999897897324108</v>
      </c>
      <c r="I20" cm="1">
        <f t="array" ref="I20">theta_call(D20,A20,E20,B20,F20,C20)</f>
        <v>-7.402820900407707E-5</v>
      </c>
      <c r="J20" cm="1">
        <f t="array" ref="J20">theta_put(D20,A20,E20,B20,F20,C20)</f>
        <v>1.9219757883305892E-3</v>
      </c>
      <c r="K20" cm="1">
        <f t="array" ref="K20">gamma_new(D20,A20,E20,B20,F20,C20)</f>
        <v>8.6832323834608043E-7</v>
      </c>
      <c r="L20" cm="1">
        <f t="array" ref="L20">vega_new(D20,A20,E20,B20,F20,C20)</f>
        <v>1.4674662728048757E-4</v>
      </c>
      <c r="M20" cm="1">
        <f t="array" ref="M20">rho_call(D20,A20,E20,B20,F20,C20)</f>
        <v>1.3045620291245922E-5</v>
      </c>
      <c r="N20" cm="1">
        <f t="array" ref="N20">rho_put(D20,A20,E20,B20,F20,C20)</f>
        <v>-19.960026927726368</v>
      </c>
    </row>
    <row r="21" spans="1:14" x14ac:dyDescent="0.3">
      <c r="A21">
        <v>100</v>
      </c>
      <c r="B21">
        <f t="shared" si="1"/>
        <v>0.01</v>
      </c>
      <c r="C21">
        <v>0.2</v>
      </c>
      <c r="D21">
        <v>70</v>
      </c>
      <c r="E21">
        <v>0.2</v>
      </c>
      <c r="F21">
        <v>0</v>
      </c>
      <c r="G21" cm="1">
        <f t="array" ref="G21">delta_call(D21,A21,E21,B21,F21,C21)</f>
        <v>4.4152463014191854E-5</v>
      </c>
      <c r="H21" cm="1">
        <f t="array" ref="H21">delta_put(D21,A21,E21,B21,F21,C21)</f>
        <v>-0.99995584753698585</v>
      </c>
      <c r="I21" cm="1">
        <f t="array" ref="I21">theta_call(D21,A21,E21,B21,F21,C21)</f>
        <v>-2.8984741257135319E-3</v>
      </c>
      <c r="J21" cm="1">
        <f t="array" ref="J21">theta_put(D21,A21,E21,B21,F21,C21)</f>
        <v>-9.0247012837886553E-4</v>
      </c>
      <c r="K21" cm="1">
        <f t="array" ref="K21">gamma_new(D21,A21,E21,B21,F21,C21)</f>
        <v>2.9265998523210969E-5</v>
      </c>
      <c r="L21" cm="1">
        <f t="array" ref="L21">vega_new(D21,A21,E21,B21,F21,C21)</f>
        <v>5.7361357105493501E-3</v>
      </c>
      <c r="M21" cm="1">
        <f t="array" ref="M21">rho_call(D21,A21,E21,B21,F21,C21)</f>
        <v>6.0569776566511083E-4</v>
      </c>
      <c r="N21" cm="1">
        <f t="array" ref="N21">rho_put(D21,A21,E21,B21,F21,C21)</f>
        <v>-19.959434275580996</v>
      </c>
    </row>
    <row r="22" spans="1:14" x14ac:dyDescent="0.3">
      <c r="A22">
        <v>100</v>
      </c>
      <c r="B22">
        <f t="shared" si="1"/>
        <v>0.01</v>
      </c>
      <c r="C22">
        <v>0.2</v>
      </c>
      <c r="D22">
        <v>75</v>
      </c>
      <c r="E22">
        <v>0.2</v>
      </c>
      <c r="F22">
        <v>0</v>
      </c>
      <c r="G22" cm="1">
        <f t="array" ref="G22">delta_call(D22,A22,E22,B22,F22,C22)</f>
        <v>8.1830678243053191E-4</v>
      </c>
      <c r="H22" cm="1">
        <f t="array" ref="H22">delta_put(D22,A22,E22,B22,F22,C22)</f>
        <v>-0.99918169321756944</v>
      </c>
      <c r="I22" cm="1">
        <f t="array" ref="I22">theta_call(D22,A22,E22,B22,F22,C22)</f>
        <v>-4.7565863848141231E-2</v>
      </c>
      <c r="J22" cm="1">
        <f t="array" ref="J22">theta_put(D22,A22,E22,B22,F22,C22)</f>
        <v>-4.5569859850806561E-2</v>
      </c>
      <c r="K22" cm="1">
        <f t="array" ref="K22">gamma_new(D22,A22,E22,B22,F22,C22)</f>
        <v>4.1746111765088794E-4</v>
      </c>
      <c r="L22" cm="1">
        <f t="array" ref="L22">vega_new(D22,A22,E22,B22,F22,C22)</f>
        <v>9.3928751471449773E-2</v>
      </c>
      <c r="M22" cm="1">
        <f t="array" ref="M22">rho_call(D22,A22,E22,B22,F22,C22)</f>
        <v>1.1981739309242229E-2</v>
      </c>
      <c r="N22" cm="1">
        <f t="array" ref="N22">rho_put(D22,A22,E22,B22,F22,C22)</f>
        <v>-19.948058234037418</v>
      </c>
    </row>
    <row r="23" spans="1:14" x14ac:dyDescent="0.3">
      <c r="A23">
        <v>100</v>
      </c>
      <c r="B23">
        <f t="shared" si="1"/>
        <v>0.01</v>
      </c>
      <c r="C23">
        <v>0.2</v>
      </c>
      <c r="D23">
        <v>80</v>
      </c>
      <c r="E23">
        <v>0.2</v>
      </c>
      <c r="F23">
        <v>0</v>
      </c>
      <c r="G23" cm="1">
        <f t="array" ref="G23">delta_call(D23,A23,E23,B23,F23,C23)</f>
        <v>7.5966424381891306E-3</v>
      </c>
      <c r="H23" cm="1">
        <f t="array" ref="H23">delta_put(D23,A23,E23,B23,F23,C23)</f>
        <v>-0.99240335756181086</v>
      </c>
      <c r="I23" cm="1">
        <f t="array" ref="I23">theta_call(D23,A23,E23,B23,F23,C23)</f>
        <v>-0.38058699056959633</v>
      </c>
      <c r="J23" cm="1">
        <f t="array" ref="J23">theta_put(D23,A23,E23,B23,F23,C23)</f>
        <v>-0.37859098657226165</v>
      </c>
      <c r="K23" cm="1">
        <f t="array" ref="K23">gamma_new(D23,A23,E23,B23,F23,C23)</f>
        <v>2.9270332354272232E-3</v>
      </c>
      <c r="L23" cm="1">
        <f t="array" ref="L23">vega_new(D23,A23,E23,B23,F23,C23)</f>
        <v>0.74932050826936913</v>
      </c>
      <c r="M23" cm="1">
        <f t="array" ref="M23">rho_call(D23,A23,E23,B23,F23,C23)</f>
        <v>0.11806153679816468</v>
      </c>
      <c r="N23" cm="1">
        <f t="array" ref="N23">rho_put(D23,A23,E23,B23,F23,C23)</f>
        <v>-19.841978436548494</v>
      </c>
    </row>
    <row r="24" spans="1:14" x14ac:dyDescent="0.3">
      <c r="A24">
        <v>100</v>
      </c>
      <c r="B24">
        <f t="shared" si="1"/>
        <v>0.01</v>
      </c>
      <c r="C24">
        <v>0.2</v>
      </c>
      <c r="D24">
        <v>85</v>
      </c>
      <c r="E24">
        <v>0.2</v>
      </c>
      <c r="F24">
        <v>0</v>
      </c>
      <c r="G24" cm="1">
        <f t="array" ref="G24">delta_call(D24,A24,E24,B24,F24,C24)</f>
        <v>4.006477982445996E-2</v>
      </c>
      <c r="H24" cm="1">
        <f t="array" ref="H24">delta_put(D24,A24,E24,B24,F24,C24)</f>
        <v>-0.95993522017554</v>
      </c>
      <c r="I24" cm="1">
        <f t="array" ref="I24">theta_call(D24,A24,E24,B24,F24,C24)</f>
        <v>-1.6730193605929882</v>
      </c>
      <c r="J24" cm="1">
        <f t="array" ref="J24">theta_put(D24,A24,E24,B24,F24,C24)</f>
        <v>-1.6710233565956536</v>
      </c>
      <c r="K24" cm="1">
        <f t="array" ref="K24">gamma_new(D24,A24,E24,B24,F24,C24)</f>
        <v>1.134964427745312E-2</v>
      </c>
      <c r="L24" cm="1">
        <f t="array" ref="L24">vega_new(D24,A24,E24,B24,F24,C24)</f>
        <v>3.2800471961839519</v>
      </c>
      <c r="M24" cm="1">
        <f t="array" ref="M24">rho_call(D24,A24,E24,B24,F24,C24)</f>
        <v>0.65728086131009644</v>
      </c>
      <c r="N24" cm="1">
        <f t="array" ref="N24">rho_put(D24,A24,E24,B24,F24,C24)</f>
        <v>-19.302759112036565</v>
      </c>
    </row>
    <row r="25" spans="1:14" x14ac:dyDescent="0.3">
      <c r="A25">
        <v>100</v>
      </c>
      <c r="B25">
        <f t="shared" si="1"/>
        <v>0.01</v>
      </c>
      <c r="C25">
        <v>0.2</v>
      </c>
      <c r="D25">
        <v>90</v>
      </c>
      <c r="E25">
        <v>0.2</v>
      </c>
      <c r="F25">
        <v>0</v>
      </c>
      <c r="G25" cm="1">
        <f t="array" ref="G25">delta_call(D25,A25,E25,B25,F25,C25)</f>
        <v>0.13330906924780192</v>
      </c>
      <c r="H25" cm="1">
        <f t="array" ref="H25">delta_put(D25,A25,E25,B25,F25,C25)</f>
        <v>-0.86669093075219805</v>
      </c>
      <c r="I25" cm="1">
        <f t="array" ref="I25">theta_call(D25,A25,E25,B25,F25,C25)</f>
        <v>-4.4469923866861691</v>
      </c>
      <c r="J25" cm="1">
        <f t="array" ref="J25">theta_put(D25,A25,E25,B25,F25,C25)</f>
        <v>-4.4449963826888341</v>
      </c>
      <c r="K25" cm="1">
        <f t="array" ref="K25">gamma_new(D25,A25,E25,B25,F25,C25)</f>
        <v>2.6739234389615497E-2</v>
      </c>
      <c r="L25" cm="1">
        <f t="array" ref="L25">vega_new(D25,A25,E25,B25,F25,C25)</f>
        <v>8.6635119422354219</v>
      </c>
      <c r="M25" cm="1">
        <f t="array" ref="M25">rho_call(D25,A25,E25,B25,F25,C25)</f>
        <v>2.2955278113909654</v>
      </c>
      <c r="N25" cm="1">
        <f t="array" ref="N25">rho_put(D25,A25,E25,B25,F25,C25)</f>
        <v>-17.664512161955695</v>
      </c>
    </row>
    <row r="26" spans="1:14" x14ac:dyDescent="0.3">
      <c r="A26">
        <v>100</v>
      </c>
      <c r="B26">
        <f t="shared" si="1"/>
        <v>0.01</v>
      </c>
      <c r="C26">
        <v>0.2</v>
      </c>
      <c r="D26">
        <v>95</v>
      </c>
      <c r="E26">
        <v>0.2</v>
      </c>
      <c r="F26">
        <v>0</v>
      </c>
      <c r="G26" cm="1">
        <f t="array" ref="G26">delta_call(D26,A26,E26,B26,F26,C26)</f>
        <v>0.3062898934344146</v>
      </c>
      <c r="H26" cm="1">
        <f t="array" ref="H26">delta_put(D26,A26,E26,B26,F26,C26)</f>
        <v>-0.6937101065655854</v>
      </c>
      <c r="I26" cm="1">
        <f t="array" ref="I26">theta_call(D26,A26,E26,B26,F26,C26)</f>
        <v>-7.7309673405734962</v>
      </c>
      <c r="J26" cm="1">
        <f t="array" ref="J26">theta_put(D26,A26,E26,B26,F26,C26)</f>
        <v>-7.7289713365761612</v>
      </c>
      <c r="K26" cm="1">
        <f t="array" ref="K26">gamma_new(D26,A26,E26,B26,F26,C26)</f>
        <v>4.1300684164172589E-2</v>
      </c>
      <c r="L26" cm="1">
        <f t="array" ref="L26">vega_new(D26,A26,E26,B26,F26,C26)</f>
        <v>14.909546983266303</v>
      </c>
      <c r="M26" cm="1">
        <f t="array" ref="M26">rho_call(D26,A26,E26,B26,F26,C26)</f>
        <v>5.5018256030450017</v>
      </c>
      <c r="N26" cm="1">
        <f t="array" ref="N26">rho_put(D26,A26,E26,B26,F26,C26)</f>
        <v>-14.458214370301658</v>
      </c>
    </row>
    <row r="27" spans="1:14" x14ac:dyDescent="0.3">
      <c r="A27">
        <v>100</v>
      </c>
      <c r="B27">
        <f t="shared" si="1"/>
        <v>0.01</v>
      </c>
      <c r="C27">
        <v>0.2</v>
      </c>
      <c r="D27">
        <v>100</v>
      </c>
      <c r="E27">
        <v>0.2</v>
      </c>
      <c r="F27">
        <v>0</v>
      </c>
      <c r="G27" cm="1">
        <f t="array" ref="G27">delta_call(D27,A27,E27,B27,F27,C27)</f>
        <v>0.5267418038869226</v>
      </c>
      <c r="H27" cm="1">
        <f t="array" ref="H27">delta_put(D27,A27,E27,B27,F27,C27)</f>
        <v>-0.4732581961130774</v>
      </c>
      <c r="I27" cm="1">
        <f t="array" ref="I27">theta_call(D27,A27,E27,B27,F27,C27)</f>
        <v>-9.3926350136616428</v>
      </c>
      <c r="J27" cm="1">
        <f t="array" ref="J27">theta_put(D27,A27,E27,B27,F27,C27)</f>
        <v>-9.3906390096643086</v>
      </c>
      <c r="K27" cm="1">
        <f t="array" ref="K27">gamma_new(D27,A27,E27,B27,F27,C27)</f>
        <v>4.4502858739261325E-2</v>
      </c>
      <c r="L27" cm="1">
        <f t="array" ref="L27">vega_new(D27,A27,E27,B27,F27,C27)</f>
        <v>17.80114349570453</v>
      </c>
      <c r="M27" cm="1">
        <f t="array" ref="M27">rho_call(D27,A27,E27,B27,F27,C27)</f>
        <v>9.8019788801767227</v>
      </c>
      <c r="N27" cm="1">
        <f t="array" ref="N27">rho_put(D27,A27,E27,B27,F27,C27)</f>
        <v>-10.158061093169938</v>
      </c>
    </row>
    <row r="28" spans="1:14" x14ac:dyDescent="0.3">
      <c r="A28">
        <v>100</v>
      </c>
      <c r="B28">
        <f t="shared" si="1"/>
        <v>0.01</v>
      </c>
      <c r="C28">
        <v>0.2</v>
      </c>
      <c r="D28">
        <v>105</v>
      </c>
      <c r="E28">
        <v>0.2</v>
      </c>
      <c r="F28">
        <v>0</v>
      </c>
      <c r="G28" cm="1">
        <f t="array" ref="G28">delta_call(D28,A28,E28,B28,F28,C28)</f>
        <v>0.72992052908241489</v>
      </c>
      <c r="H28" cm="1">
        <f t="array" ref="H28">delta_put(D28,A28,E28,B28,F28,C28)</f>
        <v>-0.27007947091758511</v>
      </c>
      <c r="I28" cm="1">
        <f t="array" ref="I28">theta_call(D28,A28,E28,B28,F28,C28)</f>
        <v>-8.4652333282392611</v>
      </c>
      <c r="J28" cm="1">
        <f t="array" ref="J28">theta_put(D28,A28,E28,B28,F28,C28)</f>
        <v>-8.463237324241927</v>
      </c>
      <c r="K28" cm="1">
        <f t="array" ref="K28">gamma_new(D28,A28,E28,B28,F28,C28)</f>
        <v>3.5212130286942138E-2</v>
      </c>
      <c r="L28" cm="1">
        <f t="array" ref="L28">vega_new(D28,A28,E28,B28,F28,C28)</f>
        <v>15.52854945654148</v>
      </c>
      <c r="M28" cm="1">
        <f t="array" ref="M28">rho_call(D28,A28,E28,B28,F28,C28)</f>
        <v>13.963207315360485</v>
      </c>
      <c r="N28" cm="1">
        <f t="array" ref="N28">rho_put(D28,A28,E28,B28,F28,C28)</f>
        <v>-5.9968326579861753</v>
      </c>
    </row>
    <row r="29" spans="1:14" x14ac:dyDescent="0.3">
      <c r="A29">
        <v>100</v>
      </c>
      <c r="B29">
        <f t="shared" si="1"/>
        <v>0.01</v>
      </c>
      <c r="C29">
        <v>0.2</v>
      </c>
      <c r="D29">
        <v>110</v>
      </c>
      <c r="E29">
        <v>0.2</v>
      </c>
      <c r="F29">
        <v>0</v>
      </c>
      <c r="G29" cm="1">
        <f t="array" ref="G29">delta_call(D29,A29,E29,B29,F29,C29)</f>
        <v>0.87132614165736733</v>
      </c>
      <c r="H29" cm="1">
        <f t="array" ref="H29">delta_put(D29,A29,E29,B29,F29,C29)</f>
        <v>-0.12867385834263267</v>
      </c>
      <c r="I29" cm="1">
        <f t="array" ref="I29">theta_call(D29,A29,E29,B29,F29,C29)</f>
        <v>-6.0197638922162939</v>
      </c>
      <c r="J29" cm="1">
        <f t="array" ref="J29">theta_put(D29,A29,E29,B29,F29,C29)</f>
        <v>-6.0177678882189589</v>
      </c>
      <c r="K29" cm="1">
        <f t="array" ref="K29">gamma_new(D29,A29,E29,B29,F29,C29)</f>
        <v>2.1349081451222499E-2</v>
      </c>
      <c r="L29" cm="1">
        <f t="array" ref="L29">vega_new(D29,A29,E29,B29,F29,C29)</f>
        <v>10.332955422391688</v>
      </c>
      <c r="M29" cm="1">
        <f t="array" ref="M29">rho_call(D29,A29,E29,B29,F29,C29)</f>
        <v>16.997597069863819</v>
      </c>
      <c r="N29" cm="1">
        <f t="array" ref="N29">rho_put(D29,A29,E29,B29,F29,C29)</f>
        <v>-2.9624429034828417</v>
      </c>
    </row>
    <row r="30" spans="1:14" x14ac:dyDescent="0.3">
      <c r="A30">
        <v>100</v>
      </c>
      <c r="B30">
        <f t="shared" si="1"/>
        <v>0.01</v>
      </c>
      <c r="C30">
        <v>0.2</v>
      </c>
      <c r="D30">
        <v>115</v>
      </c>
      <c r="E30">
        <v>0.2</v>
      </c>
      <c r="F30">
        <v>0</v>
      </c>
      <c r="G30" cm="1">
        <f t="array" ref="G30">delta_call(D30,A30,E30,B30,F30,C30)</f>
        <v>0.94841416414843493</v>
      </c>
      <c r="H30" cm="1">
        <f t="array" ref="H30">delta_put(D30,A30,E30,B30,F30,C30)</f>
        <v>-5.1585835851565065E-2</v>
      </c>
      <c r="I30" cm="1">
        <f t="array" ref="I30">theta_call(D30,A30,E30,B30,F30,C30)</f>
        <v>-3.6590014057540245</v>
      </c>
      <c r="J30" cm="1">
        <f t="array" ref="J30">theta_put(D30,A30,E30,B30,F30,C30)</f>
        <v>-3.65700540175669</v>
      </c>
      <c r="K30" cm="1">
        <f t="array" ref="K30">gamma_new(D30,A30,E30,B30,F30,C30)</f>
        <v>1.0279303406877476E-2</v>
      </c>
      <c r="L30" cm="1">
        <f t="array" ref="L30">vega_new(D30,A30,E30,B30,F30,C30)</f>
        <v>5.4377515022381848</v>
      </c>
      <c r="M30" cm="1">
        <f t="array" ref="M30">rho_call(D30,A30,E30,B30,F30,C30)</f>
        <v>18.727453260072849</v>
      </c>
      <c r="N30" cm="1">
        <f t="array" ref="N30">rho_put(D30,A30,E30,B30,F30,C30)</f>
        <v>-1.2325867132738111</v>
      </c>
    </row>
    <row r="31" spans="1:14" x14ac:dyDescent="0.3">
      <c r="A31">
        <v>100</v>
      </c>
      <c r="B31">
        <f t="shared" si="1"/>
        <v>0.01</v>
      </c>
      <c r="C31">
        <v>0.2</v>
      </c>
      <c r="D31">
        <v>120</v>
      </c>
      <c r="E31">
        <v>0.2</v>
      </c>
      <c r="F31">
        <v>0</v>
      </c>
      <c r="G31" cm="1">
        <f t="array" ref="G31">delta_call(D31,A31,E31,B31,F31,C31)</f>
        <v>0.9823760534317052</v>
      </c>
      <c r="H31" cm="1">
        <f t="array" ref="H31">delta_put(D31,A31,E31,B31,F31,C31)</f>
        <v>-1.7623946568294802E-2</v>
      </c>
      <c r="I31" cm="1">
        <f t="array" ref="I31">theta_call(D31,A31,E31,B31,F31,C31)</f>
        <v>-2.1466966892513142</v>
      </c>
      <c r="J31" cm="1">
        <f t="array" ref="J31">theta_put(D31,A31,E31,B31,F31,C31)</f>
        <v>-2.1447006852539796</v>
      </c>
      <c r="K31" cm="1">
        <f t="array" ref="K31">gamma_new(D31,A31,E31,B31,F31,C31)</f>
        <v>4.0508179535475647E-3</v>
      </c>
      <c r="L31" cm="1">
        <f t="array" ref="L31">vega_new(D31,A31,E31,B31,F31,C31)</f>
        <v>2.3332711412433973</v>
      </c>
      <c r="M31" cm="1">
        <f t="array" ref="M31">rho_call(D31,A31,E31,B31,F31,C31)</f>
        <v>19.522974084010123</v>
      </c>
      <c r="N31" cm="1">
        <f t="array" ref="N31">rho_put(D31,A31,E31,B31,F31,C31)</f>
        <v>-0.43706588933653734</v>
      </c>
    </row>
    <row r="32" spans="1:14" x14ac:dyDescent="0.3">
      <c r="A32">
        <v>100</v>
      </c>
      <c r="B32">
        <f t="shared" si="1"/>
        <v>0.01</v>
      </c>
      <c r="C32">
        <v>0.2</v>
      </c>
      <c r="D32">
        <v>125</v>
      </c>
      <c r="E32">
        <v>0.2</v>
      </c>
      <c r="F32">
        <v>0</v>
      </c>
      <c r="G32" cm="1">
        <f t="array" ref="G32">delta_call(D32,A32,E32,B32,F32,C32)</f>
        <v>0.99479497737862488</v>
      </c>
      <c r="H32" cm="1">
        <f t="array" ref="H32">delta_put(D32,A32,E32,B32,F32,C32)</f>
        <v>-5.2050226213751216E-3</v>
      </c>
      <c r="I32" cm="1">
        <f t="array" ref="I32">theta_call(D32,A32,E32,B32,F32,C32)</f>
        <v>-1.4141621323957998</v>
      </c>
      <c r="J32" cm="1">
        <f t="array" ref="J32">theta_put(D32,A32,E32,B32,F32,C32)</f>
        <v>-1.4121661283984652</v>
      </c>
      <c r="K32" cm="1">
        <f t="array" ref="K32">gamma_new(D32,A32,E32,B32,F32,C32)</f>
        <v>1.3404252747399995E-3</v>
      </c>
      <c r="L32" cm="1">
        <f t="array" ref="L32">vega_new(D32,A32,E32,B32,F32,C32)</f>
        <v>0.83776579671249984</v>
      </c>
      <c r="M32" cm="1">
        <f t="array" ref="M32">rho_call(D32,A32,E32,B32,F32,C32)</f>
        <v>19.826121374631196</v>
      </c>
      <c r="N32" cm="1">
        <f t="array" ref="N32">rho_put(D32,A32,E32,B32,F32,C32)</f>
        <v>-0.1339185987154643</v>
      </c>
    </row>
    <row r="33" spans="1:14" x14ac:dyDescent="0.3">
      <c r="A33">
        <v>100</v>
      </c>
      <c r="B33">
        <f t="shared" si="1"/>
        <v>0.01</v>
      </c>
      <c r="C33">
        <v>0.2</v>
      </c>
      <c r="D33">
        <v>130</v>
      </c>
      <c r="E33">
        <v>0.2</v>
      </c>
      <c r="F33">
        <v>0</v>
      </c>
      <c r="G33" cm="1">
        <f t="array" ref="G33">delta_call(D33,A33,E33,B33,F33,C33)</f>
        <v>0.99865188998007925</v>
      </c>
      <c r="H33" cm="1">
        <f t="array" ref="H33">delta_put(D33,A33,E33,B33,F33,C33)</f>
        <v>-1.3481100199207452E-3</v>
      </c>
      <c r="I33" cm="1">
        <f t="array" ref="I33">theta_call(D33,A33,E33,B33,F33,C33)</f>
        <v>-1.1288697485194497</v>
      </c>
      <c r="J33" cm="1">
        <f t="array" ref="J33">theta_put(D33,A33,E33,B33,F33,C33)</f>
        <v>-1.1268737445221151</v>
      </c>
      <c r="K33" cm="1">
        <f t="array" ref="K33">gamma_new(D33,A33,E33,B33,F33,C33)</f>
        <v>3.806891985019321E-4</v>
      </c>
      <c r="L33" cm="1">
        <f t="array" ref="L33">vega_new(D33,A33,E33,B33,F33,C33)</f>
        <v>0.25734589818730602</v>
      </c>
      <c r="M33" cm="1">
        <f t="array" ref="M33">rho_call(D33,A33,E33,B33,F33,C33)</f>
        <v>19.924080062887658</v>
      </c>
      <c r="N33" cm="1">
        <f t="array" ref="N33">rho_put(D33,A33,E33,B33,F33,C33)</f>
        <v>-3.5959910459002487E-2</v>
      </c>
    </row>
    <row r="34" spans="1:14" x14ac:dyDescent="0.3">
      <c r="A34">
        <v>100</v>
      </c>
      <c r="B34">
        <f t="shared" si="1"/>
        <v>0.01</v>
      </c>
      <c r="C34">
        <v>0.2</v>
      </c>
      <c r="D34">
        <v>135</v>
      </c>
      <c r="E34">
        <v>0.2</v>
      </c>
      <c r="F34">
        <v>0</v>
      </c>
      <c r="G34" cm="1">
        <f t="array" ref="G34">delta_call(D34,A34,E34,B34,F34,C34)</f>
        <v>0.99968959215435294</v>
      </c>
      <c r="H34" cm="1">
        <f t="array" ref="H34">delta_put(D34,A34,E34,B34,F34,C34)</f>
        <v>-3.1040784564706492E-4</v>
      </c>
      <c r="I34" cm="1">
        <f t="array" ref="I34">theta_call(D34,A34,E34,B34,F34,C34)</f>
        <v>-1.0360374529115921</v>
      </c>
      <c r="J34" cm="1">
        <f t="array" ref="J34">theta_put(D34,A34,E34,B34,F34,C34)</f>
        <v>-1.0340414489142575</v>
      </c>
      <c r="K34" cm="1">
        <f t="array" ref="K34">gamma_new(D34,A34,E34,B34,F34,C34)</f>
        <v>9.4556994587265296E-5</v>
      </c>
      <c r="L34" cm="1">
        <f t="array" ref="L34">vega_new(D34,A34,E34,B34,F34,C34)</f>
        <v>6.8932049054116401E-2</v>
      </c>
      <c r="M34" cm="1">
        <f t="array" ref="M34">rho_call(D34,A34,E34,B34,F34,C34)</f>
        <v>19.95146289139338</v>
      </c>
      <c r="N34" cm="1">
        <f t="array" ref="N34">rho_put(D34,A34,E34,B34,F34,C34)</f>
        <v>-8.577081953280441E-3</v>
      </c>
    </row>
    <row r="35" spans="1:14" x14ac:dyDescent="0.3">
      <c r="A35">
        <v>100</v>
      </c>
      <c r="B35">
        <f t="shared" si="1"/>
        <v>0.01</v>
      </c>
      <c r="C35">
        <v>0.2</v>
      </c>
      <c r="D35">
        <v>140</v>
      </c>
      <c r="E35">
        <v>0.2</v>
      </c>
      <c r="F35">
        <v>0</v>
      </c>
      <c r="G35" cm="1">
        <f t="array" ref="G35">delta_call(D35,A35,E35,B35,F35,C35)</f>
        <v>0.99993565599706147</v>
      </c>
      <c r="H35" cm="1">
        <f t="array" ref="H35">delta_put(D35,A35,E35,B35,F35,C35)</f>
        <v>-6.4344002938532263E-5</v>
      </c>
      <c r="I35" cm="1">
        <f t="array" ref="I35">theta_call(D35,A35,E35,B35,F35,C35)</f>
        <v>-1.0100933005544868</v>
      </c>
      <c r="J35" cm="1">
        <f t="array" ref="J35">theta_put(D35,A35,E35,B35,F35,C35)</f>
        <v>-1.0080972965571522</v>
      </c>
      <c r="K35" cm="1">
        <f t="array" ref="K35">gamma_new(D35,A35,E35,B35,F35,C35)</f>
        <v>2.0876714879530865E-5</v>
      </c>
      <c r="L35" cm="1">
        <f t="array" ref="L35">vega_new(D35,A35,E35,B35,F35,C35)</f>
        <v>1.6367344465552196E-2</v>
      </c>
      <c r="M35" cm="1">
        <f t="array" ref="M35">rho_call(D35,A35,E35,B35,F35,C35)</f>
        <v>19.958199888181856</v>
      </c>
      <c r="N35" cm="1">
        <f t="array" ref="N35">rho_put(D35,A35,E35,B35,F35,C35)</f>
        <v>-1.8400851648046057E-3</v>
      </c>
    </row>
    <row r="36" spans="1:14" x14ac:dyDescent="0.3">
      <c r="A36">
        <v>100</v>
      </c>
      <c r="B36">
        <f>1/100</f>
        <v>0.01</v>
      </c>
      <c r="C36">
        <v>0.2</v>
      </c>
      <c r="D36">
        <v>60</v>
      </c>
      <c r="E36">
        <v>0.3</v>
      </c>
      <c r="F36">
        <v>0</v>
      </c>
      <c r="G36" cm="1">
        <f t="array" ref="G36">delta_call(D36,A36,E36,B36,F36,C36)</f>
        <v>2.3135653326617214E-6</v>
      </c>
      <c r="H36" cm="1">
        <f t="array" ref="H36">delta_put(D36,A36,E36,B36,F36,C36)</f>
        <v>-0.99999768643466735</v>
      </c>
      <c r="I36" cm="1">
        <f t="array" ref="I36">theta_call(D36,A36,E36,B36,F36,C36)</f>
        <v>-1.225666714091842E-4</v>
      </c>
      <c r="J36" cm="1">
        <f t="array" ref="J36">theta_put(D36,A36,E36,B36,F36,C36)</f>
        <v>2.8684468151009349E-3</v>
      </c>
      <c r="K36" cm="1">
        <f t="array" ref="K36">gamma_new(D36,A36,E36,B36,F36,C36)</f>
        <v>1.683337757156276E-6</v>
      </c>
      <c r="L36" cm="1">
        <f t="array" ref="L36">vega_new(D36,A36,E36,B36,F36,C36)</f>
        <v>3.6360095554575553E-4</v>
      </c>
      <c r="M36" cm="1">
        <f t="array" ref="M36">rho_call(D36,A36,E36,B36,F36,C36)</f>
        <v>4.0745379654174123E-5</v>
      </c>
      <c r="N36" cm="1">
        <f t="array" ref="N36">rho_put(D36,A36,E36,B36,F36,C36)</f>
        <v>-29.910094119721538</v>
      </c>
    </row>
    <row r="37" spans="1:14" x14ac:dyDescent="0.3">
      <c r="A37">
        <v>100</v>
      </c>
      <c r="B37">
        <f t="shared" ref="B37:B52" si="2">1/100</f>
        <v>0.01</v>
      </c>
      <c r="C37">
        <v>0.2</v>
      </c>
      <c r="D37">
        <v>65</v>
      </c>
      <c r="E37">
        <v>0.3</v>
      </c>
      <c r="F37">
        <v>0</v>
      </c>
      <c r="G37" cm="1">
        <f t="array" ref="G37">delta_call(D37,A37,E37,B37,F37,C37)</f>
        <v>5.8978518150786922E-5</v>
      </c>
      <c r="H37" cm="1">
        <f t="array" ref="H37">delta_put(D37,A37,E37,B37,F37,C37)</f>
        <v>-0.99994102148184927</v>
      </c>
      <c r="I37" cm="1">
        <f t="array" ref="I37">theta_call(D37,A37,E37,B37,F37,C37)</f>
        <v>-2.8954601420058683E-3</v>
      </c>
      <c r="J37" cm="1">
        <f t="array" ref="J37">theta_put(D37,A37,E37,B37,F37,C37)</f>
        <v>9.5553344504250605E-5</v>
      </c>
      <c r="K37" cm="1">
        <f t="array" ref="K37">gamma_new(D37,A37,E37,B37,F37,C37)</f>
        <v>3.3820751258091636E-5</v>
      </c>
      <c r="L37" cm="1">
        <f t="array" ref="L37">vega_new(D37,A37,E37,B37,F37,C37)</f>
        <v>8.57356044392623E-3</v>
      </c>
      <c r="M37" cm="1">
        <f t="array" ref="M37">rho_call(D37,A37,E37,B37,F37,C37)</f>
        <v>1.1214508890306986E-3</v>
      </c>
      <c r="N37" cm="1">
        <f t="array" ref="N37">rho_put(D37,A37,E37,B37,F37,C37)</f>
        <v>-29.909013414212161</v>
      </c>
    </row>
    <row r="38" spans="1:14" x14ac:dyDescent="0.3">
      <c r="A38">
        <v>100</v>
      </c>
      <c r="B38">
        <f t="shared" si="2"/>
        <v>0.01</v>
      </c>
      <c r="C38">
        <v>0.2</v>
      </c>
      <c r="D38">
        <v>70</v>
      </c>
      <c r="E38">
        <v>0.3</v>
      </c>
      <c r="F38">
        <v>0</v>
      </c>
      <c r="G38" cm="1">
        <f t="array" ref="G38">delta_call(D38,A38,E38,B38,F38,C38)</f>
        <v>7.522257491842688E-4</v>
      </c>
      <c r="H38" cm="1">
        <f t="array" ref="H38">delta_put(D38,A38,E38,B38,F38,C38)</f>
        <v>-0.99924777425081568</v>
      </c>
      <c r="I38" cm="1">
        <f t="array" ref="I38">theta_call(D38,A38,E38,B38,F38,C38)</f>
        <v>-3.3634354347343208E-2</v>
      </c>
      <c r="J38" cm="1">
        <f t="array" ref="J38">theta_put(D38,A38,E38,B38,F38,C38)</f>
        <v>-3.064334086083309E-2</v>
      </c>
      <c r="K38" cm="1">
        <f t="array" ref="K38">gamma_new(D38,A38,E38,B38,F38,C38)</f>
        <v>3.3795857220289077E-4</v>
      </c>
      <c r="L38" cm="1">
        <f t="array" ref="L38">vega_new(D38,A38,E38,B38,F38,C38)</f>
        <v>9.9359820227649887E-2</v>
      </c>
      <c r="M38" cm="1">
        <f t="array" ref="M38">rho_call(D38,A38,E38,B38,F38,C38)</f>
        <v>1.5340110803905882E-2</v>
      </c>
      <c r="N38" cm="1">
        <f t="array" ref="N38">rho_put(D38,A38,E38,B38,F38,C38)</f>
        <v>-29.894794754297287</v>
      </c>
    </row>
    <row r="39" spans="1:14" x14ac:dyDescent="0.3">
      <c r="A39">
        <v>100</v>
      </c>
      <c r="B39">
        <f t="shared" si="2"/>
        <v>0.01</v>
      </c>
      <c r="C39">
        <v>0.2</v>
      </c>
      <c r="D39">
        <v>75</v>
      </c>
      <c r="E39">
        <v>0.3</v>
      </c>
      <c r="F39">
        <v>0</v>
      </c>
      <c r="G39" cm="1">
        <f t="array" ref="G39">delta_call(D39,A39,E39,B39,F39,C39)</f>
        <v>5.4794346275411467E-3</v>
      </c>
      <c r="H39" cm="1">
        <f t="array" ref="H39">delta_put(D39,A39,E39,B39,F39,C39)</f>
        <v>-0.99452056537245881</v>
      </c>
      <c r="I39" cm="1">
        <f t="array" ref="I39">theta_call(D39,A39,E39,B39,F39,C39)</f>
        <v>-0.21879688944533632</v>
      </c>
      <c r="J39" cm="1">
        <f t="array" ref="J39">theta_put(D39,A39,E39,B39,F39,C39)</f>
        <v>-0.21580587595882619</v>
      </c>
      <c r="K39" cm="1">
        <f t="array" ref="K39">gamma_new(D39,A39,E39,B39,F39,C39)</f>
        <v>1.9093551185000314E-3</v>
      </c>
      <c r="L39" cm="1">
        <f t="array" ref="L39">vega_new(D39,A39,E39,B39,F39,C39)</f>
        <v>0.64440735249376058</v>
      </c>
      <c r="M39" cm="1">
        <f t="array" ref="M39">rho_call(D39,A39,E39,B39,F39,C39)</f>
        <v>0.11911631216126904</v>
      </c>
      <c r="N39" cm="1">
        <f t="array" ref="N39">rho_put(D39,A39,E39,B39,F39,C39)</f>
        <v>-29.791018552939924</v>
      </c>
    </row>
    <row r="40" spans="1:14" x14ac:dyDescent="0.3">
      <c r="A40">
        <v>100</v>
      </c>
      <c r="B40">
        <f t="shared" si="2"/>
        <v>0.01</v>
      </c>
      <c r="C40">
        <v>0.2</v>
      </c>
      <c r="D40">
        <v>80</v>
      </c>
      <c r="E40">
        <v>0.3</v>
      </c>
      <c r="F40">
        <v>0</v>
      </c>
      <c r="G40" cm="1">
        <f t="array" ref="G40">delta_call(D40,A40,E40,B40,F40,C40)</f>
        <v>2.5300139283739118E-2</v>
      </c>
      <c r="H40" cm="1">
        <f t="array" ref="H40">delta_put(D40,A40,E40,B40,F40,C40)</f>
        <v>-0.97469986071626091</v>
      </c>
      <c r="I40" cm="1">
        <f t="array" ref="I40">theta_call(D40,A40,E40,B40,F40,C40)</f>
        <v>-0.88177430394698519</v>
      </c>
      <c r="J40" cm="1">
        <f t="array" ref="J40">theta_put(D40,A40,E40,B40,F40,C40)</f>
        <v>-0.8787832904604751</v>
      </c>
      <c r="K40" cm="1">
        <f t="array" ref="K40">gamma_new(D40,A40,E40,B40,F40,C40)</f>
        <v>6.7361389316554247E-3</v>
      </c>
      <c r="L40" cm="1">
        <f t="array" ref="L40">vega_new(D40,A40,E40,B40,F40,C40)</f>
        <v>2.5866773497556825</v>
      </c>
      <c r="M40" cm="1">
        <f t="array" ref="M40">rho_call(D40,A40,E40,B40,F40,C40)</f>
        <v>0.58294742224800944</v>
      </c>
      <c r="N40" cm="1">
        <f t="array" ref="N40">rho_put(D40,A40,E40,B40,F40,C40)</f>
        <v>-29.327187442853184</v>
      </c>
    </row>
    <row r="41" spans="1:14" x14ac:dyDescent="0.3">
      <c r="A41">
        <v>100</v>
      </c>
      <c r="B41">
        <f t="shared" si="2"/>
        <v>0.01</v>
      </c>
      <c r="C41">
        <v>0.2</v>
      </c>
      <c r="D41">
        <v>85</v>
      </c>
      <c r="E41">
        <v>0.3</v>
      </c>
      <c r="F41">
        <v>0</v>
      </c>
      <c r="G41" cm="1">
        <f t="array" ref="G41">delta_call(D41,A41,E41,B41,F41,C41)</f>
        <v>8.0542811303141587E-2</v>
      </c>
      <c r="H41" cm="1">
        <f t="array" ref="H41">delta_put(D41,A41,E41,B41,F41,C41)</f>
        <v>-0.91945718869685844</v>
      </c>
      <c r="I41" cm="1">
        <f t="array" ref="I41">theta_call(D41,A41,E41,B41,F41,C41)</f>
        <v>-2.3845369603108986</v>
      </c>
      <c r="J41" cm="1">
        <f t="array" ref="J41">theta_put(D41,A41,E41,B41,F41,C41)</f>
        <v>-2.3815459468243882</v>
      </c>
      <c r="K41" cm="1">
        <f t="array" ref="K41">gamma_new(D41,A41,E41,B41,F41,C41)</f>
        <v>1.6048048164004222E-2</v>
      </c>
      <c r="L41" cm="1">
        <f t="array" ref="L41">vega_new(D41,A41,E41,B41,F41,C41)</f>
        <v>6.9568288790958288</v>
      </c>
      <c r="M41" cm="1">
        <f t="array" ref="M41">rho_call(D41,A41,E41,B41,F41,C41)</f>
        <v>1.9560484482833904</v>
      </c>
      <c r="N41" cm="1">
        <f t="array" ref="N41">rho_put(D41,A41,E41,B41,F41,C41)</f>
        <v>-27.954086416817802</v>
      </c>
    </row>
    <row r="42" spans="1:14" x14ac:dyDescent="0.3">
      <c r="A42">
        <v>100</v>
      </c>
      <c r="B42">
        <f t="shared" si="2"/>
        <v>0.01</v>
      </c>
      <c r="C42">
        <v>0.2</v>
      </c>
      <c r="D42">
        <v>90</v>
      </c>
      <c r="E42">
        <v>0.3</v>
      </c>
      <c r="F42">
        <v>0</v>
      </c>
      <c r="G42" cm="1">
        <f t="array" ref="G42">delta_call(D42,A42,E42,B42,F42,C42)</f>
        <v>0.18952524812777746</v>
      </c>
      <c r="H42" cm="1">
        <f t="array" ref="H42">delta_put(D42,A42,E42,B42,F42,C42)</f>
        <v>-0.81047475187222251</v>
      </c>
      <c r="I42" cm="1">
        <f t="array" ref="I42">theta_call(D42,A42,E42,B42,F42,C42)</f>
        <v>-4.6139004849167504</v>
      </c>
      <c r="J42" cm="1">
        <f t="array" ref="J42">theta_put(D42,A42,E42,B42,F42,C42)</f>
        <v>-4.6109094714302401</v>
      </c>
      <c r="K42" cm="1">
        <f t="array" ref="K42">gamma_new(D42,A42,E42,B42,F42,C42)</f>
        <v>2.7482291431425856E-2</v>
      </c>
      <c r="L42" cm="1">
        <f t="array" ref="L42">vega_new(D42,A42,E42,B42,F42,C42)</f>
        <v>13.356393635672964</v>
      </c>
      <c r="M42" cm="1">
        <f t="array" ref="M42">rho_call(D42,A42,E42,B42,F42,C42)</f>
        <v>4.8240469025865851</v>
      </c>
      <c r="N42" cm="1">
        <f t="array" ref="N42">rho_put(D42,A42,E42,B42,F42,C42)</f>
        <v>-25.086087962514608</v>
      </c>
    </row>
    <row r="43" spans="1:14" x14ac:dyDescent="0.3">
      <c r="A43">
        <v>100</v>
      </c>
      <c r="B43">
        <f t="shared" si="2"/>
        <v>0.01</v>
      </c>
      <c r="C43">
        <v>0.2</v>
      </c>
      <c r="D43">
        <v>95</v>
      </c>
      <c r="E43">
        <v>0.3</v>
      </c>
      <c r="F43">
        <v>0</v>
      </c>
      <c r="G43" cm="1">
        <f t="array" ref="G43">delta_call(D43,A43,E43,B43,F43,C43)</f>
        <v>0.34971752968021519</v>
      </c>
      <c r="H43" cm="1">
        <f t="array" ref="H43">delta_put(D43,A43,E43,B43,F43,C43)</f>
        <v>-0.65028247031978481</v>
      </c>
      <c r="I43" cm="1">
        <f t="array" ref="I43">theta_call(D43,A43,E43,B43,F43,C43)</f>
        <v>-6.7335236913073473</v>
      </c>
      <c r="J43" cm="1">
        <f t="array" ref="J43">theta_put(D43,A43,E43,B43,F43,C43)</f>
        <v>-6.730532677820837</v>
      </c>
      <c r="K43" cm="1">
        <f t="array" ref="K43">gamma_new(D43,A43,E43,B43,F43,C43)</f>
        <v>3.5581792279001205E-2</v>
      </c>
      <c r="L43" cm="1">
        <f t="array" ref="L43">vega_new(D43,A43,E43,B43,F43,C43)</f>
        <v>19.267540519079148</v>
      </c>
      <c r="M43" cm="1">
        <f t="array" ref="M43">rho_call(D43,A43,E43,B43,F43,C43)</f>
        <v>9.2744913252504038</v>
      </c>
      <c r="N43" cm="1">
        <f t="array" ref="N43">rho_put(D43,A43,E43,B43,F43,C43)</f>
        <v>-20.63564353985079</v>
      </c>
    </row>
    <row r="44" spans="1:14" x14ac:dyDescent="0.3">
      <c r="A44">
        <v>100</v>
      </c>
      <c r="B44">
        <f t="shared" si="2"/>
        <v>0.01</v>
      </c>
      <c r="C44">
        <v>0.2</v>
      </c>
      <c r="D44">
        <v>100</v>
      </c>
      <c r="E44">
        <v>0.3</v>
      </c>
      <c r="F44">
        <v>0</v>
      </c>
      <c r="G44" cm="1">
        <f t="array" ref="G44">delta_call(D44,A44,E44,B44,F44,C44)</f>
        <v>0.53273961671267711</v>
      </c>
      <c r="H44" cm="1">
        <f t="array" ref="H44">delta_put(D44,A44,E44,B44,F44,C44)</f>
        <v>-0.46726038328732289</v>
      </c>
      <c r="I44" cm="1">
        <f t="array" ref="I44">theta_call(D44,A44,E44,B44,F44,C44)</f>
        <v>-7.7496606122420397</v>
      </c>
      <c r="J44" cm="1">
        <f t="array" ref="J44">theta_put(D44,A44,E44,B44,F44,C44)</f>
        <v>-7.7466695987555294</v>
      </c>
      <c r="K44" cm="1">
        <f t="array" ref="K44">gamma_new(D44,A44,E44,B44,F44,C44)</f>
        <v>3.6295576501642057E-2</v>
      </c>
      <c r="L44" cm="1">
        <f t="array" ref="L44">vega_new(D44,A44,E44,B44,F44,C44)</f>
        <v>21.777345900985232</v>
      </c>
      <c r="M44" cm="1">
        <f t="array" ref="M44">rho_call(D44,A44,E44,B44,F44,C44)</f>
        <v>14.628325566737619</v>
      </c>
      <c r="N44" cm="1">
        <f t="array" ref="N44">rho_put(D44,A44,E44,B44,F44,C44)</f>
        <v>-15.281809298363573</v>
      </c>
    </row>
    <row r="45" spans="1:14" x14ac:dyDescent="0.3">
      <c r="A45">
        <v>100</v>
      </c>
      <c r="B45">
        <f t="shared" si="2"/>
        <v>0.01</v>
      </c>
      <c r="C45">
        <v>0.2</v>
      </c>
      <c r="D45">
        <v>105</v>
      </c>
      <c r="E45">
        <v>0.3</v>
      </c>
      <c r="F45">
        <v>0</v>
      </c>
      <c r="G45" cm="1">
        <f t="array" ref="G45">delta_call(D45,A45,E45,B45,F45,C45)</f>
        <v>0.70109401201543453</v>
      </c>
      <c r="H45" cm="1">
        <f t="array" ref="H45">delta_put(D45,A45,E45,B45,F45,C45)</f>
        <v>-0.29890598798456547</v>
      </c>
      <c r="I45" cm="1">
        <f t="array" ref="I45">theta_call(D45,A45,E45,B45,F45,C45)</f>
        <v>-7.3183544303146189</v>
      </c>
      <c r="J45" cm="1">
        <f t="array" ref="J45">theta_put(D45,A45,E45,B45,F45,C45)</f>
        <v>-7.3153634168281085</v>
      </c>
      <c r="K45" cm="1">
        <f t="array" ref="K45">gamma_new(D45,A45,E45,B45,F45,C45)</f>
        <v>3.0178399358531966E-2</v>
      </c>
      <c r="L45" cm="1">
        <f t="array" ref="L45">vega_new(D45,A45,E45,B45,F45,C45)</f>
        <v>19.963011175668893</v>
      </c>
      <c r="M45" cm="1">
        <f t="array" ref="M45">rho_call(D45,A45,E45,B45,F45,C45)</f>
        <v>19.801355879149483</v>
      </c>
      <c r="N45" cm="1">
        <f t="array" ref="N45">rho_put(D45,A45,E45,B45,F45,C45)</f>
        <v>-10.108778985951709</v>
      </c>
    </row>
    <row r="46" spans="1:14" x14ac:dyDescent="0.3">
      <c r="A46">
        <v>100</v>
      </c>
      <c r="B46">
        <f t="shared" si="2"/>
        <v>0.01</v>
      </c>
      <c r="C46">
        <v>0.2</v>
      </c>
      <c r="D46">
        <v>110</v>
      </c>
      <c r="E46">
        <v>0.3</v>
      </c>
      <c r="F46">
        <v>0</v>
      </c>
      <c r="G46" cm="1">
        <f t="array" ref="G46">delta_call(D46,A46,E46,B46,F46,C46)</f>
        <v>0.82950660741686155</v>
      </c>
      <c r="H46" cm="1">
        <f t="array" ref="H46">delta_put(D46,A46,E46,B46,F46,C46)</f>
        <v>-0.17049339258313845</v>
      </c>
      <c r="I46" cm="1">
        <f t="array" ref="I46">theta_call(D46,A46,E46,B46,F46,C46)</f>
        <v>-5.894258624560023</v>
      </c>
      <c r="J46" cm="1">
        <f t="array" ref="J46">theta_put(D46,A46,E46,B46,F46,C46)</f>
        <v>-5.8912676110735127</v>
      </c>
      <c r="K46" cm="1">
        <f t="array" ref="K46">gamma_new(D46,A46,E46,B46,F46,C46)</f>
        <v>2.1039503593612036E-2</v>
      </c>
      <c r="L46" cm="1">
        <f t="array" ref="L46">vega_new(D46,A46,E46,B46,F46,C46)</f>
        <v>15.274679608962337</v>
      </c>
      <c r="M46" cm="1">
        <f t="array" ref="M46">rho_call(D46,A46,E46,B46,F46,C46)</f>
        <v>23.936909463006028</v>
      </c>
      <c r="N46" cm="1">
        <f t="array" ref="N46">rho_put(D46,A46,E46,B46,F46,C46)</f>
        <v>-5.9732254020951636</v>
      </c>
    </row>
    <row r="47" spans="1:14" x14ac:dyDescent="0.3">
      <c r="A47">
        <v>100</v>
      </c>
      <c r="B47">
        <f t="shared" si="2"/>
        <v>0.01</v>
      </c>
      <c r="C47">
        <v>0.2</v>
      </c>
      <c r="D47">
        <v>115</v>
      </c>
      <c r="E47">
        <v>0.3</v>
      </c>
      <c r="F47">
        <v>0</v>
      </c>
      <c r="G47" cm="1">
        <f t="array" ref="G47">delta_call(D47,A47,E47,B47,F47,C47)</f>
        <v>0.91276887593354383</v>
      </c>
      <c r="H47" cm="1">
        <f t="array" ref="H47">delta_put(D47,A47,E47,B47,F47,C47)</f>
        <v>-8.7231124066456167E-2</v>
      </c>
      <c r="I47" cm="1">
        <f t="array" ref="I47">theta_call(D47,A47,E47,B47,F47,C47)</f>
        <v>-4.2278688317674735</v>
      </c>
      <c r="J47" cm="1">
        <f t="array" ref="J47">theta_put(D47,A47,E47,B47,F47,C47)</f>
        <v>-4.2248778182809632</v>
      </c>
      <c r="K47" cm="1">
        <f t="array" ref="K47">gamma_new(D47,A47,E47,B47,F47,C47)</f>
        <v>1.259400347775148E-2</v>
      </c>
      <c r="L47" cm="1">
        <f t="array" ref="L47">vega_new(D47,A47,E47,B47,F47,C47)</f>
        <v>9.9933417595957987</v>
      </c>
      <c r="M47" cm="1">
        <f t="array" ref="M47">rho_call(D47,A47,E47,B47,F47,C47)</f>
        <v>26.741714753531923</v>
      </c>
      <c r="N47" cm="1">
        <f t="array" ref="N47">rho_put(D47,A47,E47,B47,F47,C47)</f>
        <v>-3.1684201115692687</v>
      </c>
    </row>
    <row r="48" spans="1:14" x14ac:dyDescent="0.3">
      <c r="A48">
        <v>100</v>
      </c>
      <c r="B48">
        <f t="shared" si="2"/>
        <v>0.01</v>
      </c>
      <c r="C48">
        <v>0.2</v>
      </c>
      <c r="D48">
        <v>120</v>
      </c>
      <c r="E48">
        <v>0.3</v>
      </c>
      <c r="F48">
        <v>0</v>
      </c>
      <c r="G48" cm="1">
        <f t="array" ref="G48">delta_call(D48,A48,E48,B48,F48,C48)</f>
        <v>0.95963958476134859</v>
      </c>
      <c r="H48" cm="1">
        <f t="array" ref="H48">delta_put(D48,A48,E48,B48,F48,C48)</f>
        <v>-4.0360415238651415E-2</v>
      </c>
      <c r="I48" cm="1">
        <f t="array" ref="I48">theta_call(D48,A48,E48,B48,F48,C48)</f>
        <v>-2.8538141781283684</v>
      </c>
      <c r="J48" cm="1">
        <f t="array" ref="J48">theta_put(D48,A48,E48,B48,F48,C48)</f>
        <v>-2.850823164641858</v>
      </c>
      <c r="K48" cm="1">
        <f t="array" ref="K48">gamma_new(D48,A48,E48,B48,F48,C48)</f>
        <v>6.6034037139998071E-3</v>
      </c>
      <c r="L48" cm="1">
        <f t="array" ref="L48">vega_new(D48,A48,E48,B48,F48,C48)</f>
        <v>5.7053408088958326</v>
      </c>
      <c r="M48" cm="1">
        <f t="array" ref="M48">rho_call(D48,A48,E48,B48,F48,C48)</f>
        <v>28.39016422301777</v>
      </c>
      <c r="N48" cm="1">
        <f t="array" ref="N48">rho_put(D48,A48,E48,B48,F48,C48)</f>
        <v>-1.5199706420834218</v>
      </c>
    </row>
    <row r="49" spans="1:14" x14ac:dyDescent="0.3">
      <c r="A49">
        <v>100</v>
      </c>
      <c r="B49">
        <f t="shared" si="2"/>
        <v>0.01</v>
      </c>
      <c r="C49">
        <v>0.2</v>
      </c>
      <c r="D49">
        <v>125</v>
      </c>
      <c r="E49">
        <v>0.3</v>
      </c>
      <c r="F49">
        <v>0</v>
      </c>
      <c r="G49" cm="1">
        <f t="array" ref="G49">delta_call(D49,A49,E49,B49,F49,C49)</f>
        <v>0.98296199066116863</v>
      </c>
      <c r="H49" cm="1">
        <f t="array" ref="H49">delta_put(D49,A49,E49,B49,F49,C49)</f>
        <v>-1.7038009338831372E-2</v>
      </c>
      <c r="I49" cm="1">
        <f t="array" ref="I49">theta_call(D49,A49,E49,B49,F49,C49)</f>
        <v>-1.9447000617782182</v>
      </c>
      <c r="J49" cm="1">
        <f t="array" ref="J49">theta_put(D49,A49,E49,B49,F49,C49)</f>
        <v>-1.9417090482917081</v>
      </c>
      <c r="K49" cm="1">
        <f t="array" ref="K49">gamma_new(D49,A49,E49,B49,F49,C49)</f>
        <v>3.0847927412867744E-3</v>
      </c>
      <c r="L49" cm="1">
        <f t="array" ref="L49">vega_new(D49,A49,E49,B49,F49,C49)</f>
        <v>2.89199319495635</v>
      </c>
      <c r="M49" cm="1">
        <f t="array" ref="M49">rho_call(D49,A49,E49,B49,F49,C49)</f>
        <v>29.245072006046918</v>
      </c>
      <c r="N49" cm="1">
        <f t="array" ref="N49">rho_put(D49,A49,E49,B49,F49,C49)</f>
        <v>-0.66506285905427376</v>
      </c>
    </row>
    <row r="50" spans="1:14" x14ac:dyDescent="0.3">
      <c r="A50">
        <v>100</v>
      </c>
      <c r="B50">
        <f t="shared" si="2"/>
        <v>0.01</v>
      </c>
      <c r="C50">
        <v>0.2</v>
      </c>
      <c r="D50">
        <v>130</v>
      </c>
      <c r="E50">
        <v>0.3</v>
      </c>
      <c r="F50">
        <v>0</v>
      </c>
      <c r="G50" cm="1">
        <f t="array" ref="G50">delta_call(D50,A50,E50,B50,F50,C50)</f>
        <v>0.99337921785148087</v>
      </c>
      <c r="H50" cm="1">
        <f t="array" ref="H50">delta_put(D50,A50,E50,B50,F50,C50)</f>
        <v>-6.6207821485191332E-3</v>
      </c>
      <c r="I50" cm="1">
        <f t="array" ref="I50">theta_call(D50,A50,E50,B50,F50,C50)</f>
        <v>-1.4343371384118355</v>
      </c>
      <c r="J50" cm="1">
        <f t="array" ref="J50">theta_put(D50,A50,E50,B50,F50,C50)</f>
        <v>-1.4313461249253254</v>
      </c>
      <c r="K50" cm="1">
        <f t="array" ref="K50">gamma_new(D50,A50,E50,B50,F50,C50)</f>
        <v>1.3026922814580186E-3</v>
      </c>
      <c r="L50" cm="1">
        <f t="array" ref="L50">vega_new(D50,A50,E50,B50,F50,C50)</f>
        <v>1.3209299733984308</v>
      </c>
      <c r="M50" cm="1">
        <f t="array" ref="M50">rho_call(D50,A50,E50,B50,F50,C50)</f>
        <v>29.642425234579132</v>
      </c>
      <c r="N50" cm="1">
        <f t="array" ref="N50">rho_put(D50,A50,E50,B50,F50,C50)</f>
        <v>-0.26770963052205943</v>
      </c>
    </row>
    <row r="51" spans="1:14" x14ac:dyDescent="0.3">
      <c r="A51">
        <v>100</v>
      </c>
      <c r="B51">
        <f t="shared" si="2"/>
        <v>0.01</v>
      </c>
      <c r="C51">
        <v>0.2</v>
      </c>
      <c r="D51">
        <v>135</v>
      </c>
      <c r="E51">
        <v>0.3</v>
      </c>
      <c r="F51">
        <v>0</v>
      </c>
      <c r="G51" cm="1">
        <f t="array" ref="G51">delta_call(D51,A51,E51,B51,F51,C51)</f>
        <v>0.99761170131759624</v>
      </c>
      <c r="H51" cm="1">
        <f t="array" ref="H51">delta_put(D51,A51,E51,B51,F51,C51)</f>
        <v>-2.3882986824037555E-3</v>
      </c>
      <c r="I51" cm="1">
        <f t="array" ref="I51">theta_call(D51,A51,E51,B51,F51,C51)</f>
        <v>-1.183190802482462</v>
      </c>
      <c r="J51" cm="1">
        <f t="array" ref="J51">theta_put(D51,A51,E51,B51,F51,C51)</f>
        <v>-1.1801997889959519</v>
      </c>
      <c r="K51" cm="1">
        <f t="array" ref="K51">gamma_new(D51,A51,E51,B51,F51,C51)</f>
        <v>5.0353481185787989E-4</v>
      </c>
      <c r="L51" cm="1">
        <f t="array" ref="L51">vega_new(D51,A51,E51,B51,F51,C51)</f>
        <v>0.55061531676659159</v>
      </c>
      <c r="M51" cm="1">
        <f t="array" ref="M51">rho_call(D51,A51,E51,B51,F51,C51)</f>
        <v>29.81017221563636</v>
      </c>
      <c r="N51" cm="1">
        <f t="array" ref="N51">rho_put(D51,A51,E51,B51,F51,C51)</f>
        <v>-9.9962649464831799E-2</v>
      </c>
    </row>
    <row r="52" spans="1:14" x14ac:dyDescent="0.3">
      <c r="A52">
        <v>100</v>
      </c>
      <c r="B52">
        <f t="shared" si="2"/>
        <v>0.01</v>
      </c>
      <c r="C52">
        <v>0.2</v>
      </c>
      <c r="D52">
        <v>140</v>
      </c>
      <c r="E52">
        <v>0.3</v>
      </c>
      <c r="F52">
        <v>0</v>
      </c>
      <c r="G52" cm="1">
        <f t="array" ref="G52">delta_call(D52,A52,E52,B52,F52,C52)</f>
        <v>0.99919396953371908</v>
      </c>
      <c r="H52" cm="1">
        <f t="array" ref="H52">delta_put(D52,A52,E52,B52,F52,C52)</f>
        <v>-8.060304662809159E-4</v>
      </c>
      <c r="I52" cm="1">
        <f t="array" ref="I52">theta_call(D52,A52,E52,B52,F52,C52)</f>
        <v>-1.0724251562556457</v>
      </c>
      <c r="J52" cm="1">
        <f t="array" ref="J52">theta_put(D52,A52,E52,B52,F52,C52)</f>
        <v>-1.0694341427691356</v>
      </c>
      <c r="K52" cm="1">
        <f t="array" ref="K52">gamma_new(D52,A52,E52,B52,F52,C52)</f>
        <v>1.800784918926651E-4</v>
      </c>
      <c r="L52" cm="1">
        <f t="array" ref="L52">vega_new(D52,A52,E52,B52,F52,C52)</f>
        <v>0.21177230646577413</v>
      </c>
      <c r="M52" cm="1">
        <f t="array" ref="M52">rho_call(D52,A52,E52,B52,F52,C52)</f>
        <v>29.875241343482667</v>
      </c>
      <c r="N52" cm="1">
        <f t="array" ref="N52">rho_put(D52,A52,E52,B52,F52,C52)</f>
        <v>-3.4893521618524659E-2</v>
      </c>
    </row>
    <row r="53" spans="1:14" x14ac:dyDescent="0.3">
      <c r="A53">
        <v>100</v>
      </c>
      <c r="B53">
        <f>1/100</f>
        <v>0.01</v>
      </c>
      <c r="C53">
        <v>0.2</v>
      </c>
      <c r="D53">
        <v>60</v>
      </c>
      <c r="E53">
        <v>0.4</v>
      </c>
      <c r="F53">
        <v>0</v>
      </c>
      <c r="G53" cm="1">
        <f t="array" ref="G53">delta_call(D53,A53,E53,B53,F53,C53)</f>
        <v>4.0139975424484934E-5</v>
      </c>
      <c r="H53" cm="1">
        <f t="array" ref="H53">delta_put(D53,A53,E53,B53,F53,C53)</f>
        <v>-0.99995986002457549</v>
      </c>
      <c r="I53" cm="1">
        <f t="array" ref="I53">theta_call(D53,A53,E53,B53,F53,C53)</f>
        <v>-1.6122344242869328E-3</v>
      </c>
      <c r="J53" cm="1">
        <f t="array" ref="J53">theta_put(D53,A53,E53,B53,F53,C53)</f>
        <v>2.3717975330890331E-3</v>
      </c>
      <c r="K53" cm="1">
        <f t="array" ref="K53">gamma_new(D53,A53,E53,B53,F53,C53)</f>
        <v>2.2064431982817099E-5</v>
      </c>
      <c r="L53" cm="1">
        <f t="array" ref="L53">vega_new(D53,A53,E53,B53,F53,C53)</f>
        <v>6.354556411051324E-3</v>
      </c>
      <c r="M53" cm="1">
        <f t="array" ref="M53">rho_call(D53,A53,E53,B53,F53,C53)</f>
        <v>9.3629247971002423E-4</v>
      </c>
      <c r="N53" cm="1">
        <f t="array" ref="N53">rho_put(D53,A53,E53,B53,F53,C53)</f>
        <v>-39.83938328127995</v>
      </c>
    </row>
    <row r="54" spans="1:14" x14ac:dyDescent="0.3">
      <c r="A54">
        <v>100</v>
      </c>
      <c r="B54">
        <f t="shared" ref="B54:B69" si="3">1/100</f>
        <v>0.01</v>
      </c>
      <c r="C54">
        <v>0.2</v>
      </c>
      <c r="D54">
        <v>65</v>
      </c>
      <c r="E54">
        <v>0.4</v>
      </c>
      <c r="F54">
        <v>0</v>
      </c>
      <c r="G54" cm="1">
        <f t="array" ref="G54">delta_call(D54,A54,E54,B54,F54,C54)</f>
        <v>4.6519881412379274E-4</v>
      </c>
      <c r="H54" cm="1">
        <f t="array" ref="H54">delta_put(D54,A54,E54,B54,F54,C54)</f>
        <v>-0.99953480118587623</v>
      </c>
      <c r="I54" cm="1">
        <f t="array" ref="I54">theta_call(D54,A54,E54,B54,F54,C54)</f>
        <v>-1.7379404099481105E-2</v>
      </c>
      <c r="J54" cm="1">
        <f t="array" ref="J54">theta_put(D54,A54,E54,B54,F54,C54)</f>
        <v>-1.3395372142105139E-2</v>
      </c>
      <c r="K54" cm="1">
        <f t="array" ref="K54">gamma_new(D54,A54,E54,B54,F54,C54)</f>
        <v>2.0218238688417132E-4</v>
      </c>
      <c r="L54" cm="1">
        <f t="array" ref="L54">vega_new(D54,A54,E54,B54,F54,C54)</f>
        <v>6.8337646766849905E-2</v>
      </c>
      <c r="M54" cm="1">
        <f t="array" ref="M54">rho_call(D54,A54,E54,B54,F54,C54)</f>
        <v>1.1705675325644333E-2</v>
      </c>
      <c r="N54" cm="1">
        <f t="array" ref="N54">rho_put(D54,A54,E54,B54,F54,C54)</f>
        <v>-39.828613898434014</v>
      </c>
    </row>
    <row r="55" spans="1:14" x14ac:dyDescent="0.3">
      <c r="A55">
        <v>100</v>
      </c>
      <c r="B55">
        <f t="shared" si="3"/>
        <v>0.01</v>
      </c>
      <c r="C55">
        <v>0.2</v>
      </c>
      <c r="D55">
        <v>70</v>
      </c>
      <c r="E55">
        <v>0.4</v>
      </c>
      <c r="F55">
        <v>0</v>
      </c>
      <c r="G55" cm="1">
        <f t="array" ref="G55">delta_call(D55,A55,E55,B55,F55,C55)</f>
        <v>3.2160999955850558E-3</v>
      </c>
      <c r="H55" cm="1">
        <f t="array" ref="H55">delta_put(D55,A55,E55,B55,F55,C55)</f>
        <v>-0.99678390000441497</v>
      </c>
      <c r="I55" cm="1">
        <f t="array" ref="I55">theta_call(D55,A55,E55,B55,F55,C55)</f>
        <v>-0.10999262544386665</v>
      </c>
      <c r="J55" cm="1">
        <f t="array" ref="J55">theta_put(D55,A55,E55,B55,F55,C55)</f>
        <v>-0.10600859348649068</v>
      </c>
      <c r="K55" cm="1">
        <f t="array" ref="K55">gamma_new(D55,A55,E55,B55,F55,C55)</f>
        <v>1.100075981489598E-3</v>
      </c>
      <c r="L55" cm="1">
        <f t="array" ref="L55">vega_new(D55,A55,E55,B55,F55,C55)</f>
        <v>0.43122978474392237</v>
      </c>
      <c r="M55" cm="1">
        <f t="array" ref="M55">rho_call(D55,A55,E55,B55,F55,C55)</f>
        <v>8.6710702538517648E-2</v>
      </c>
      <c r="N55" cm="1">
        <f t="array" ref="N55">rho_put(D55,A55,E55,B55,F55,C55)</f>
        <v>-39.75360887122114</v>
      </c>
    </row>
    <row r="56" spans="1:14" x14ac:dyDescent="0.3">
      <c r="A56">
        <v>100</v>
      </c>
      <c r="B56">
        <f t="shared" si="3"/>
        <v>0.01</v>
      </c>
      <c r="C56">
        <v>0.2</v>
      </c>
      <c r="D56">
        <v>75</v>
      </c>
      <c r="E56">
        <v>0.4</v>
      </c>
      <c r="F56">
        <v>0</v>
      </c>
      <c r="G56" cm="1">
        <f t="array" ref="G56">delta_call(D56,A56,E56,B56,F56,C56)</f>
        <v>1.4648825269289092E-2</v>
      </c>
      <c r="H56" cm="1">
        <f t="array" ref="H56">delta_put(D56,A56,E56,B56,F56,C56)</f>
        <v>-0.98535117473071088</v>
      </c>
      <c r="I56" cm="1">
        <f t="array" ref="I56">theta_call(D56,A56,E56,B56,F56,C56)</f>
        <v>-0.45063050525740223</v>
      </c>
      <c r="J56" cm="1">
        <f t="array" ref="J56">theta_put(D56,A56,E56,B56,F56,C56)</f>
        <v>-0.44664647330002627</v>
      </c>
      <c r="K56" cm="1">
        <f t="array" ref="K56">gamma_new(D56,A56,E56,B56,F56,C56)</f>
        <v>3.9113907532951553E-3</v>
      </c>
      <c r="L56" cm="1">
        <f t="array" ref="L56">vega_new(D56,A56,E56,B56,F56,C56)</f>
        <v>1.76012583898282</v>
      </c>
      <c r="M56" cm="1">
        <f t="array" ref="M56">rho_call(D56,A56,E56,B56,F56,C56)</f>
        <v>0.42058365657656555</v>
      </c>
      <c r="N56" cm="1">
        <f t="array" ref="N56">rho_put(D56,A56,E56,B56,F56,C56)</f>
        <v>-39.41973591718309</v>
      </c>
    </row>
    <row r="57" spans="1:14" x14ac:dyDescent="0.3">
      <c r="A57">
        <v>100</v>
      </c>
      <c r="B57">
        <f t="shared" si="3"/>
        <v>0.01</v>
      </c>
      <c r="C57">
        <v>0.2</v>
      </c>
      <c r="D57">
        <v>80</v>
      </c>
      <c r="E57">
        <v>0.4</v>
      </c>
      <c r="F57">
        <v>0</v>
      </c>
      <c r="G57" cm="1">
        <f t="array" ref="G57">delta_call(D57,A57,E57,B57,F57,C57)</f>
        <v>4.7535275559280651E-2</v>
      </c>
      <c r="H57" cm="1">
        <f t="array" ref="H57">delta_put(D57,A57,E57,B57,F57,C57)</f>
        <v>-0.95246472444071939</v>
      </c>
      <c r="I57" cm="1">
        <f t="array" ref="I57">theta_call(D57,A57,E57,B57,F57,C57)</f>
        <v>-1.2893300066599218</v>
      </c>
      <c r="J57" cm="1">
        <f t="array" ref="J57">theta_put(D57,A57,E57,B57,F57,C57)</f>
        <v>-1.2853459747025457</v>
      </c>
      <c r="K57" cm="1">
        <f t="array" ref="K57">gamma_new(D57,A57,E57,B57,F57,C57)</f>
        <v>9.7884039294375228E-3</v>
      </c>
      <c r="L57" cm="1">
        <f t="array" ref="L57">vega_new(D57,A57,E57,B57,F57,C57)</f>
        <v>5.0116628118720126</v>
      </c>
      <c r="M57" cm="1">
        <f t="array" ref="M57">rho_call(D57,A57,E57,B57,F57,C57)</f>
        <v>1.4449660567580991</v>
      </c>
      <c r="N57" cm="1">
        <f t="array" ref="N57">rho_put(D57,A57,E57,B57,F57,C57)</f>
        <v>-38.39535351700156</v>
      </c>
    </row>
    <row r="58" spans="1:14" x14ac:dyDescent="0.3">
      <c r="A58">
        <v>100</v>
      </c>
      <c r="B58">
        <f t="shared" si="3"/>
        <v>0.01</v>
      </c>
      <c r="C58">
        <v>0.2</v>
      </c>
      <c r="D58">
        <v>85</v>
      </c>
      <c r="E58">
        <v>0.4</v>
      </c>
      <c r="F58">
        <v>0</v>
      </c>
      <c r="G58" cm="1">
        <f t="array" ref="G58">delta_call(D58,A58,E58,B58,F58,C58)</f>
        <v>0.11703172121234477</v>
      </c>
      <c r="H58" cm="1">
        <f t="array" ref="H58">delta_put(D58,A58,E58,B58,F58,C58)</f>
        <v>-0.88296827878765527</v>
      </c>
      <c r="I58" cm="1">
        <f t="array" ref="I58">theta_call(D58,A58,E58,B58,F58,C58)</f>
        <v>-2.7356976787449363</v>
      </c>
      <c r="J58" cm="1">
        <f t="array" ref="J58">theta_put(D58,A58,E58,B58,F58,C58)</f>
        <v>-2.7317136467875605</v>
      </c>
      <c r="K58" cm="1">
        <f t="array" ref="K58">gamma_new(D58,A58,E58,B58,F58,C58)</f>
        <v>1.8278954822369093E-2</v>
      </c>
      <c r="L58" cm="1">
        <f t="array" ref="L58">vega_new(D58,A58,E58,B58,F58,C58)</f>
        <v>10.565235887329337</v>
      </c>
      <c r="M58" cm="1">
        <f t="array" ref="M58">rho_call(D58,A58,E58,B58,F58,C58)</f>
        <v>3.7454643863001102</v>
      </c>
      <c r="N58" cm="1">
        <f t="array" ref="N58">rho_put(D58,A58,E58,B58,F58,C58)</f>
        <v>-36.094855187459544</v>
      </c>
    </row>
    <row r="59" spans="1:14" x14ac:dyDescent="0.3">
      <c r="A59">
        <v>100</v>
      </c>
      <c r="B59">
        <f t="shared" si="3"/>
        <v>0.01</v>
      </c>
      <c r="C59">
        <v>0.2</v>
      </c>
      <c r="D59">
        <v>90</v>
      </c>
      <c r="E59">
        <v>0.4</v>
      </c>
      <c r="F59">
        <v>0</v>
      </c>
      <c r="G59" cm="1">
        <f t="array" ref="G59">delta_call(D59,A59,E59,B59,F59,C59)</f>
        <v>0.23023301469857285</v>
      </c>
      <c r="H59" cm="1">
        <f t="array" ref="H59">delta_put(D59,A59,E59,B59,F59,C59)</f>
        <v>-0.76976698530142718</v>
      </c>
      <c r="I59" cm="1">
        <f t="array" ref="I59">theta_call(D59,A59,E59,B59,F59,C59)</f>
        <v>-4.5178499312311313</v>
      </c>
      <c r="J59" cm="1">
        <f t="array" ref="J59">theta_put(D59,A59,E59,B59,F59,C59)</f>
        <v>-4.513865899273755</v>
      </c>
      <c r="K59" cm="1">
        <f t="array" ref="K59">gamma_new(D59,A59,E59,B59,F59,C59)</f>
        <v>2.6687880405210144E-2</v>
      </c>
      <c r="L59" cm="1">
        <f t="array" ref="L59">vega_new(D59,A59,E59,B59,F59,C59)</f>
        <v>17.293746502576173</v>
      </c>
      <c r="M59" cm="1">
        <f t="array" ref="M59">rho_call(D59,A59,E59,B59,F59,C59)</f>
        <v>7.7145681524544099</v>
      </c>
      <c r="N59" cm="1">
        <f t="array" ref="N59">rho_put(D59,A59,E59,B59,F59,C59)</f>
        <v>-32.125751421305246</v>
      </c>
    </row>
    <row r="60" spans="1:14" x14ac:dyDescent="0.3">
      <c r="A60">
        <v>100</v>
      </c>
      <c r="B60">
        <f t="shared" si="3"/>
        <v>0.01</v>
      </c>
      <c r="C60">
        <v>0.2</v>
      </c>
      <c r="D60">
        <v>95</v>
      </c>
      <c r="E60">
        <v>0.4</v>
      </c>
      <c r="F60">
        <v>0</v>
      </c>
      <c r="G60" cm="1">
        <f t="array" ref="G60">delta_call(D60,A60,E60,B60,F60,C60)</f>
        <v>0.3780368656656477</v>
      </c>
      <c r="H60" cm="1">
        <f t="array" ref="H60">delta_put(D60,A60,E60,B60,F60,C60)</f>
        <v>-0.62196313433435235</v>
      </c>
      <c r="I60" cm="1">
        <f t="array" ref="I60">theta_call(D60,A60,E60,B60,F60,C60)</f>
        <v>-6.0425102069576599</v>
      </c>
      <c r="J60" cm="1">
        <f t="array" ref="J60">theta_put(D60,A60,E60,B60,F60,C60)</f>
        <v>-6.0385261750002837</v>
      </c>
      <c r="K60" cm="1">
        <f t="array" ref="K60">gamma_new(D60,A60,E60,B60,F60,C60)</f>
        <v>3.1635322258043573E-2</v>
      </c>
      <c r="L60" cm="1">
        <f t="array" ref="L60">vega_new(D60,A60,E60,B60,F60,C60)</f>
        <v>22.840702670307461</v>
      </c>
      <c r="M60" cm="1">
        <f t="array" ref="M60">rho_call(D60,A60,E60,B60,F60,C60)</f>
        <v>13.187458778736866</v>
      </c>
      <c r="N60" cm="1">
        <f t="array" ref="N60">rho_put(D60,A60,E60,B60,F60,C60)</f>
        <v>-26.652860795022789</v>
      </c>
    </row>
    <row r="61" spans="1:14" x14ac:dyDescent="0.3">
      <c r="A61">
        <v>100</v>
      </c>
      <c r="B61">
        <f t="shared" si="3"/>
        <v>0.01</v>
      </c>
      <c r="C61">
        <v>0.2</v>
      </c>
      <c r="D61">
        <v>100</v>
      </c>
      <c r="E61">
        <v>0.4</v>
      </c>
      <c r="F61">
        <v>0</v>
      </c>
      <c r="G61" cm="1">
        <f t="array" ref="G61">delta_call(D61,A61,E61,B61,F61,C61)</f>
        <v>0.53779029390666466</v>
      </c>
      <c r="H61" cm="1">
        <f t="array" ref="H61">delta_put(D61,A61,E61,B61,F61,C61)</f>
        <v>-0.46220970609333534</v>
      </c>
      <c r="I61" cm="1">
        <f t="array" ref="I61">theta_call(D61,A61,E61,B61,F61,C61)</f>
        <v>-6.7688497250163575</v>
      </c>
      <c r="J61" cm="1">
        <f t="array" ref="J61">theta_put(D61,A61,E61,B61,F61,C61)</f>
        <v>-6.7648656930589812</v>
      </c>
      <c r="K61" cm="1">
        <f t="array" ref="K61">gamma_new(D61,A61,E61,B61,F61,C61)</f>
        <v>3.1397549176385639E-2</v>
      </c>
      <c r="L61" cm="1">
        <f t="array" ref="L61">vega_new(D61,A61,E61,B61,F61,C61)</f>
        <v>25.118039341108513</v>
      </c>
      <c r="M61" cm="1">
        <f t="array" ref="M61">rho_call(D61,A61,E61,B61,F61,C61)</f>
        <v>19.417631512966548</v>
      </c>
      <c r="N61" cm="1">
        <f t="array" ref="N61">rho_put(D61,A61,E61,B61,F61,C61)</f>
        <v>-20.42268806079311</v>
      </c>
    </row>
    <row r="62" spans="1:14" x14ac:dyDescent="0.3">
      <c r="A62">
        <v>100</v>
      </c>
      <c r="B62">
        <f t="shared" si="3"/>
        <v>0.01</v>
      </c>
      <c r="C62">
        <v>0.2</v>
      </c>
      <c r="D62">
        <v>105</v>
      </c>
      <c r="E62">
        <v>0.4</v>
      </c>
      <c r="F62">
        <v>0</v>
      </c>
      <c r="G62" cm="1">
        <f t="array" ref="G62">delta_call(D62,A62,E62,B62,F62,C62)</f>
        <v>0.68459548536557624</v>
      </c>
      <c r="H62" cm="1">
        <f t="array" ref="H62">delta_put(D62,A62,E62,B62,F62,C62)</f>
        <v>-0.31540451463442376</v>
      </c>
      <c r="I62" cm="1">
        <f t="array" ref="I62">theta_call(D62,A62,E62,B62,F62,C62)</f>
        <v>-6.5417936390512477</v>
      </c>
      <c r="J62" cm="1">
        <f t="array" ref="J62">theta_put(D62,A62,E62,B62,F62,C62)</f>
        <v>-6.5378096070938714</v>
      </c>
      <c r="K62" cm="1">
        <f t="array" ref="K62">gamma_new(D62,A62,E62,B62,F62,C62)</f>
        <v>2.6761306237360675E-2</v>
      </c>
      <c r="L62" cm="1">
        <f t="array" ref="L62">vega_new(D62,A62,E62,B62,F62,C62)</f>
        <v>23.603472101352114</v>
      </c>
      <c r="M62" cm="1">
        <f t="array" ref="M62">rho_call(D62,A62,E62,B62,F62,C62)</f>
        <v>25.432746553601696</v>
      </c>
      <c r="N62" cm="1">
        <f t="array" ref="N62">rho_put(D62,A62,E62,B62,F62,C62)</f>
        <v>-14.407573020157962</v>
      </c>
    </row>
    <row r="63" spans="1:14" x14ac:dyDescent="0.3">
      <c r="A63">
        <v>100</v>
      </c>
      <c r="B63">
        <f t="shared" si="3"/>
        <v>0.01</v>
      </c>
      <c r="C63">
        <v>0.2</v>
      </c>
      <c r="D63">
        <v>110</v>
      </c>
      <c r="E63">
        <v>0.4</v>
      </c>
      <c r="F63">
        <v>0</v>
      </c>
      <c r="G63" cm="1">
        <f t="array" ref="G63">delta_call(D63,A63,E63,B63,F63,C63)</f>
        <v>0.80188165059672933</v>
      </c>
      <c r="H63" cm="1">
        <f t="array" ref="H63">delta_put(D63,A63,E63,B63,F63,C63)</f>
        <v>-0.19811834940327067</v>
      </c>
      <c r="I63" cm="1">
        <f t="array" ref="I63">theta_call(D63,A63,E63,B63,F63,C63)</f>
        <v>-5.6094699408891664</v>
      </c>
      <c r="J63" cm="1">
        <f t="array" ref="J63">theta_put(D63,A63,E63,B63,F63,C63)</f>
        <v>-5.6054859089317901</v>
      </c>
      <c r="K63" cm="1">
        <f t="array" ref="K63">gamma_new(D63,A63,E63,B63,F63,C63)</f>
        <v>2.0006577096239694E-2</v>
      </c>
      <c r="L63" cm="1">
        <f t="array" ref="L63">vega_new(D63,A63,E63,B63,F63,C63)</f>
        <v>19.366366629160026</v>
      </c>
      <c r="M63" cm="1">
        <f t="array" ref="M63">rho_call(D63,A63,E63,B63,F63,C63)</f>
        <v>30.470390561626747</v>
      </c>
      <c r="N63" cm="1">
        <f t="array" ref="N63">rho_put(D63,A63,E63,B63,F63,C63)</f>
        <v>-9.3699290121329106</v>
      </c>
    </row>
    <row r="64" spans="1:14" x14ac:dyDescent="0.3">
      <c r="A64">
        <v>100</v>
      </c>
      <c r="B64">
        <f t="shared" si="3"/>
        <v>0.01</v>
      </c>
      <c r="C64">
        <v>0.2</v>
      </c>
      <c r="D64">
        <v>115</v>
      </c>
      <c r="E64">
        <v>0.4</v>
      </c>
      <c r="F64">
        <v>0</v>
      </c>
      <c r="G64" cm="1">
        <f t="array" ref="G64">delta_call(D64,A64,E64,B64,F64,C64)</f>
        <v>0.88488828305391432</v>
      </c>
      <c r="H64" cm="1">
        <f t="array" ref="H64">delta_put(D64,A64,E64,B64,F64,C64)</f>
        <v>-0.11511171694608568</v>
      </c>
      <c r="I64" cm="1">
        <f t="array" ref="I64">theta_call(D64,A64,E64,B64,F64,C64)</f>
        <v>-4.3936917737208683</v>
      </c>
      <c r="J64" cm="1">
        <f t="array" ref="J64">theta_put(D64,A64,E64,B64,F64,C64)</f>
        <v>-4.389707741763492</v>
      </c>
      <c r="K64" cm="1">
        <f t="array" ref="K64">gamma_new(D64,A64,E64,B64,F64,C64)</f>
        <v>1.3352820984703353E-2</v>
      </c>
      <c r="L64" cm="1">
        <f t="array" ref="L64">vega_new(D64,A64,E64,B64,F64,C64)</f>
        <v>14.127284601816148</v>
      </c>
      <c r="M64" cm="1">
        <f t="array" ref="M64">rho_call(D64,A64,E64,B64,F64,C64)</f>
        <v>34.200126589648207</v>
      </c>
      <c r="N64" cm="1">
        <f t="array" ref="N64">rho_put(D64,A64,E64,B64,F64,C64)</f>
        <v>-5.6401929841114509</v>
      </c>
    </row>
    <row r="65" spans="1:14" x14ac:dyDescent="0.3">
      <c r="A65">
        <v>100</v>
      </c>
      <c r="B65">
        <f t="shared" si="3"/>
        <v>0.01</v>
      </c>
      <c r="C65">
        <v>0.2</v>
      </c>
      <c r="D65">
        <v>120</v>
      </c>
      <c r="E65">
        <v>0.4</v>
      </c>
      <c r="F65">
        <v>0</v>
      </c>
      <c r="G65" cm="1">
        <f t="array" ref="G65">delta_call(D65,A65,E65,B65,F65,C65)</f>
        <v>0.93776106845399343</v>
      </c>
      <c r="H65" cm="1">
        <f t="array" ref="H65">delta_put(D65,A65,E65,B65,F65,C65)</f>
        <v>-6.2238931546006571E-2</v>
      </c>
      <c r="I65" cm="1">
        <f t="array" ref="I65">theta_call(D65,A65,E65,B65,F65,C65)</f>
        <v>-3.2502361218147513</v>
      </c>
      <c r="J65" cm="1">
        <f t="array" ref="J65">theta_put(D65,A65,E65,B65,F65,C65)</f>
        <v>-3.2462520898573755</v>
      </c>
      <c r="K65" cm="1">
        <f t="array" ref="K65">gamma_new(D65,A65,E65,B65,F65,C65)</f>
        <v>8.0758746095868552E-3</v>
      </c>
      <c r="L65" cm="1">
        <f t="array" ref="L65">vega_new(D65,A65,E65,B65,F65,C65)</f>
        <v>9.3034075502440565</v>
      </c>
      <c r="M65" cm="1">
        <f t="array" ref="M65">rho_call(D65,A65,E65,B65,F65,C65)</f>
        <v>36.680746478076991</v>
      </c>
      <c r="N65" cm="1">
        <f t="array" ref="N65">rho_put(D65,A65,E65,B65,F65,C65)</f>
        <v>-3.1595730956826671</v>
      </c>
    </row>
    <row r="66" spans="1:14" x14ac:dyDescent="0.3">
      <c r="A66">
        <v>100</v>
      </c>
      <c r="B66">
        <f t="shared" si="3"/>
        <v>0.01</v>
      </c>
      <c r="C66">
        <v>0.2</v>
      </c>
      <c r="D66">
        <v>125</v>
      </c>
      <c r="E66">
        <v>0.4</v>
      </c>
      <c r="F66">
        <v>0</v>
      </c>
      <c r="G66" cm="1">
        <f t="array" ref="G66">delta_call(D66,A66,E66,B66,F66,C66)</f>
        <v>0.96848451708238714</v>
      </c>
      <c r="H66" cm="1">
        <f t="array" ref="H66">delta_put(D66,A66,E66,B66,F66,C66)</f>
        <v>-3.1515482917612858E-2</v>
      </c>
      <c r="I66" cm="1">
        <f t="array" ref="I66">theta_call(D66,A66,E66,B66,F66,C66)</f>
        <v>-2.3630497435975277</v>
      </c>
      <c r="J66" cm="1">
        <f t="array" ref="J66">theta_put(D66,A66,E66,B66,F66,C66)</f>
        <v>-2.3590657116401519</v>
      </c>
      <c r="K66" cm="1">
        <f t="array" ref="K66">gamma_new(D66,A66,E66,B66,F66,C66)</f>
        <v>4.4825674910614196E-3</v>
      </c>
      <c r="L66" cm="1">
        <f t="array" ref="L66">vega_new(D66,A66,E66,B66,F66,C66)</f>
        <v>5.6032093638267746</v>
      </c>
      <c r="M66" cm="1">
        <f t="array" ref="M66">rho_call(D66,A66,E66,B66,F66,C66)</f>
        <v>38.183205335550987</v>
      </c>
      <c r="N66" cm="1">
        <f t="array" ref="N66">rho_put(D66,A66,E66,B66,F66,C66)</f>
        <v>-1.6571142382086705</v>
      </c>
    </row>
    <row r="67" spans="1:14" x14ac:dyDescent="0.3">
      <c r="A67">
        <v>100</v>
      </c>
      <c r="B67">
        <f t="shared" si="3"/>
        <v>0.01</v>
      </c>
      <c r="C67">
        <v>0.2</v>
      </c>
      <c r="D67">
        <v>130</v>
      </c>
      <c r="E67">
        <v>0.4</v>
      </c>
      <c r="F67">
        <v>0</v>
      </c>
      <c r="G67" cm="1">
        <f t="array" ref="G67">delta_call(D67,A67,E67,B67,F67,C67)</f>
        <v>0.98496017489321974</v>
      </c>
      <c r="H67" cm="1">
        <f t="array" ref="H67">delta_put(D67,A67,E67,B67,F67,C67)</f>
        <v>-1.5039825106780258E-2</v>
      </c>
      <c r="I67" cm="1">
        <f t="array" ref="I67">theta_call(D67,A67,E67,B67,F67,C67)</f>
        <v>-1.7635724087074318</v>
      </c>
      <c r="J67" cm="1">
        <f t="array" ref="J67">theta_put(D67,A67,E67,B67,F67,C67)</f>
        <v>-1.7595883767500557</v>
      </c>
      <c r="K67" cm="1">
        <f t="array" ref="K67">gamma_new(D67,A67,E67,B67,F67,C67)</f>
        <v>2.3082701661092642E-3</v>
      </c>
      <c r="L67" cm="1">
        <f t="array" ref="L67">vega_new(D67,A67,E67,B67,F67,C67)</f>
        <v>3.1207812645797248</v>
      </c>
      <c r="M67" cm="1">
        <f t="array" ref="M67">rho_call(D67,A67,E67,B67,F67,C67)</f>
        <v>39.021658405667154</v>
      </c>
      <c r="N67" cm="1">
        <f t="array" ref="N67">rho_put(D67,A67,E67,B67,F67,C67)</f>
        <v>-0.818661168092504</v>
      </c>
    </row>
    <row r="68" spans="1:14" x14ac:dyDescent="0.3">
      <c r="A68">
        <v>100</v>
      </c>
      <c r="B68">
        <f t="shared" si="3"/>
        <v>0.01</v>
      </c>
      <c r="C68">
        <v>0.2</v>
      </c>
      <c r="D68">
        <v>135</v>
      </c>
      <c r="E68">
        <v>0.4</v>
      </c>
      <c r="F68">
        <v>0</v>
      </c>
      <c r="G68" cm="1">
        <f t="array" ref="G68">delta_call(D68,A68,E68,B68,F68,C68)</f>
        <v>0.99319515409537595</v>
      </c>
      <c r="H68" cm="1">
        <f t="array" ref="H68">delta_put(D68,A68,E68,B68,F68,C68)</f>
        <v>-6.8048459046240461E-3</v>
      </c>
      <c r="I68" cm="1">
        <f t="array" ref="I68">theta_call(D68,A68,E68,B68,F68,C68)</f>
        <v>-1.400050279934675</v>
      </c>
      <c r="J68" cm="1">
        <f t="array" ref="J68">theta_put(D68,A68,E68,B68,F68,C68)</f>
        <v>-1.3960662479772989</v>
      </c>
      <c r="K68" cm="1">
        <f t="array" ref="K68">gamma_new(D68,A68,E68,B68,F68,C68)</f>
        <v>1.1130292486590083E-3</v>
      </c>
      <c r="L68" cm="1">
        <f t="array" ref="L68">vega_new(D68,A68,E68,B68,F68,C68)</f>
        <v>1.6227966445448345</v>
      </c>
      <c r="M68" cm="1">
        <f t="array" ref="M68">rho_call(D68,A68,E68,B68,F68,C68)</f>
        <v>39.457121776080648</v>
      </c>
      <c r="N68" cm="1">
        <f t="array" ref="N68">rho_put(D68,A68,E68,B68,F68,C68)</f>
        <v>-0.38319779767900997</v>
      </c>
    </row>
    <row r="69" spans="1:14" x14ac:dyDescent="0.3">
      <c r="A69">
        <v>100</v>
      </c>
      <c r="B69">
        <f t="shared" si="3"/>
        <v>0.01</v>
      </c>
      <c r="C69">
        <v>0.2</v>
      </c>
      <c r="D69">
        <v>140</v>
      </c>
      <c r="E69">
        <v>0.4</v>
      </c>
      <c r="F69">
        <v>0</v>
      </c>
      <c r="G69" cm="1">
        <f t="array" ref="G69">delta_call(D69,A69,E69,B69,F69,C69)</f>
        <v>0.99706463005532564</v>
      </c>
      <c r="H69" cm="1">
        <f t="array" ref="H69">delta_put(D69,A69,E69,B69,F69,C69)</f>
        <v>-2.9353699446743597E-3</v>
      </c>
      <c r="I69" cm="1">
        <f t="array" ref="I69">theta_call(D69,A69,E69,B69,F69,C69)</f>
        <v>-1.1982915287345368</v>
      </c>
      <c r="J69" cm="1">
        <f t="array" ref="J69">theta_put(D69,A69,E69,B69,F69,C69)</f>
        <v>-1.1943074967771607</v>
      </c>
      <c r="K69" cm="1">
        <f t="array" ref="K69">gamma_new(D69,A69,E69,B69,F69,C69)</f>
        <v>5.0660659975445025E-4</v>
      </c>
      <c r="L69" cm="1">
        <f t="array" ref="L69">vega_new(D69,A69,E69,B69,F69,C69)</f>
        <v>0.79435914841497801</v>
      </c>
      <c r="M69" cm="1">
        <f t="array" ref="M69">rho_call(D69,A69,E69,B69,F69,C69)</f>
        <v>39.669441320637574</v>
      </c>
      <c r="N69" cm="1">
        <f t="array" ref="N69">rho_put(D69,A69,E69,B69,F69,C69)</f>
        <v>-0.17087825312208338</v>
      </c>
    </row>
    <row r="70" spans="1:14" x14ac:dyDescent="0.3">
      <c r="A70">
        <v>100</v>
      </c>
      <c r="B70">
        <f>1/100</f>
        <v>0.01</v>
      </c>
      <c r="C70">
        <v>0.2</v>
      </c>
      <c r="D70">
        <v>60</v>
      </c>
      <c r="E70">
        <v>0.5</v>
      </c>
      <c r="F70">
        <v>0</v>
      </c>
      <c r="G70" cm="1">
        <f t="array" ref="G70">delta_call(D70,A70,E70,B70,F70,C70)</f>
        <v>2.2743341786876357E-4</v>
      </c>
      <c r="H70" cm="1">
        <f t="array" ref="H70">delta_put(D70,A70,E70,B70,F70,C70)</f>
        <v>-0.99977256658213121</v>
      </c>
      <c r="I70" cm="1">
        <f t="array" ref="I70">theta_call(D70,A70,E70,B70,F70,C70)</f>
        <v>-7.3836207386308644E-3</v>
      </c>
      <c r="J70" cm="1">
        <f t="array" ref="J70">theta_put(D70,A70,E70,B70,F70,C70)</f>
        <v>-2.4085583426674525E-3</v>
      </c>
      <c r="K70" cm="1">
        <f t="array" ref="K70">gamma_new(D70,A70,E70,B70,F70,C70)</f>
        <v>1.0070170546498096E-4</v>
      </c>
      <c r="L70" cm="1">
        <f t="array" ref="L70">vega_new(D70,A70,E70,B70,F70,C70)</f>
        <v>3.6252613967393155E-2</v>
      </c>
      <c r="M70" cm="1">
        <f t="array" ref="M70">rho_call(D70,A70,E70,B70,F70,C70)</f>
        <v>6.5886799235162479E-3</v>
      </c>
      <c r="N70" cm="1">
        <f t="array" ref="N70">rho_put(D70,A70,E70,B70,F70,C70)</f>
        <v>-49.744035279710602</v>
      </c>
    </row>
    <row r="71" spans="1:14" x14ac:dyDescent="0.3">
      <c r="A71">
        <v>100</v>
      </c>
      <c r="B71">
        <f t="shared" ref="B71:B86" si="4">1/100</f>
        <v>0.01</v>
      </c>
      <c r="C71">
        <v>0.2</v>
      </c>
      <c r="D71">
        <v>65</v>
      </c>
      <c r="E71">
        <v>0.5</v>
      </c>
      <c r="F71">
        <v>0</v>
      </c>
      <c r="G71" cm="1">
        <f t="array" ref="G71">delta_call(D71,A71,E71,B71,F71,C71)</f>
        <v>1.6409066155964737E-3</v>
      </c>
      <c r="H71" cm="1">
        <f t="array" ref="H71">delta_put(D71,A71,E71,B71,F71,C71)</f>
        <v>-0.99835909338440354</v>
      </c>
      <c r="I71" cm="1">
        <f t="array" ref="I71">theta_call(D71,A71,E71,B71,F71,C71)</f>
        <v>-4.9717006137903044E-2</v>
      </c>
      <c r="J71" cm="1">
        <f t="array" ref="J71">theta_put(D71,A71,E71,B71,F71,C71)</f>
        <v>-4.4741943741939634E-2</v>
      </c>
      <c r="K71" cm="1">
        <f t="array" ref="K71">gamma_new(D71,A71,E71,B71,F71,C71)</f>
        <v>5.7611680391896742E-4</v>
      </c>
      <c r="L71" cm="1">
        <f t="array" ref="L71">vega_new(D71,A71,E71,B71,F71,C71)</f>
        <v>0.24340934965576377</v>
      </c>
      <c r="M71" cm="1">
        <f t="array" ref="M71">rho_call(D71,A71,E71,B71,F71,C71)</f>
        <v>5.1241821470043636E-2</v>
      </c>
      <c r="N71" cm="1">
        <f t="array" ref="N71">rho_put(D71,A71,E71,B71,F71,C71)</f>
        <v>-49.699382138164076</v>
      </c>
    </row>
    <row r="72" spans="1:14" x14ac:dyDescent="0.3">
      <c r="A72">
        <v>100</v>
      </c>
      <c r="B72">
        <f t="shared" si="4"/>
        <v>0.01</v>
      </c>
      <c r="C72">
        <v>0.2</v>
      </c>
      <c r="D72">
        <v>70</v>
      </c>
      <c r="E72">
        <v>0.5</v>
      </c>
      <c r="F72">
        <v>0</v>
      </c>
      <c r="G72" cm="1">
        <f t="array" ref="G72">delta_call(D72,A72,E72,B72,F72,C72)</f>
        <v>7.8458863408448522E-3</v>
      </c>
      <c r="H72" cm="1">
        <f t="array" ref="H72">delta_put(D72,A72,E72,B72,F72,C72)</f>
        <v>-0.99215411365915518</v>
      </c>
      <c r="I72" cm="1">
        <f t="array" ref="I72">theta_call(D72,A72,E72,B72,F72,C72)</f>
        <v>-0.21861098627588463</v>
      </c>
      <c r="J72" cm="1">
        <f t="array" ref="J72">theta_put(D72,A72,E72,B72,F72,C72)</f>
        <v>-0.21363592387992122</v>
      </c>
      <c r="K72" cm="1">
        <f t="array" ref="K72">gamma_new(D72,A72,E72,B72,F72,C72)</f>
        <v>2.1766539744157015E-3</v>
      </c>
      <c r="L72" cm="1">
        <f t="array" ref="L72">vega_new(D72,A72,E72,B72,F72,C72)</f>
        <v>1.0665604474636938</v>
      </c>
      <c r="M72" cm="1">
        <f t="array" ref="M72">rho_call(D72,A72,E72,B72,F72,C72)</f>
        <v>0.2623085939603807</v>
      </c>
      <c r="N72" cm="1">
        <f t="array" ref="N72">rho_put(D72,A72,E72,B72,F72,C72)</f>
        <v>-49.488315365673735</v>
      </c>
    </row>
    <row r="73" spans="1:14" x14ac:dyDescent="0.3">
      <c r="A73">
        <v>100</v>
      </c>
      <c r="B73">
        <f t="shared" si="4"/>
        <v>0.01</v>
      </c>
      <c r="C73">
        <v>0.2</v>
      </c>
      <c r="D73">
        <v>75</v>
      </c>
      <c r="E73">
        <v>0.5</v>
      </c>
      <c r="F73">
        <v>0</v>
      </c>
      <c r="G73" cm="1">
        <f t="array" ref="G73">delta_call(D73,A73,E73,B73,F73,C73)</f>
        <v>2.6918022682862655E-2</v>
      </c>
      <c r="H73" cm="1">
        <f t="array" ref="H73">delta_put(D73,A73,E73,B73,F73,C73)</f>
        <v>-0.9730819773171373</v>
      </c>
      <c r="I73" cm="1">
        <f t="array" ref="I73">theta_call(D73,A73,E73,B73,F73,C73)</f>
        <v>-0.67879215763863099</v>
      </c>
      <c r="J73" cm="1">
        <f t="array" ref="J73">theta_put(D73,A73,E73,B73,F73,C73)</f>
        <v>-0.67381709524266753</v>
      </c>
      <c r="K73" cm="1">
        <f t="array" ref="K73">gamma_new(D73,A73,E73,B73,F73,C73)</f>
        <v>5.8617741810673704E-3</v>
      </c>
      <c r="L73" cm="1">
        <f t="array" ref="L73">vega_new(D73,A73,E73,B73,F73,C73)</f>
        <v>3.2972479768503962</v>
      </c>
      <c r="M73" cm="1">
        <f t="array" ref="M73">rho_call(D73,A73,E73,B73,F73,C73)</f>
        <v>0.95750502791312742</v>
      </c>
      <c r="N73" cm="1">
        <f t="array" ref="N73">rho_put(D73,A73,E73,B73,F73,C73)</f>
        <v>-48.79311893172099</v>
      </c>
    </row>
    <row r="74" spans="1:14" x14ac:dyDescent="0.3">
      <c r="A74">
        <v>100</v>
      </c>
      <c r="B74">
        <f t="shared" si="4"/>
        <v>0.01</v>
      </c>
      <c r="C74">
        <v>0.2</v>
      </c>
      <c r="D74">
        <v>80</v>
      </c>
      <c r="E74">
        <v>0.5</v>
      </c>
      <c r="F74">
        <v>0</v>
      </c>
      <c r="G74" cm="1">
        <f t="array" ref="G74">delta_call(D74,A74,E74,B74,F74,C74)</f>
        <v>7.0537829580775729E-2</v>
      </c>
      <c r="H74" cm="1">
        <f t="array" ref="H74">delta_put(D74,A74,E74,B74,F74,C74)</f>
        <v>-0.9294621704192243</v>
      </c>
      <c r="I74" cm="1">
        <f t="array" ref="I74">theta_call(D74,A74,E74,B74,F74,C74)</f>
        <v>-1.5816517769788825</v>
      </c>
      <c r="J74" cm="1">
        <f t="array" ref="J74">theta_put(D74,A74,E74,B74,F74,C74)</f>
        <v>-1.576676714582919</v>
      </c>
      <c r="K74" cm="1">
        <f t="array" ref="K74">gamma_new(D74,A74,E74,B74,F74,C74)</f>
        <v>1.1937780047109169E-2</v>
      </c>
      <c r="L74" cm="1">
        <f t="array" ref="L74">vega_new(D74,A74,E74,B74,F74,C74)</f>
        <v>7.6401792301498688</v>
      </c>
      <c r="M74" cm="1">
        <f t="array" ref="M74">rho_call(D74,A74,E74,B74,F74,C74)</f>
        <v>2.6541221761137002</v>
      </c>
      <c r="N74" cm="1">
        <f t="array" ref="N74">rho_put(D74,A74,E74,B74,F74,C74)</f>
        <v>-47.096501783520416</v>
      </c>
    </row>
    <row r="75" spans="1:14" x14ac:dyDescent="0.3">
      <c r="A75">
        <v>100</v>
      </c>
      <c r="B75">
        <f t="shared" si="4"/>
        <v>0.01</v>
      </c>
      <c r="C75">
        <v>0.2</v>
      </c>
      <c r="D75">
        <v>85</v>
      </c>
      <c r="E75">
        <v>0.5</v>
      </c>
      <c r="F75">
        <v>0</v>
      </c>
      <c r="G75" cm="1">
        <f t="array" ref="G75">delta_call(D75,A75,E75,B75,F75,C75)</f>
        <v>0.14844720364554423</v>
      </c>
      <c r="H75" cm="1">
        <f t="array" ref="H75">delta_put(D75,A75,E75,B75,F75,C75)</f>
        <v>-0.8515527963544558</v>
      </c>
      <c r="I75" cm="1">
        <f t="array" ref="I75">theta_call(D75,A75,E75,B75,F75,C75)</f>
        <v>-2.9020424477884981</v>
      </c>
      <c r="J75" cm="1">
        <f t="array" ref="J75">theta_put(D75,A75,E75,B75,F75,C75)</f>
        <v>-2.8970673853925346</v>
      </c>
      <c r="K75" cm="1">
        <f t="array" ref="K75">gamma_new(D75,A75,E75,B75,F75,C75)</f>
        <v>1.9261939996234254E-2</v>
      </c>
      <c r="L75" cm="1">
        <f t="array" ref="L75">vega_new(D75,A75,E75,B75,F75,C75)</f>
        <v>13.91675164727925</v>
      </c>
      <c r="M75" cm="1">
        <f t="array" ref="M75">rho_call(D75,A75,E75,B75,F75,C75)</f>
        <v>5.8755556011287497</v>
      </c>
      <c r="N75" cm="1">
        <f t="array" ref="N75">rho_put(D75,A75,E75,B75,F75,C75)</f>
        <v>-43.875068358505366</v>
      </c>
    </row>
    <row r="76" spans="1:14" x14ac:dyDescent="0.3">
      <c r="A76">
        <v>100</v>
      </c>
      <c r="B76">
        <f t="shared" si="4"/>
        <v>0.01</v>
      </c>
      <c r="C76">
        <v>0.2</v>
      </c>
      <c r="D76">
        <v>90</v>
      </c>
      <c r="E76">
        <v>0.5</v>
      </c>
      <c r="F76">
        <v>0</v>
      </c>
      <c r="G76" cm="1">
        <f t="array" ref="G76">delta_call(D76,A76,E76,B76,F76,C76)</f>
        <v>0.26142924756390218</v>
      </c>
      <c r="H76" cm="1">
        <f t="array" ref="H76">delta_put(D76,A76,E76,B76,F76,C76)</f>
        <v>-0.73857075243609782</v>
      </c>
      <c r="I76" cm="1">
        <f t="array" ref="I76">theta_call(D76,A76,E76,B76,F76,C76)</f>
        <v>-4.3588366654630883</v>
      </c>
      <c r="J76" cm="1">
        <f t="array" ref="J76">theta_put(D76,A76,E76,B76,F76,C76)</f>
        <v>-4.3538616030671253</v>
      </c>
      <c r="K76" cm="1">
        <f t="array" ref="K76">gamma_new(D76,A76,E76,B76,F76,C76)</f>
        <v>2.5556533759819561E-2</v>
      </c>
      <c r="L76" cm="1">
        <f t="array" ref="L76">vega_new(D76,A76,E76,B76,F76,C76)</f>
        <v>20.700792345453848</v>
      </c>
      <c r="M76" cm="1">
        <f t="array" ref="M76">rho_call(D76,A76,E76,B76,F76,C76)</f>
        <v>10.82511559814913</v>
      </c>
      <c r="N76" cm="1">
        <f t="array" ref="N76">rho_put(D76,A76,E76,B76,F76,C76)</f>
        <v>-38.925508361484987</v>
      </c>
    </row>
    <row r="77" spans="1:14" x14ac:dyDescent="0.3">
      <c r="A77">
        <v>100</v>
      </c>
      <c r="B77">
        <f t="shared" si="4"/>
        <v>0.01</v>
      </c>
      <c r="C77">
        <v>0.2</v>
      </c>
      <c r="D77">
        <v>95</v>
      </c>
      <c r="E77">
        <v>0.5</v>
      </c>
      <c r="F77">
        <v>0</v>
      </c>
      <c r="G77" cm="1">
        <f t="array" ref="G77">delta_call(D77,A77,E77,B77,F77,C77)</f>
        <v>0.39873130138189328</v>
      </c>
      <c r="H77" cm="1">
        <f t="array" ref="H77">delta_put(D77,A77,E77,B77,F77,C77)</f>
        <v>-0.60126869861810672</v>
      </c>
      <c r="I77" cm="1">
        <f t="array" ref="I77">theta_call(D77,A77,E77,B77,F77,C77)</f>
        <v>-5.533202884405843</v>
      </c>
      <c r="J77" cm="1">
        <f t="array" ref="J77">theta_put(D77,A77,E77,B77,F77,C77)</f>
        <v>-5.5282278220098799</v>
      </c>
      <c r="K77" cm="1">
        <f t="array" ref="K77">gamma_new(D77,A77,E77,B77,F77,C77)</f>
        <v>2.8732281352043247E-2</v>
      </c>
      <c r="L77" cm="1">
        <f t="array" ref="L77">vega_new(D77,A77,E77,B77,F77,C77)</f>
        <v>25.930883920219031</v>
      </c>
      <c r="M77" cm="1">
        <f t="array" ref="M77">rho_call(D77,A77,E77,B77,F77,C77)</f>
        <v>17.178656648502809</v>
      </c>
      <c r="N77" cm="1">
        <f t="array" ref="N77">rho_put(D77,A77,E77,B77,F77,C77)</f>
        <v>-32.57196731113131</v>
      </c>
    </row>
    <row r="78" spans="1:14" x14ac:dyDescent="0.3">
      <c r="A78">
        <v>100</v>
      </c>
      <c r="B78">
        <f t="shared" si="4"/>
        <v>0.01</v>
      </c>
      <c r="C78">
        <v>0.2</v>
      </c>
      <c r="D78">
        <v>100</v>
      </c>
      <c r="E78">
        <v>0.5</v>
      </c>
      <c r="F78">
        <v>0</v>
      </c>
      <c r="G78" cm="1">
        <f t="array" ref="G78">delta_call(D78,A78,E78,B78,F78,C78)</f>
        <v>0.54223501331161406</v>
      </c>
      <c r="H78" cm="1">
        <f t="array" ref="H78">delta_put(D78,A78,E78,B78,F78,C78)</f>
        <v>-0.45776498668838594</v>
      </c>
      <c r="I78" cm="1">
        <f t="array" ref="I78">theta_call(D78,A78,E78,B78,F78,C78)</f>
        <v>-6.0985830340398515</v>
      </c>
      <c r="J78" cm="1">
        <f t="array" ref="J78">theta_put(D78,A78,E78,B78,F78,C78)</f>
        <v>-6.0936079716438885</v>
      </c>
      <c r="K78" cm="1">
        <f t="array" ref="K78">gamma_new(D78,A78,E78,B78,F78,C78)</f>
        <v>2.8051246304186254E-2</v>
      </c>
      <c r="L78" cm="1">
        <f t="array" ref="L78">vega_new(D78,A78,E78,B78,F78,C78)</f>
        <v>28.051246304186257</v>
      </c>
      <c r="M78" cm="1">
        <f t="array" ref="M78">rho_call(D78,A78,E78,B78,F78,C78)</f>
        <v>24.173738548666901</v>
      </c>
      <c r="N78" cm="1">
        <f t="array" ref="N78">rho_put(D78,A78,E78,B78,F78,C78)</f>
        <v>-25.576885410967218</v>
      </c>
    </row>
    <row r="79" spans="1:14" x14ac:dyDescent="0.3">
      <c r="A79">
        <v>100</v>
      </c>
      <c r="B79">
        <f t="shared" si="4"/>
        <v>0.01</v>
      </c>
      <c r="C79">
        <v>0.2</v>
      </c>
      <c r="D79">
        <v>105</v>
      </c>
      <c r="E79">
        <v>0.5</v>
      </c>
      <c r="F79">
        <v>0</v>
      </c>
      <c r="G79" cm="1">
        <f t="array" ref="G79">delta_call(D79,A79,E79,B79,F79,C79)</f>
        <v>0.67402849627857031</v>
      </c>
      <c r="H79" cm="1">
        <f t="array" ref="H79">delta_put(D79,A79,E79,B79,F79,C79)</f>
        <v>-0.32597150372142969</v>
      </c>
      <c r="I79" cm="1">
        <f t="array" ref="I79">theta_call(D79,A79,E79,B79,F79,C79)</f>
        <v>-5.9756847306203404</v>
      </c>
      <c r="J79" cm="1">
        <f t="array" ref="J79">theta_put(D79,A79,E79,B79,F79,C79)</f>
        <v>-5.9707096682243774</v>
      </c>
      <c r="K79" cm="1">
        <f t="array" ref="K79">gamma_new(D79,A79,E79,B79,F79,C79)</f>
        <v>2.4267506445708336E-2</v>
      </c>
      <c r="L79" cm="1">
        <f t="array" ref="L79">vega_new(D79,A79,E79,B79,F79,C79)</f>
        <v>26.754925856393442</v>
      </c>
      <c r="M79" cm="1">
        <f t="array" ref="M79">rho_call(D79,A79,E79,B79,F79,C79)</f>
        <v>30.924184743469105</v>
      </c>
      <c r="N79" cm="1">
        <f t="array" ref="N79">rho_put(D79,A79,E79,B79,F79,C79)</f>
        <v>-18.826439216165014</v>
      </c>
    </row>
    <row r="80" spans="1:14" x14ac:dyDescent="0.3">
      <c r="A80">
        <v>100</v>
      </c>
      <c r="B80">
        <f t="shared" si="4"/>
        <v>0.01</v>
      </c>
      <c r="C80">
        <v>0.2</v>
      </c>
      <c r="D80">
        <v>110</v>
      </c>
      <c r="E80">
        <v>0.5</v>
      </c>
      <c r="F80">
        <v>0</v>
      </c>
      <c r="G80" cm="1">
        <f t="array" ref="G80">delta_call(D80,A80,E80,B80,F80,C80)</f>
        <v>0.78230772963384732</v>
      </c>
      <c r="H80" cm="1">
        <f t="array" ref="H80">delta_put(D80,A80,E80,B80,F80,C80)</f>
        <v>-0.21769227036615268</v>
      </c>
      <c r="I80" cm="1">
        <f t="array" ref="I80">theta_call(D80,A80,E80,B80,F80,C80)</f>
        <v>-5.3204298627380409</v>
      </c>
      <c r="J80" cm="1">
        <f t="array" ref="J80">theta_put(D80,A80,E80,B80,F80,C80)</f>
        <v>-5.3154548003420778</v>
      </c>
      <c r="K80" cm="1">
        <f t="array" ref="K80">gamma_new(D80,A80,E80,B80,F80,C80)</f>
        <v>1.8918485039079759E-2</v>
      </c>
      <c r="L80" cm="1">
        <f t="array" ref="L80">vega_new(D80,A80,E80,B80,F80,C80)</f>
        <v>22.89136689728651</v>
      </c>
      <c r="M80" cm="1">
        <f t="array" ref="M80">rho_call(D80,A80,E80,B80,F80,C80)</f>
        <v>36.738595144398111</v>
      </c>
      <c r="N80" cm="1">
        <f t="array" ref="N80">rho_put(D80,A80,E80,B80,F80,C80)</f>
        <v>-13.012028815236008</v>
      </c>
    </row>
    <row r="81" spans="1:14" x14ac:dyDescent="0.3">
      <c r="A81">
        <v>100</v>
      </c>
      <c r="B81">
        <f t="shared" si="4"/>
        <v>0.01</v>
      </c>
      <c r="C81">
        <v>0.2</v>
      </c>
      <c r="D81">
        <v>115</v>
      </c>
      <c r="E81">
        <v>0.5</v>
      </c>
      <c r="F81">
        <v>0</v>
      </c>
      <c r="G81" cm="1">
        <f t="array" ref="G81">delta_call(D81,A81,E81,B81,F81,C81)</f>
        <v>0.8630953437034381</v>
      </c>
      <c r="H81" cm="1">
        <f t="array" ref="H81">delta_put(D81,A81,E81,B81,F81,C81)</f>
        <v>-0.1369046562965619</v>
      </c>
      <c r="I81" cm="1">
        <f t="array" ref="I81">theta_call(D81,A81,E81,B81,F81,C81)</f>
        <v>-4.3989715434613696</v>
      </c>
      <c r="J81" cm="1">
        <f t="array" ref="J81">theta_put(D81,A81,E81,B81,F81,C81)</f>
        <v>-4.3939964810654066</v>
      </c>
      <c r="K81" cm="1">
        <f t="array" ref="K81">gamma_new(D81,A81,E81,B81,F81,C81)</f>
        <v>1.3478753756809105E-2</v>
      </c>
      <c r="L81" cm="1">
        <f t="array" ref="L81">vega_new(D81,A81,E81,B81,F81,C81)</f>
        <v>17.82565184338004</v>
      </c>
      <c r="M81" cm="1">
        <f t="array" ref="M81">rho_call(D81,A81,E81,B81,F81,C81)</f>
        <v>41.277215823472964</v>
      </c>
      <c r="N81" cm="1">
        <f t="array" ref="N81">rho_put(D81,A81,E81,B81,F81,C81)</f>
        <v>-8.4734081361611544</v>
      </c>
    </row>
    <row r="82" spans="1:14" x14ac:dyDescent="0.3">
      <c r="A82">
        <v>100</v>
      </c>
      <c r="B82">
        <f t="shared" si="4"/>
        <v>0.01</v>
      </c>
      <c r="C82">
        <v>0.2</v>
      </c>
      <c r="D82">
        <v>120</v>
      </c>
      <c r="E82">
        <v>0.5</v>
      </c>
      <c r="F82">
        <v>0</v>
      </c>
      <c r="G82" cm="1">
        <f t="array" ref="G82">delta_call(D82,A82,E82,B82,F82,C82)</f>
        <v>0.91853340172068842</v>
      </c>
      <c r="H82" cm="1">
        <f t="array" ref="H82">delta_put(D82,A82,E82,B82,F82,C82)</f>
        <v>-8.1466598279311575E-2</v>
      </c>
      <c r="I82" cm="1">
        <f t="array" ref="I82">theta_call(D82,A82,E82,B82,F82,C82)</f>
        <v>-3.4573368442039301</v>
      </c>
      <c r="J82" cm="1">
        <f t="array" ref="J82">theta_put(D82,A82,E82,B82,F82,C82)</f>
        <v>-3.4523617818079666</v>
      </c>
      <c r="K82" cm="1">
        <f t="array" ref="K82">gamma_new(D82,A82,E82,B82,F82,C82)</f>
        <v>8.881243547387634E-3</v>
      </c>
      <c r="L82" cm="1">
        <f t="array" ref="L82">vega_new(D82,A82,E82,B82,F82,C82)</f>
        <v>12.788990708238194</v>
      </c>
      <c r="M82" cm="1">
        <f t="array" ref="M82">rho_call(D82,A82,E82,B82,F82,C82)</f>
        <v>44.52940714583994</v>
      </c>
      <c r="N82" cm="1">
        <f t="array" ref="N82">rho_put(D82,A82,E82,B82,F82,C82)</f>
        <v>-5.2212168137941788</v>
      </c>
    </row>
    <row r="83" spans="1:14" x14ac:dyDescent="0.3">
      <c r="A83">
        <v>100</v>
      </c>
      <c r="B83">
        <f t="shared" si="4"/>
        <v>0.01</v>
      </c>
      <c r="C83">
        <v>0.2</v>
      </c>
      <c r="D83">
        <v>125</v>
      </c>
      <c r="E83">
        <v>0.5</v>
      </c>
      <c r="F83">
        <v>0</v>
      </c>
      <c r="G83" cm="1">
        <f t="array" ref="G83">delta_call(D83,A83,E83,B83,F83,C83)</f>
        <v>0.95390232385199913</v>
      </c>
      <c r="H83" cm="1">
        <f t="array" ref="H83">delta_put(D83,A83,E83,B83,F83,C83)</f>
        <v>-4.6097676148000866E-2</v>
      </c>
      <c r="I83" cm="1">
        <f t="array" ref="I83">theta_call(D83,A83,E83,B83,F83,C83)</f>
        <v>-2.6516252708081542</v>
      </c>
      <c r="J83" cm="1">
        <f t="array" ref="J83">theta_put(D83,A83,E83,B83,F83,C83)</f>
        <v>-2.6466502084121908</v>
      </c>
      <c r="K83" cm="1">
        <f t="array" ref="K83">gamma_new(D83,A83,E83,B83,F83,C83)</f>
        <v>5.4668672380470719E-3</v>
      </c>
      <c r="L83" cm="1">
        <f t="array" ref="L83">vega_new(D83,A83,E83,B83,F83,C83)</f>
        <v>8.5419800594485498</v>
      </c>
      <c r="M83" cm="1">
        <f t="array" ref="M83">rho_call(D83,A83,E83,B83,F83,C83)</f>
        <v>46.692198548977835</v>
      </c>
      <c r="N83" cm="1">
        <f t="array" ref="N83">rho_put(D83,A83,E83,B83,F83,C83)</f>
        <v>-3.0584254106562838</v>
      </c>
    </row>
    <row r="84" spans="1:14" x14ac:dyDescent="0.3">
      <c r="A84">
        <v>100</v>
      </c>
      <c r="B84">
        <f t="shared" si="4"/>
        <v>0.01</v>
      </c>
      <c r="C84">
        <v>0.2</v>
      </c>
      <c r="D84">
        <v>130</v>
      </c>
      <c r="E84">
        <v>0.5</v>
      </c>
      <c r="F84">
        <v>0</v>
      </c>
      <c r="G84" cm="1">
        <f t="array" ref="G84">delta_call(D84,A84,E84,B84,F84,C84)</f>
        <v>0.97507573833647321</v>
      </c>
      <c r="H84" cm="1">
        <f t="array" ref="H84">delta_put(D84,A84,E84,B84,F84,C84)</f>
        <v>-2.4924261663526792E-2</v>
      </c>
      <c r="I84" cm="1">
        <f t="array" ref="I84">theta_call(D84,A84,E84,B84,F84,C84)</f>
        <v>-2.0422179719532934</v>
      </c>
      <c r="J84" cm="1">
        <f t="array" ref="J84">theta_put(D84,A84,E84,B84,F84,C84)</f>
        <v>-2.0372429095573299</v>
      </c>
      <c r="K84" cm="1">
        <f t="array" ref="K84">gamma_new(D84,A84,E84,B84,F84,C84)</f>
        <v>3.1709157235184286E-3</v>
      </c>
      <c r="L84" cm="1">
        <f t="array" ref="L84">vega_new(D84,A84,E84,B84,F84,C84)</f>
        <v>5.3588475727461455</v>
      </c>
      <c r="M84" cm="1">
        <f t="array" ref="M84">rho_call(D84,A84,E84,B84,F84,C84)</f>
        <v>48.039616695751533</v>
      </c>
      <c r="N84" cm="1">
        <f t="array" ref="N84">rho_put(D84,A84,E84,B84,F84,C84)</f>
        <v>-1.7110072638825855</v>
      </c>
    </row>
    <row r="85" spans="1:14" x14ac:dyDescent="0.3">
      <c r="A85">
        <v>100</v>
      </c>
      <c r="B85">
        <f t="shared" si="4"/>
        <v>0.01</v>
      </c>
      <c r="C85">
        <v>0.2</v>
      </c>
      <c r="D85">
        <v>135</v>
      </c>
      <c r="E85">
        <v>0.5</v>
      </c>
      <c r="F85">
        <v>0</v>
      </c>
      <c r="G85" cm="1">
        <f t="array" ref="G85">delta_call(D85,A85,E85,B85,F85,C85)</f>
        <v>0.987063941065492</v>
      </c>
      <c r="H85" cm="1">
        <f t="array" ref="H85">delta_put(D85,A85,E85,B85,F85,C85)</f>
        <v>-1.2936058934507999E-2</v>
      </c>
      <c r="I85" cm="1">
        <f t="array" ref="I85">theta_call(D85,A85,E85,B85,F85,C85)</f>
        <v>-1.6228499281333031</v>
      </c>
      <c r="J85" cm="1">
        <f t="array" ref="J85">theta_put(D85,A85,E85,B85,F85,C85)</f>
        <v>-1.6178748657373396</v>
      </c>
      <c r="K85" cm="1">
        <f t="array" ref="K85">gamma_new(D85,A85,E85,B85,F85,C85)</f>
        <v>1.7459186523562449E-3</v>
      </c>
      <c r="L85" cm="1">
        <f t="array" ref="L85">vega_new(D85,A85,E85,B85,F85,C85)</f>
        <v>3.1819367439192567</v>
      </c>
      <c r="M85" cm="1">
        <f t="array" ref="M85">rho_call(D85,A85,E85,B85,F85,C85)</f>
        <v>48.832355634235022</v>
      </c>
      <c r="N85" cm="1">
        <f t="array" ref="N85">rho_put(D85,A85,E85,B85,F85,C85)</f>
        <v>-0.91826832539909731</v>
      </c>
    </row>
    <row r="86" spans="1:14" x14ac:dyDescent="0.3">
      <c r="A86">
        <v>100</v>
      </c>
      <c r="B86">
        <f t="shared" si="4"/>
        <v>0.01</v>
      </c>
      <c r="C86">
        <v>0.2</v>
      </c>
      <c r="D86">
        <v>140</v>
      </c>
      <c r="E86">
        <v>0.5</v>
      </c>
      <c r="F86">
        <v>0</v>
      </c>
      <c r="G86" cm="1">
        <f t="array" ref="G86">delta_call(D86,A86,E86,B86,F86,C86)</f>
        <v>0.9935275944696309</v>
      </c>
      <c r="H86" cm="1">
        <f t="array" ref="H86">delta_put(D86,A86,E86,B86,F86,C86)</f>
        <v>-6.4724055303690964E-3</v>
      </c>
      <c r="I86" cm="1">
        <f t="array" ref="I86">theta_call(D86,A86,E86,B86,F86,C86)</f>
        <v>-1.3554312000016124</v>
      </c>
      <c r="J86" cm="1">
        <f t="array" ref="J86">theta_put(D86,A86,E86,B86,F86,C86)</f>
        <v>-1.350456137605649</v>
      </c>
      <c r="K86" cm="1">
        <f t="array" ref="K86">gamma_new(D86,A86,E86,B86,F86,C86)</f>
        <v>9.1839058774420643E-4</v>
      </c>
      <c r="L86" cm="1">
        <f t="array" ref="L86">vega_new(D86,A86,E86,B86,F86,C86)</f>
        <v>1.8000455519786447</v>
      </c>
      <c r="M86" cm="1">
        <f t="array" ref="M86">rho_call(D86,A86,E86,B86,F86,C86)</f>
        <v>49.275873716227721</v>
      </c>
      <c r="N86" cm="1">
        <f t="array" ref="N86">rho_put(D86,A86,E86,B86,F86,C86)</f>
        <v>-0.47475024340639749</v>
      </c>
    </row>
    <row r="87" spans="1:14" x14ac:dyDescent="0.3">
      <c r="A87">
        <v>100</v>
      </c>
      <c r="B87">
        <f>1/100</f>
        <v>0.01</v>
      </c>
      <c r="C87">
        <v>0.2</v>
      </c>
      <c r="D87">
        <v>60</v>
      </c>
      <c r="E87">
        <v>0.6</v>
      </c>
      <c r="F87">
        <v>0</v>
      </c>
      <c r="G87" cm="1">
        <f t="array" ref="G87">delta_call(D87,A87,E87,B87,F87,C87)</f>
        <v>7.3339315349598864E-4</v>
      </c>
      <c r="H87" cm="1">
        <f t="array" ref="H87">delta_put(D87,A87,E87,B87,F87,C87)</f>
        <v>-0.99926660684650404</v>
      </c>
      <c r="I87" cm="1">
        <f t="array" ref="I87">theta_call(D87,A87,E87,B87,F87,C87)</f>
        <v>-2.0037571229271821E-2</v>
      </c>
      <c r="J87" cm="1">
        <f t="array" ref="J87">theta_put(D87,A87,E87,B87,F87,C87)</f>
        <v>-1.4073463444948208E-2</v>
      </c>
      <c r="K87" cm="1">
        <f t="array" ref="K87">gamma_new(D87,A87,E87,B87,F87,C87)</f>
        <v>2.7236380704730455E-4</v>
      </c>
      <c r="L87" cm="1">
        <f t="array" ref="L87">vega_new(D87,A87,E87,B87,F87,C87)</f>
        <v>0.11766116464443557</v>
      </c>
      <c r="M87" cm="1">
        <f t="array" ref="M87">rho_call(D87,A87,E87,B87,F87,C87)</f>
        <v>2.5336754690401989E-2</v>
      </c>
      <c r="N87" cm="1">
        <f t="array" ref="N87">rho_put(D87,A87,E87,B87,F87,C87)</f>
        <v>-59.615741088545718</v>
      </c>
    </row>
    <row r="88" spans="1:14" x14ac:dyDescent="0.3">
      <c r="A88">
        <v>100</v>
      </c>
      <c r="B88">
        <f t="shared" ref="B88:B103" si="5">1/100</f>
        <v>0.01</v>
      </c>
      <c r="C88">
        <v>0.2</v>
      </c>
      <c r="D88">
        <v>65</v>
      </c>
      <c r="E88">
        <v>0.6</v>
      </c>
      <c r="F88">
        <v>0</v>
      </c>
      <c r="G88" cm="1">
        <f t="array" ref="G88">delta_call(D88,A88,E88,B88,F88,C88)</f>
        <v>3.8551173459696964E-3</v>
      </c>
      <c r="H88" cm="1">
        <f t="array" ref="H88">delta_put(D88,A88,E88,B88,F88,C88)</f>
        <v>-0.99614488265403034</v>
      </c>
      <c r="I88" cm="1">
        <f t="array" ref="I88">theta_call(D88,A88,E88,B88,F88,C88)</f>
        <v>-9.8602311983782845E-2</v>
      </c>
      <c r="J88" cm="1">
        <f t="array" ref="J88">theta_put(D88,A88,E88,B88,F88,C88)</f>
        <v>-9.2638204199459229E-2</v>
      </c>
      <c r="K88" cm="1">
        <f t="array" ref="K88">gamma_new(D88,A88,E88,B88,F88,C88)</f>
        <v>1.1382523244176249E-3</v>
      </c>
      <c r="L88" cm="1">
        <f t="array" ref="L88">vega_new(D88,A88,E88,B88,F88,C88)</f>
        <v>0.57709392847973573</v>
      </c>
      <c r="M88" cm="1">
        <f t="array" ref="M88">rho_call(D88,A88,E88,B88,F88,C88)</f>
        <v>0.1434674536858371</v>
      </c>
      <c r="N88" cm="1">
        <f t="array" ref="N88">rho_put(D88,A88,E88,B88,F88,C88)</f>
        <v>-59.497610389550282</v>
      </c>
    </row>
    <row r="89" spans="1:14" x14ac:dyDescent="0.3">
      <c r="A89">
        <v>100</v>
      </c>
      <c r="B89">
        <f t="shared" si="5"/>
        <v>0.01</v>
      </c>
      <c r="C89">
        <v>0.2</v>
      </c>
      <c r="D89">
        <v>70</v>
      </c>
      <c r="E89">
        <v>0.6</v>
      </c>
      <c r="F89">
        <v>0</v>
      </c>
      <c r="G89" cm="1">
        <f t="array" ref="G89">delta_call(D89,A89,E89,B89,F89,C89)</f>
        <v>1.4402778602930108E-2</v>
      </c>
      <c r="H89" cm="1">
        <f t="array" ref="H89">delta_put(D89,A89,E89,B89,F89,C89)</f>
        <v>-0.98559722139706984</v>
      </c>
      <c r="I89" cm="1">
        <f t="array" ref="I89">theta_call(D89,A89,E89,B89,F89,C89)</f>
        <v>-0.34015092439054084</v>
      </c>
      <c r="J89" cm="1">
        <f t="array" ref="J89">theta_put(D89,A89,E89,B89,F89,C89)</f>
        <v>-0.33418681660621724</v>
      </c>
      <c r="K89" cm="1">
        <f t="array" ref="K89">gamma_new(D89,A89,E89,B89,F89,C89)</f>
        <v>3.3722289783455596E-3</v>
      </c>
      <c r="L89" cm="1">
        <f t="array" ref="L89">vega_new(D89,A89,E89,B89,F89,C89)</f>
        <v>1.9828706392671893</v>
      </c>
      <c r="M89" cm="1">
        <f t="array" ref="M89">rho_call(D89,A89,E89,B89,F89,C89)</f>
        <v>0.5734265004042175</v>
      </c>
      <c r="N89" cm="1">
        <f t="array" ref="N89">rho_put(D89,A89,E89,B89,F89,C89)</f>
        <v>-59.067651342831901</v>
      </c>
    </row>
    <row r="90" spans="1:14" x14ac:dyDescent="0.3">
      <c r="A90">
        <v>100</v>
      </c>
      <c r="B90">
        <f t="shared" si="5"/>
        <v>0.01</v>
      </c>
      <c r="C90">
        <v>0.2</v>
      </c>
      <c r="D90">
        <v>75</v>
      </c>
      <c r="E90">
        <v>0.6</v>
      </c>
      <c r="F90">
        <v>0</v>
      </c>
      <c r="G90" cm="1">
        <f t="array" ref="G90">delta_call(D90,A90,E90,B90,F90,C90)</f>
        <v>4.0860172111759581E-2</v>
      </c>
      <c r="H90" cm="1">
        <f t="array" ref="H90">delta_put(D90,A90,E90,B90,F90,C90)</f>
        <v>-0.95913982788824037</v>
      </c>
      <c r="I90" cm="1">
        <f t="array" ref="I90">theta_call(D90,A90,E90,B90,F90,C90)</f>
        <v>-0.87808712606811701</v>
      </c>
      <c r="J90" cm="1">
        <f t="array" ref="J90">theta_put(D90,A90,E90,B90,F90,C90)</f>
        <v>-0.87212301828379335</v>
      </c>
      <c r="K90" cm="1">
        <f t="array" ref="K90">gamma_new(D90,A90,E90,B90,F90,C90)</f>
        <v>7.5458967272333394E-3</v>
      </c>
      <c r="L90" cm="1">
        <f t="array" ref="L90">vega_new(D90,A90,E90,B90,F90,C90)</f>
        <v>5.0934802908825043</v>
      </c>
      <c r="M90" cm="1">
        <f t="array" ref="M90">rho_call(D90,A90,E90,B90,F90,C90)</f>
        <v>1.7295450873604514</v>
      </c>
      <c r="N90" cm="1">
        <f t="array" ref="N90">rho_put(D90,A90,E90,B90,F90,C90)</f>
        <v>-57.911532755875669</v>
      </c>
    </row>
    <row r="91" spans="1:14" x14ac:dyDescent="0.3">
      <c r="A91">
        <v>100</v>
      </c>
      <c r="B91">
        <f t="shared" si="5"/>
        <v>0.01</v>
      </c>
      <c r="C91">
        <v>0.2</v>
      </c>
      <c r="D91">
        <v>80</v>
      </c>
      <c r="E91">
        <v>0.6</v>
      </c>
      <c r="F91">
        <v>0</v>
      </c>
      <c r="G91" cm="1">
        <f t="array" ref="G91">delta_call(D91,A91,E91,B91,F91,C91)</f>
        <v>9.2718991154622718E-2</v>
      </c>
      <c r="H91" cm="1">
        <f t="array" ref="H91">delta_put(D91,A91,E91,B91,F91,C91)</f>
        <v>-0.90728100884537732</v>
      </c>
      <c r="I91" cm="1">
        <f t="array" ref="I91">theta_call(D91,A91,E91,B91,F91,C91)</f>
        <v>-1.7845537460818555</v>
      </c>
      <c r="J91" cm="1">
        <f t="array" ref="J91">theta_put(D91,A91,E91,B91,F91,C91)</f>
        <v>-1.7785896382975319</v>
      </c>
      <c r="K91" cm="1">
        <f t="array" ref="K91">gamma_new(D91,A91,E91,B91,F91,C91)</f>
        <v>1.3395159432299537E-2</v>
      </c>
      <c r="L91" cm="1">
        <f t="array" ref="L91">vega_new(D91,A91,E91,B91,F91,C91)</f>
        <v>10.287482444006045</v>
      </c>
      <c r="M91" cm="1">
        <f t="array" ref="M91">rho_call(D91,A91,E91,B91,F91,C91)</f>
        <v>4.1483206002554978</v>
      </c>
      <c r="N91" cm="1">
        <f t="array" ref="N91">rho_put(D91,A91,E91,B91,F91,C91)</f>
        <v>-55.492757242980623</v>
      </c>
    </row>
    <row r="92" spans="1:14" x14ac:dyDescent="0.3">
      <c r="A92">
        <v>100</v>
      </c>
      <c r="B92">
        <f t="shared" si="5"/>
        <v>0.01</v>
      </c>
      <c r="C92">
        <v>0.2</v>
      </c>
      <c r="D92">
        <v>85</v>
      </c>
      <c r="E92">
        <v>0.6</v>
      </c>
      <c r="F92">
        <v>0</v>
      </c>
      <c r="G92" cm="1">
        <f t="array" ref="G92">delta_call(D92,A92,E92,B92,F92,C92)</f>
        <v>0.17544466250951118</v>
      </c>
      <c r="H92" cm="1">
        <f t="array" ref="H92">delta_put(D92,A92,E92,B92,F92,C92)</f>
        <v>-0.82455533749048882</v>
      </c>
      <c r="I92" cm="1">
        <f t="array" ref="I92">theta_call(D92,A92,E92,B92,F92,C92)</f>
        <v>-2.9724184910801368</v>
      </c>
      <c r="J92" cm="1">
        <f t="array" ref="J92">theta_put(D92,A92,E92,B92,F92,C92)</f>
        <v>-2.966454383295813</v>
      </c>
      <c r="K92" cm="1">
        <f t="array" ref="K92">gamma_new(D92,A92,E92,B92,F92,C92)</f>
        <v>1.9607203543702156E-2</v>
      </c>
      <c r="L92" cm="1">
        <f t="array" ref="L92">vega_new(D92,A92,E92,B92,F92,C92)</f>
        <v>16.99944547238977</v>
      </c>
      <c r="M92" cm="1">
        <f t="array" ref="M92">rho_call(D92,A92,E92,B92,F92,C92)</f>
        <v>8.2510457333700931</v>
      </c>
      <c r="N92" cm="1">
        <f t="array" ref="N92">rho_put(D92,A92,E92,B92,F92,C92)</f>
        <v>-51.390032109866027</v>
      </c>
    </row>
    <row r="93" spans="1:14" x14ac:dyDescent="0.3">
      <c r="A93">
        <v>100</v>
      </c>
      <c r="B93">
        <f t="shared" si="5"/>
        <v>0.01</v>
      </c>
      <c r="C93">
        <v>0.2</v>
      </c>
      <c r="D93">
        <v>90</v>
      </c>
      <c r="E93">
        <v>0.6</v>
      </c>
      <c r="F93">
        <v>0</v>
      </c>
      <c r="G93" cm="1">
        <f t="array" ref="G93">delta_call(D93,A93,E93,B93,F93,C93)</f>
        <v>0.28640779285454132</v>
      </c>
      <c r="H93" cm="1">
        <f t="array" ref="H93">delta_put(D93,A93,E93,B93,F93,C93)</f>
        <v>-0.71359220714545868</v>
      </c>
      <c r="I93" cm="1">
        <f t="array" ref="I93">theta_call(D93,A93,E93,B93,F93,C93)</f>
        <v>-4.1914415413665713</v>
      </c>
      <c r="J93" cm="1">
        <f t="array" ref="J93">theta_put(D93,A93,E93,B93,F93,C93)</f>
        <v>-4.185477433582248</v>
      </c>
      <c r="K93" cm="1">
        <f t="array" ref="K93">gamma_new(D93,A93,E93,B93,F93,C93)</f>
        <v>2.4406774147524606E-2</v>
      </c>
      <c r="L93" cm="1">
        <f t="array" ref="L93">vega_new(D93,A93,E93,B93,F93,C93)</f>
        <v>23.723384471393921</v>
      </c>
      <c r="M93" cm="1">
        <f t="array" ref="M93">rho_call(D93,A93,E93,B93,F93,C93)</f>
        <v>14.082638092999993</v>
      </c>
      <c r="N93" cm="1">
        <f t="array" ref="N93">rho_put(D93,A93,E93,B93,F93,C93)</f>
        <v>-45.558439750236126</v>
      </c>
    </row>
    <row r="94" spans="1:14" x14ac:dyDescent="0.3">
      <c r="A94">
        <v>100</v>
      </c>
      <c r="B94">
        <f t="shared" si="5"/>
        <v>0.01</v>
      </c>
      <c r="C94">
        <v>0.2</v>
      </c>
      <c r="D94">
        <v>95</v>
      </c>
      <c r="E94">
        <v>0.6</v>
      </c>
      <c r="F94">
        <v>0</v>
      </c>
      <c r="G94" cm="1">
        <f t="array" ref="G94">delta_call(D94,A94,E94,B94,F94,C94)</f>
        <v>0.41491980008730484</v>
      </c>
      <c r="H94" cm="1">
        <f t="array" ref="H94">delta_put(D94,A94,E94,B94,F94,C94)</f>
        <v>-0.58508019991269511</v>
      </c>
      <c r="I94" cm="1">
        <f t="array" ref="I94">theta_call(D94,A94,E94,B94,F94,C94)</f>
        <v>-5.1390104624572901</v>
      </c>
      <c r="J94" cm="1">
        <f t="array" ref="J94">theta_put(D94,A94,E94,B94,F94,C94)</f>
        <v>-5.1330463546729668</v>
      </c>
      <c r="K94" cm="1">
        <f t="array" ref="K94">gamma_new(D94,A94,E94,B94,F94,C94)</f>
        <v>2.6488164394297603E-2</v>
      </c>
      <c r="L94" cm="1">
        <f t="array" ref="L94">vega_new(D94,A94,E94,B94,F94,C94)</f>
        <v>28.686682039024305</v>
      </c>
      <c r="M94" cm="1">
        <f t="array" ref="M94">rho_call(D94,A94,E94,B94,F94,C94)</f>
        <v>21.217661617090137</v>
      </c>
      <c r="N94" cm="1">
        <f t="array" ref="N94">rho_put(D94,A94,E94,B94,F94,C94)</f>
        <v>-38.423416226145982</v>
      </c>
    </row>
    <row r="95" spans="1:14" x14ac:dyDescent="0.3">
      <c r="A95">
        <v>100</v>
      </c>
      <c r="B95">
        <f t="shared" si="5"/>
        <v>0.01</v>
      </c>
      <c r="C95">
        <v>0.2</v>
      </c>
      <c r="D95">
        <v>100</v>
      </c>
      <c r="E95">
        <v>0.6</v>
      </c>
      <c r="F95">
        <v>0</v>
      </c>
      <c r="G95" cm="1">
        <f t="array" ref="G95">delta_call(D95,A95,E95,B95,F95,C95)</f>
        <v>0.54624882106468031</v>
      </c>
      <c r="H95" cm="1">
        <f t="array" ref="H95">delta_put(D95,A95,E95,B95,F95,C95)</f>
        <v>-0.45375117893531969</v>
      </c>
      <c r="I95" cm="1">
        <f t="array" ref="I95">theta_call(D95,A95,E95,B95,F95,C95)</f>
        <v>-5.603144033276994</v>
      </c>
      <c r="J95" cm="1">
        <f t="array" ref="J95">theta_put(D95,A95,E95,B95,F95,C95)</f>
        <v>-5.5971799254926706</v>
      </c>
      <c r="K95" cm="1">
        <f t="array" ref="K95">gamma_new(D95,A95,E95,B95,F95,C95)</f>
        <v>2.55783754134996E-2</v>
      </c>
      <c r="L95" cm="1">
        <f t="array" ref="L95">vega_new(D95,A95,E95,B95,F95,C95)</f>
        <v>30.69405049619952</v>
      </c>
      <c r="M95" cm="1">
        <f t="array" ref="M95">rho_call(D95,A95,E95,B95,F95,C95)</f>
        <v>28.899256857821801</v>
      </c>
      <c r="N95" cm="1">
        <f t="array" ref="N95">rho_put(D95,A95,E95,B95,F95,C95)</f>
        <v>-30.741820985414318</v>
      </c>
    </row>
    <row r="96" spans="1:14" x14ac:dyDescent="0.3">
      <c r="A96">
        <v>100</v>
      </c>
      <c r="B96">
        <f t="shared" si="5"/>
        <v>0.01</v>
      </c>
      <c r="C96">
        <v>0.2</v>
      </c>
      <c r="D96">
        <v>105</v>
      </c>
      <c r="E96">
        <v>0.6</v>
      </c>
      <c r="F96">
        <v>0</v>
      </c>
      <c r="G96" cm="1">
        <f t="array" ref="G96">delta_call(D96,A96,E96,B96,F96,C96)</f>
        <v>0.66681258720741177</v>
      </c>
      <c r="H96" cm="1">
        <f t="array" ref="H96">delta_put(D96,A96,E96,B96,F96,C96)</f>
        <v>-0.33318741279258823</v>
      </c>
      <c r="I96" cm="1">
        <f t="array" ref="I96">theta_call(D96,A96,E96,B96,F96,C96)</f>
        <v>-5.5403733387028486</v>
      </c>
      <c r="J96" cm="1">
        <f t="array" ref="J96">theta_put(D96,A96,E96,B96,F96,C96)</f>
        <v>-5.5344092309185253</v>
      </c>
      <c r="K96" cm="1">
        <f t="array" ref="K96">gamma_new(D96,A96,E96,B96,F96,C96)</f>
        <v>2.2348767206295854E-2</v>
      </c>
      <c r="L96" cm="1">
        <f t="array" ref="L96">vega_new(D96,A96,E96,B96,F96,C96)</f>
        <v>29.567419013929417</v>
      </c>
      <c r="M96" cm="1">
        <f t="array" ref="M96">rho_call(D96,A96,E96,B96,F96,C96)</f>
        <v>36.309866980005239</v>
      </c>
      <c r="N96" cm="1">
        <f t="array" ref="N96">rho_put(D96,A96,E96,B96,F96,C96)</f>
        <v>-23.331210863230879</v>
      </c>
    </row>
    <row r="97" spans="1:14" x14ac:dyDescent="0.3">
      <c r="A97">
        <v>100</v>
      </c>
      <c r="B97">
        <f t="shared" si="5"/>
        <v>0.01</v>
      </c>
      <c r="C97">
        <v>0.2</v>
      </c>
      <c r="D97">
        <v>110</v>
      </c>
      <c r="E97">
        <v>0.6</v>
      </c>
      <c r="F97">
        <v>0</v>
      </c>
      <c r="G97" cm="1">
        <f t="array" ref="G97">delta_call(D97,A97,E97,B97,F97,C97)</f>
        <v>0.76773686176629652</v>
      </c>
      <c r="H97" cm="1">
        <f t="array" ref="H97">delta_put(D97,A97,E97,B97,F97,C97)</f>
        <v>-0.23226313823370348</v>
      </c>
      <c r="I97" cm="1">
        <f t="array" ref="I97">theta_call(D97,A97,E97,B97,F97,C97)</f>
        <v>-5.057893608774835</v>
      </c>
      <c r="J97" cm="1">
        <f t="array" ref="J97">theta_put(D97,A97,E97,B97,F97,C97)</f>
        <v>-5.0519295009905116</v>
      </c>
      <c r="K97" cm="1">
        <f t="array" ref="K97">gamma_new(D97,A97,E97,B97,F97,C97)</f>
        <v>1.7916173218194179E-2</v>
      </c>
      <c r="L97" cm="1">
        <f t="array" ref="L97">vega_new(D97,A97,E97,B97,F97,C97)</f>
        <v>26.014283512817954</v>
      </c>
      <c r="M97" cm="1">
        <f t="array" ref="M97">rho_call(D97,A97,E97,B97,F97,C97)</f>
        <v>42.813919395874585</v>
      </c>
      <c r="N97" cm="1">
        <f t="array" ref="N97">rho_put(D97,A97,E97,B97,F97,C97)</f>
        <v>-16.827158447361533</v>
      </c>
    </row>
    <row r="98" spans="1:14" x14ac:dyDescent="0.3">
      <c r="A98">
        <v>100</v>
      </c>
      <c r="B98">
        <f t="shared" si="5"/>
        <v>0.01</v>
      </c>
      <c r="C98">
        <v>0.2</v>
      </c>
      <c r="D98">
        <v>115</v>
      </c>
      <c r="E98">
        <v>0.6</v>
      </c>
      <c r="F98">
        <v>0</v>
      </c>
      <c r="G98" cm="1">
        <f t="array" ref="G98">delta_call(D98,A98,E98,B98,F98,C98)</f>
        <v>0.84574392541104015</v>
      </c>
      <c r="H98" cm="1">
        <f t="array" ref="H98">delta_put(D98,A98,E98,B98,F98,C98)</f>
        <v>-0.15425607458895985</v>
      </c>
      <c r="I98" cm="1">
        <f t="array" ref="I98">theta_call(D98,A98,E98,B98,F98,C98)</f>
        <v>-4.3373936090181973</v>
      </c>
      <c r="J98" cm="1">
        <f t="array" ref="J98">theta_put(D98,A98,E98,B98,F98,C98)</f>
        <v>-4.3314295012338739</v>
      </c>
      <c r="K98" cm="1">
        <f t="array" ref="K98">gamma_new(D98,A98,E98,B98,F98,C98)</f>
        <v>1.333267834934383E-2</v>
      </c>
      <c r="L98" cm="1">
        <f t="array" ref="L98">vega_new(D98,A98,E98,B98,F98,C98)</f>
        <v>21.158960540408664</v>
      </c>
      <c r="M98" cm="1">
        <f t="array" ref="M98">rho_call(D98,A98,E98,B98,F98,C98)</f>
        <v>48.073652121744175</v>
      </c>
      <c r="N98" cm="1">
        <f t="array" ref="N98">rho_put(D98,A98,E98,B98,F98,C98)</f>
        <v>-11.567425721491944</v>
      </c>
    </row>
    <row r="99" spans="1:14" x14ac:dyDescent="0.3">
      <c r="A99">
        <v>100</v>
      </c>
      <c r="B99">
        <f t="shared" si="5"/>
        <v>0.01</v>
      </c>
      <c r="C99">
        <v>0.2</v>
      </c>
      <c r="D99">
        <v>120</v>
      </c>
      <c r="E99">
        <v>0.6</v>
      </c>
      <c r="F99">
        <v>0</v>
      </c>
      <c r="G99" cm="1">
        <f t="array" ref="G99">delta_call(D99,A99,E99,B99,F99,C99)</f>
        <v>0.90200659044195874</v>
      </c>
      <c r="H99" cm="1">
        <f t="array" ref="H99">delta_put(D99,A99,E99,B99,F99,C99)</f>
        <v>-9.7993409558041256E-2</v>
      </c>
      <c r="I99" cm="1">
        <f t="array" ref="I99">theta_call(D99,A99,E99,B99,F99,C99)</f>
        <v>-3.5565134045123816</v>
      </c>
      <c r="J99" cm="1">
        <f t="array" ref="J99">theta_put(D99,A99,E99,B99,F99,C99)</f>
        <v>-3.5505492967280579</v>
      </c>
      <c r="K99" cm="1">
        <f t="array" ref="K99">gamma_new(D99,A99,E99,B99,F99,C99)</f>
        <v>9.3013597568778472E-3</v>
      </c>
      <c r="L99" cm="1">
        <f t="array" ref="L99">vega_new(D99,A99,E99,B99,F99,C99)</f>
        <v>16.07274965988492</v>
      </c>
      <c r="M99" cm="1">
        <f t="array" ref="M99">rho_call(D99,A99,E99,B99,F99,C99)</f>
        <v>52.035124616342841</v>
      </c>
      <c r="N99" cm="1">
        <f t="array" ref="N99">rho_put(D99,A99,E99,B99,F99,C99)</f>
        <v>-7.605953226893277</v>
      </c>
    </row>
    <row r="100" spans="1:14" x14ac:dyDescent="0.3">
      <c r="A100">
        <v>100</v>
      </c>
      <c r="B100">
        <f t="shared" si="5"/>
        <v>0.01</v>
      </c>
      <c r="C100">
        <v>0.2</v>
      </c>
      <c r="D100">
        <v>125</v>
      </c>
      <c r="E100">
        <v>0.6</v>
      </c>
      <c r="F100">
        <v>0</v>
      </c>
      <c r="G100" cm="1">
        <f t="array" ref="G100">delta_call(D100,A100,E100,B100,F100,C100)</f>
        <v>0.9402142801511969</v>
      </c>
      <c r="H100" cm="1">
        <f t="array" ref="H100">delta_put(D100,A100,E100,B100,F100,C100)</f>
        <v>-5.9785719848803098E-2</v>
      </c>
      <c r="I100" cm="1">
        <f t="array" ref="I100">theta_call(D100,A100,E100,B100,F100,C100)</f>
        <v>-2.8419836433640469</v>
      </c>
      <c r="J100" cm="1">
        <f t="array" ref="J100">theta_put(D100,A100,E100,B100,F100,C100)</f>
        <v>-2.8360195355797231</v>
      </c>
      <c r="K100" cm="1">
        <f t="array" ref="K100">gamma_new(D100,A100,E100,B100,F100,C100)</f>
        <v>6.1342693499021796E-3</v>
      </c>
      <c r="L100" cm="1">
        <f t="array" ref="L100">vega_new(D100,A100,E100,B100,F100,C100)</f>
        <v>11.501755031066587</v>
      </c>
      <c r="M100" cm="1">
        <f t="array" ref="M100">rho_call(D100,A100,E100,B100,F100,C100)</f>
        <v>54.839430840815325</v>
      </c>
      <c r="N100" cm="1">
        <f t="array" ref="N100">rho_put(D100,A100,E100,B100,F100,C100)</f>
        <v>-4.8016470024207933</v>
      </c>
    </row>
    <row r="101" spans="1:14" x14ac:dyDescent="0.3">
      <c r="A101">
        <v>100</v>
      </c>
      <c r="B101">
        <f t="shared" si="5"/>
        <v>0.01</v>
      </c>
      <c r="C101">
        <v>0.2</v>
      </c>
      <c r="D101">
        <v>130</v>
      </c>
      <c r="E101">
        <v>0.6</v>
      </c>
      <c r="F101">
        <v>0</v>
      </c>
      <c r="G101" cm="1">
        <f t="array" ref="G101">delta_call(D101,A101,E101,B101,F101,C101)</f>
        <v>0.96483221684018183</v>
      </c>
      <c r="H101" cm="1">
        <f t="array" ref="H101">delta_put(D101,A101,E101,B101,F101,C101)</f>
        <v>-3.5167783159818167E-2</v>
      </c>
      <c r="I101" cm="1">
        <f t="array" ref="I101">theta_call(D101,A101,E101,B101,F101,C101)</f>
        <v>-2.2586601819823837</v>
      </c>
      <c r="J101" cm="1">
        <f t="array" ref="J101">theta_put(D101,A101,E101,B101,F101,C101)</f>
        <v>-2.25269607419806</v>
      </c>
      <c r="K101" cm="1">
        <f t="array" ref="K101">gamma_new(D101,A101,E101,B101,F101,C101)</f>
        <v>3.8518254155354287E-3</v>
      </c>
      <c r="L101" cm="1">
        <f t="array" ref="L101">vega_new(D101,A101,E101,B101,F101,C101)</f>
        <v>7.8115019427058492</v>
      </c>
      <c r="M101" cm="1">
        <f t="array" ref="M101">rho_call(D101,A101,E101,B101,F101,C101)</f>
        <v>56.719853041525752</v>
      </c>
      <c r="N101" cm="1">
        <f t="array" ref="N101">rho_put(D101,A101,E101,B101,F101,C101)</f>
        <v>-2.9212248017103661</v>
      </c>
    </row>
    <row r="102" spans="1:14" x14ac:dyDescent="0.3">
      <c r="A102">
        <v>100</v>
      </c>
      <c r="B102">
        <f t="shared" si="5"/>
        <v>0.01</v>
      </c>
      <c r="C102">
        <v>0.2</v>
      </c>
      <c r="D102">
        <v>135</v>
      </c>
      <c r="E102">
        <v>0.6</v>
      </c>
      <c r="F102">
        <v>0</v>
      </c>
      <c r="G102" cm="1">
        <f t="array" ref="G102">delta_call(D102,A102,E102,B102,F102,C102)</f>
        <v>0.97998098357938546</v>
      </c>
      <c r="H102" cm="1">
        <f t="array" ref="H102">delta_put(D102,A102,E102,B102,F102,C102)</f>
        <v>-2.0019016420614544E-2</v>
      </c>
      <c r="I102" cm="1">
        <f t="array" ref="I102">theta_call(D102,A102,E102,B102,F102,C102)</f>
        <v>-1.8215577835651469</v>
      </c>
      <c r="J102" cm="1">
        <f t="array" ref="J102">theta_put(D102,A102,E102,B102,F102,C102)</f>
        <v>-1.8155936757808233</v>
      </c>
      <c r="K102" cm="1">
        <f t="array" ref="K102">gamma_new(D102,A102,E102,B102,F102,C102)</f>
        <v>2.3169614647433378E-3</v>
      </c>
      <c r="L102" cm="1">
        <f t="array" ref="L102">vega_new(D102,A102,E102,B102,F102,C102)</f>
        <v>5.0671947233936798</v>
      </c>
      <c r="M102" cm="1">
        <f t="array" ref="M102">rho_call(D102,A102,E102,B102,F102,C102)</f>
        <v>57.922265459566475</v>
      </c>
      <c r="N102" cm="1">
        <f t="array" ref="N102">rho_put(D102,A102,E102,B102,F102,C102)</f>
        <v>-1.7188123836696434</v>
      </c>
    </row>
    <row r="103" spans="1:14" x14ac:dyDescent="0.3">
      <c r="A103">
        <v>100</v>
      </c>
      <c r="B103">
        <f t="shared" si="5"/>
        <v>0.01</v>
      </c>
      <c r="C103">
        <v>0.2</v>
      </c>
      <c r="D103">
        <v>140</v>
      </c>
      <c r="E103">
        <v>0.6</v>
      </c>
      <c r="F103">
        <v>0</v>
      </c>
      <c r="G103" cm="1">
        <f t="array" ref="G103">delta_call(D103,A103,E103,B103,F103,C103)</f>
        <v>0.98893439681623385</v>
      </c>
      <c r="H103" cm="1">
        <f t="array" ref="H103">delta_put(D103,A103,E103,B103,F103,C103)</f>
        <v>-1.1065603183766148E-2</v>
      </c>
      <c r="I103" cm="1">
        <f t="array" ref="I103">theta_call(D103,A103,E103,B103,F103,C103)</f>
        <v>-1.5156040955099128</v>
      </c>
      <c r="J103" cm="1">
        <f t="array" ref="J103">theta_put(D103,A103,E103,B103,F103,C103)</f>
        <v>-1.5096399877255893</v>
      </c>
      <c r="K103" cm="1">
        <f t="array" ref="K103">gamma_new(D103,A103,E103,B103,F103,C103)</f>
        <v>1.3421930911671856E-3</v>
      </c>
      <c r="L103" cm="1">
        <f t="array" ref="L103">vega_new(D103,A103,E103,B103,F103,C103)</f>
        <v>3.1568381504252203</v>
      </c>
      <c r="M103" cm="1">
        <f t="array" ref="M103">rho_call(D103,A103,E103,B103,F103,C103)</f>
        <v>58.659707295076835</v>
      </c>
      <c r="N103" cm="1">
        <f t="array" ref="N103">rho_put(D103,A103,E103,B103,F103,C103)</f>
        <v>-0.98137054815928337</v>
      </c>
    </row>
    <row r="104" spans="1:14" x14ac:dyDescent="0.3">
      <c r="A104">
        <v>100</v>
      </c>
      <c r="B104">
        <f>1/100</f>
        <v>0.01</v>
      </c>
      <c r="C104">
        <v>0.2</v>
      </c>
      <c r="D104">
        <v>60</v>
      </c>
      <c r="E104">
        <v>0.7</v>
      </c>
      <c r="F104">
        <v>0</v>
      </c>
      <c r="G104" cm="1">
        <f t="array" ref="G104">delta_call(D104,A104,E104,B104,F104,C104)</f>
        <v>1.7097704105366416E-3</v>
      </c>
      <c r="H104" cm="1">
        <f t="array" ref="H104">delta_put(D104,A104,E104,B104,F104,C104)</f>
        <v>-0.99829022958946334</v>
      </c>
      <c r="I104" cm="1">
        <f t="array" ref="I104">theta_call(D104,A104,E104,B104,F104,C104)</f>
        <v>-4.0419861122540202E-2</v>
      </c>
      <c r="J104" cm="1">
        <f t="array" ref="J104">theta_put(D104,A104,E104,B104,F104,C104)</f>
        <v>-3.3468690022007558E-2</v>
      </c>
      <c r="K104" cm="1">
        <f t="array" ref="K104">gamma_new(D104,A104,E104,B104,F104,C104)</f>
        <v>5.4760481596518001E-4</v>
      </c>
      <c r="L104" cm="1">
        <f t="array" ref="L104">vega_new(D104,A104,E104,B104,F104,C104)</f>
        <v>0.27599282724645069</v>
      </c>
      <c r="M104" cm="1">
        <f t="array" ref="M104">rho_call(D104,A104,E104,B104,F104,C104)</f>
        <v>6.8496313647904108E-2</v>
      </c>
      <c r="N104" cm="1">
        <f t="array" ref="N104">rho_put(D104,A104,E104,B104,F104,C104)</f>
        <v>-69.443214691678563</v>
      </c>
    </row>
    <row r="105" spans="1:14" x14ac:dyDescent="0.3">
      <c r="A105">
        <v>100</v>
      </c>
      <c r="B105">
        <f t="shared" ref="B105:B120" si="6">1/100</f>
        <v>0.01</v>
      </c>
      <c r="C105">
        <v>0.2</v>
      </c>
      <c r="D105">
        <v>65</v>
      </c>
      <c r="E105">
        <v>0.7</v>
      </c>
      <c r="F105">
        <v>0</v>
      </c>
      <c r="G105" cm="1">
        <f t="array" ref="G105">delta_call(D105,A105,E105,B105,F105,C105)</f>
        <v>7.1642370961297339E-3</v>
      </c>
      <c r="H105" cm="1">
        <f t="array" ref="H105">delta_put(D105,A105,E105,B105,F105,C105)</f>
        <v>-0.99283576290387021</v>
      </c>
      <c r="I105" cm="1">
        <f t="array" ref="I105">theta_call(D105,A105,E105,B105,F105,C105)</f>
        <v>-0.15900012062368155</v>
      </c>
      <c r="J105" cm="1">
        <f t="array" ref="J105">theta_put(D105,A105,E105,B105,F105,C105)</f>
        <v>-0.1520489495231489</v>
      </c>
      <c r="K105" cm="1">
        <f t="array" ref="K105">gamma_new(D105,A105,E105,B105,F105,C105)</f>
        <v>1.8286848240875091E-3</v>
      </c>
      <c r="L105" cm="1">
        <f t="array" ref="L105">vega_new(D105,A105,E105,B105,F105,C105)</f>
        <v>1.0816670734477618</v>
      </c>
      <c r="M105" cm="1">
        <f t="array" ref="M105">rho_call(D105,A105,E105,B105,F105,C105)</f>
        <v>0.30898154554743779</v>
      </c>
      <c r="N105" cm="1">
        <f t="array" ref="N105">rho_put(D105,A105,E105,B105,F105,C105)</f>
        <v>-69.202729459779022</v>
      </c>
    </row>
    <row r="106" spans="1:14" x14ac:dyDescent="0.3">
      <c r="A106">
        <v>100</v>
      </c>
      <c r="B106">
        <f t="shared" si="6"/>
        <v>0.01</v>
      </c>
      <c r="C106">
        <v>0.2</v>
      </c>
      <c r="D106">
        <v>70</v>
      </c>
      <c r="E106">
        <v>0.7</v>
      </c>
      <c r="F106">
        <v>0</v>
      </c>
      <c r="G106" cm="1">
        <f t="array" ref="G106">delta_call(D106,A106,E106,B106,F106,C106)</f>
        <v>2.242591118396205E-2</v>
      </c>
      <c r="H106" cm="1">
        <f t="array" ref="H106">delta_put(D106,A106,E106,B106,F106,C106)</f>
        <v>-0.97757408881603791</v>
      </c>
      <c r="I106" cm="1">
        <f t="array" ref="I106">theta_call(D106,A106,E106,B106,F106,C106)</f>
        <v>-0.46126801345955099</v>
      </c>
      <c r="J106" cm="1">
        <f t="array" ref="J106">theta_put(D106,A106,E106,B106,F106,C106)</f>
        <v>-0.45431684235901831</v>
      </c>
      <c r="K106" cm="1">
        <f t="array" ref="K106">gamma_new(D106,A106,E106,B106,F106,C106)</f>
        <v>4.5539531232495038E-3</v>
      </c>
      <c r="L106" cm="1">
        <f t="array" ref="L106">vega_new(D106,A106,E106,B106,F106,C106)</f>
        <v>3.1240118425491601</v>
      </c>
      <c r="M106" cm="1">
        <f t="array" ref="M106">rho_call(D106,A106,E106,B106,F106,C106)</f>
        <v>1.0340638105047844</v>
      </c>
      <c r="N106" cm="1">
        <f t="array" ref="N106">rho_put(D106,A106,E106,B106,F106,C106)</f>
        <v>-68.477647194821671</v>
      </c>
    </row>
    <row r="107" spans="1:14" x14ac:dyDescent="0.3">
      <c r="A107">
        <v>100</v>
      </c>
      <c r="B107">
        <f t="shared" si="6"/>
        <v>0.01</v>
      </c>
      <c r="C107">
        <v>0.2</v>
      </c>
      <c r="D107">
        <v>75</v>
      </c>
      <c r="E107">
        <v>0.7</v>
      </c>
      <c r="F107">
        <v>0</v>
      </c>
      <c r="G107" cm="1">
        <f t="array" ref="G107">delta_call(D107,A107,E107,B107,F107,C107)</f>
        <v>5.5498237073536447E-2</v>
      </c>
      <c r="H107" cm="1">
        <f t="array" ref="H107">delta_put(D107,A107,E107,B107,F107,C107)</f>
        <v>-0.94450176292646359</v>
      </c>
      <c r="I107" cm="1">
        <f t="array" ref="I107">theta_call(D107,A107,E107,B107,F107,C107)</f>
        <v>-1.043711976514581</v>
      </c>
      <c r="J107" cm="1">
        <f t="array" ref="J107">theta_put(D107,A107,E107,B107,F107,C107)</f>
        <v>-1.0367608054140485</v>
      </c>
      <c r="K107" cm="1">
        <f t="array" ref="K107">gamma_new(D107,A107,E107,B107,F107,C107)</f>
        <v>8.9273180622224217E-3</v>
      </c>
      <c r="L107" cm="1">
        <f t="array" ref="L107">vega_new(D107,A107,E107,B107,F107,C107)</f>
        <v>7.0302629740001565</v>
      </c>
      <c r="M107" cm="1">
        <f t="array" ref="M107">rho_call(D107,A107,E107,B107,F107,C107)</f>
        <v>2.7188766452768531</v>
      </c>
      <c r="N107" cm="1">
        <f t="array" ref="N107">rho_put(D107,A107,E107,B107,F107,C107)</f>
        <v>-66.792834360049611</v>
      </c>
    </row>
    <row r="108" spans="1:14" x14ac:dyDescent="0.3">
      <c r="A108">
        <v>100</v>
      </c>
      <c r="B108">
        <f t="shared" si="6"/>
        <v>0.01</v>
      </c>
      <c r="C108">
        <v>0.2</v>
      </c>
      <c r="D108">
        <v>80</v>
      </c>
      <c r="E108">
        <v>0.7</v>
      </c>
      <c r="F108">
        <v>0</v>
      </c>
      <c r="G108" cm="1">
        <f t="array" ref="G108">delta_call(D108,A108,E108,B108,F108,C108)</f>
        <v>0.11351617326502472</v>
      </c>
      <c r="H108" cm="1">
        <f t="array" ref="H108">delta_put(D108,A108,E108,B108,F108,C108)</f>
        <v>-0.88648382673497528</v>
      </c>
      <c r="I108" cm="1">
        <f t="array" ref="I108">theta_call(D108,A108,E108,B108,F108,C108)</f>
        <v>-1.9239909864035536</v>
      </c>
      <c r="J108" cm="1">
        <f t="array" ref="J108">theta_put(D108,A108,E108,B108,F108,C108)</f>
        <v>-1.917039815303021</v>
      </c>
      <c r="K108" cm="1">
        <f t="array" ref="K108">gamma_new(D108,A108,E108,B108,F108,C108)</f>
        <v>1.4366321033900606E-2</v>
      </c>
      <c r="L108" cm="1">
        <f t="array" ref="L108">vega_new(D108,A108,E108,B108,F108,C108)</f>
        <v>12.872223646374943</v>
      </c>
      <c r="M108" cm="1">
        <f t="array" ref="M108">rho_call(D108,A108,E108,B108,F108,C108)</f>
        <v>5.8743138124230585</v>
      </c>
      <c r="N108" cm="1">
        <f t="array" ref="N108">rho_put(D108,A108,E108,B108,F108,C108)</f>
        <v>-63.6373971929034</v>
      </c>
    </row>
    <row r="109" spans="1:14" x14ac:dyDescent="0.3">
      <c r="A109">
        <v>100</v>
      </c>
      <c r="B109">
        <f t="shared" si="6"/>
        <v>0.01</v>
      </c>
      <c r="C109">
        <v>0.2</v>
      </c>
      <c r="D109">
        <v>85</v>
      </c>
      <c r="E109">
        <v>0.7</v>
      </c>
      <c r="F109">
        <v>0</v>
      </c>
      <c r="G109" cm="1">
        <f t="array" ref="G109">delta_call(D109,A109,E109,B109,F109,C109)</f>
        <v>0.19884963648426759</v>
      </c>
      <c r="H109" cm="1">
        <f t="array" ref="H109">delta_put(D109,A109,E109,B109,F109,C109)</f>
        <v>-0.80115036351573243</v>
      </c>
      <c r="I109" cm="1">
        <f t="array" ref="I109">theta_call(D109,A109,E109,B109,F109,C109)</f>
        <v>-2.9910030390680649</v>
      </c>
      <c r="J109" cm="1">
        <f t="array" ref="J109">theta_put(D109,A109,E109,B109,F109,C109)</f>
        <v>-2.9840518679675321</v>
      </c>
      <c r="K109" cm="1">
        <f t="array" ref="K109">gamma_new(D109,A109,E109,B109,F109,C109)</f>
        <v>1.9615204928584505E-2</v>
      </c>
      <c r="L109" cm="1">
        <f t="array" ref="L109">vega_new(D109,A109,E109,B109,F109,C109)</f>
        <v>19.84077978526323</v>
      </c>
      <c r="M109" cm="1">
        <f t="array" ref="M109">rho_call(D109,A109,E109,B109,F109,C109)</f>
        <v>10.810010394461257</v>
      </c>
      <c r="N109" cm="1">
        <f t="array" ref="N109">rho_put(D109,A109,E109,B109,F109,C109)</f>
        <v>-58.701700610865203</v>
      </c>
    </row>
    <row r="110" spans="1:14" x14ac:dyDescent="0.3">
      <c r="A110">
        <v>100</v>
      </c>
      <c r="B110">
        <f t="shared" si="6"/>
        <v>0.01</v>
      </c>
      <c r="C110">
        <v>0.2</v>
      </c>
      <c r="D110">
        <v>90</v>
      </c>
      <c r="E110">
        <v>0.7</v>
      </c>
      <c r="F110">
        <v>0</v>
      </c>
      <c r="G110" cm="1">
        <f t="array" ref="G110">delta_call(D110,A110,E110,B110,F110,C110)</f>
        <v>0.30707780777053395</v>
      </c>
      <c r="H110" cm="1">
        <f t="array" ref="H110">delta_put(D110,A110,E110,B110,F110,C110)</f>
        <v>-0.69292219222946605</v>
      </c>
      <c r="I110" cm="1">
        <f t="array" ref="I110">theta_call(D110,A110,E110,B110,F110,C110)</f>
        <v>-4.0320226345242007</v>
      </c>
      <c r="J110" cm="1">
        <f t="array" ref="J110">theta_put(D110,A110,E110,B110,F110,C110)</f>
        <v>-4.025071463423668</v>
      </c>
      <c r="K110" cm="1">
        <f t="array" ref="K110">gamma_new(D110,A110,E110,B110,F110,C110)</f>
        <v>2.3329031963279283E-2</v>
      </c>
      <c r="L110" cm="1">
        <f t="array" ref="L110">vega_new(D110,A110,E110,B110,F110,C110)</f>
        <v>26.455122246358705</v>
      </c>
      <c r="M110" cm="1">
        <f t="array" ref="M110">rho_call(D110,A110,E110,B110,F110,C110)</f>
        <v>17.44442247907995</v>
      </c>
      <c r="N110" cm="1">
        <f t="array" ref="N110">rho_put(D110,A110,E110,B110,F110,C110)</f>
        <v>-52.067288526246514</v>
      </c>
    </row>
    <row r="111" spans="1:14" x14ac:dyDescent="0.3">
      <c r="A111">
        <v>100</v>
      </c>
      <c r="B111">
        <f t="shared" si="6"/>
        <v>0.01</v>
      </c>
      <c r="C111">
        <v>0.2</v>
      </c>
      <c r="D111">
        <v>95</v>
      </c>
      <c r="E111">
        <v>0.7</v>
      </c>
      <c r="F111">
        <v>0</v>
      </c>
      <c r="G111" cm="1">
        <f t="array" ref="G111">delta_call(D111,A111,E111,B111,F111,C111)</f>
        <v>0.42816924322332078</v>
      </c>
      <c r="H111" cm="1">
        <f t="array" ref="H111">delta_put(D111,A111,E111,B111,F111,C111)</f>
        <v>-0.57183075677667916</v>
      </c>
      <c r="I111" cm="1">
        <f t="array" ref="I111">theta_call(D111,A111,E111,B111,F111,C111)</f>
        <v>-4.8225687538942648</v>
      </c>
      <c r="J111" cm="1">
        <f t="array" ref="J111">theta_put(D111,A111,E111,B111,F111,C111)</f>
        <v>-4.815617582793732</v>
      </c>
      <c r="K111" cm="1">
        <f t="array" ref="K111">gamma_new(D111,A111,E111,B111,F111,C111)</f>
        <v>2.4688265009858646E-2</v>
      </c>
      <c r="L111" cm="1">
        <f t="array" ref="L111">vega_new(D111,A111,E111,B111,F111,C111)</f>
        <v>31.193622839956397</v>
      </c>
      <c r="M111" cm="1">
        <f t="array" ref="M111">rho_call(D111,A111,E111,B111,F111,C111)</f>
        <v>25.287075576346904</v>
      </c>
      <c r="N111" cm="1">
        <f t="array" ref="N111">rho_put(D111,A111,E111,B111,F111,C111)</f>
        <v>-44.224635428979553</v>
      </c>
    </row>
    <row r="112" spans="1:14" x14ac:dyDescent="0.3">
      <c r="A112">
        <v>100</v>
      </c>
      <c r="B112">
        <f t="shared" si="6"/>
        <v>0.01</v>
      </c>
      <c r="C112">
        <v>0.2</v>
      </c>
      <c r="D112">
        <v>100</v>
      </c>
      <c r="E112">
        <v>0.7</v>
      </c>
      <c r="F112">
        <v>0</v>
      </c>
      <c r="G112" cm="1">
        <f t="array" ref="G112">delta_call(D112,A112,E112,B112,F112,C112)</f>
        <v>0.54993574324296035</v>
      </c>
      <c r="H112" cm="1">
        <f t="array" ref="H112">delta_put(D112,A112,E112,B112,F112,C112)</f>
        <v>-0.45006425675703965</v>
      </c>
      <c r="I112" cm="1">
        <f t="array" ref="I112">theta_call(D112,A112,E112,B112,F112,C112)</f>
        <v>-5.2175805860015299</v>
      </c>
      <c r="J112" cm="1">
        <f t="array" ref="J112">theta_put(D112,A112,E112,B112,F112,C112)</f>
        <v>-5.2106294149009971</v>
      </c>
      <c r="K112" cm="1">
        <f t="array" ref="K112">gamma_new(D112,A112,E112,B112,F112,C112)</f>
        <v>2.3654347961507349E-2</v>
      </c>
      <c r="L112" cm="1">
        <f t="array" ref="L112">vega_new(D112,A112,E112,B112,F112,C112)</f>
        <v>33.116087146110289</v>
      </c>
      <c r="M112" cm="1">
        <f t="array" ref="M112">rho_call(D112,A112,E112,B112,F112,C112)</f>
        <v>33.596116095735589</v>
      </c>
      <c r="N112" cm="1">
        <f t="array" ref="N112">rho_put(D112,A112,E112,B112,F112,C112)</f>
        <v>-35.915594909590872</v>
      </c>
    </row>
    <row r="113" spans="1:14" x14ac:dyDescent="0.3">
      <c r="A113">
        <v>100</v>
      </c>
      <c r="B113">
        <f t="shared" si="6"/>
        <v>0.01</v>
      </c>
      <c r="C113">
        <v>0.2</v>
      </c>
      <c r="D113">
        <v>105</v>
      </c>
      <c r="E113">
        <v>0.7</v>
      </c>
      <c r="F113">
        <v>0</v>
      </c>
      <c r="G113" cm="1">
        <f t="array" ref="G113">delta_call(D113,A113,E113,B113,F113,C113)</f>
        <v>0.66168859212232867</v>
      </c>
      <c r="H113" cm="1">
        <f t="array" ref="H113">delta_put(D113,A113,E113,B113,F113,C113)</f>
        <v>-0.33831140787767133</v>
      </c>
      <c r="I113" cm="1">
        <f t="array" ref="I113">theta_call(D113,A113,E113,B113,F113,C113)</f>
        <v>-5.192435808043764</v>
      </c>
      <c r="J113" cm="1">
        <f t="array" ref="J113">theta_put(D113,A113,E113,B113,F113,C113)</f>
        <v>-5.1854846369432313</v>
      </c>
      <c r="K113" cm="1">
        <f t="array" ref="K113">gamma_new(D113,A113,E113,B113,F113,C113)</f>
        <v>2.0814619144845087E-2</v>
      </c>
      <c r="L113" cm="1">
        <f t="array" ref="L113">vega_new(D113,A113,E113,B113,F113,C113)</f>
        <v>32.127364650068394</v>
      </c>
      <c r="M113" cm="1">
        <f t="array" ref="M113">rho_call(D113,A113,E113,B113,F113,C113)</f>
        <v>41.610220083116076</v>
      </c>
      <c r="N113" cm="1">
        <f t="array" ref="N113">rho_put(D113,A113,E113,B113,F113,C113)</f>
        <v>-27.901490922210385</v>
      </c>
    </row>
    <row r="114" spans="1:14" x14ac:dyDescent="0.3">
      <c r="A114">
        <v>100</v>
      </c>
      <c r="B114">
        <f t="shared" si="6"/>
        <v>0.01</v>
      </c>
      <c r="C114">
        <v>0.2</v>
      </c>
      <c r="D114">
        <v>110</v>
      </c>
      <c r="E114">
        <v>0.7</v>
      </c>
      <c r="F114">
        <v>0</v>
      </c>
      <c r="G114" cm="1">
        <f t="array" ref="G114">delta_call(D114,A114,E114,B114,F114,C114)</f>
        <v>0.7564993813863905</v>
      </c>
      <c r="H114" cm="1">
        <f t="array" ref="H114">delta_put(D114,A114,E114,B114,F114,C114)</f>
        <v>-0.2435006186136095</v>
      </c>
      <c r="I114" cm="1">
        <f t="array" ref="I114">theta_call(D114,A114,E114,B114,F114,C114)</f>
        <v>-4.8255490293973731</v>
      </c>
      <c r="J114" cm="1">
        <f t="array" ref="J114">theta_put(D114,A114,E114,B114,F114,C114)</f>
        <v>-4.8185978582968403</v>
      </c>
      <c r="K114" cm="1">
        <f t="array" ref="K114">gamma_new(D114,A114,E114,B114,F114,C114)</f>
        <v>1.7022556226213847E-2</v>
      </c>
      <c r="L114" cm="1">
        <f t="array" ref="L114">vega_new(D114,A114,E114,B114,F114,C114)</f>
        <v>28.836210247206257</v>
      </c>
      <c r="M114" cm="1">
        <f t="array" ref="M114">rho_call(D114,A114,E114,B114,F114,C114)</f>
        <v>48.739182226438395</v>
      </c>
      <c r="N114" cm="1">
        <f t="array" ref="N114">rho_put(D114,A114,E114,B114,F114,C114)</f>
        <v>-20.772528778888066</v>
      </c>
    </row>
    <row r="115" spans="1:14" x14ac:dyDescent="0.3">
      <c r="A115">
        <v>100</v>
      </c>
      <c r="B115">
        <f t="shared" si="6"/>
        <v>0.01</v>
      </c>
      <c r="C115">
        <v>0.2</v>
      </c>
      <c r="D115">
        <v>115</v>
      </c>
      <c r="E115">
        <v>0.7</v>
      </c>
      <c r="F115">
        <v>0</v>
      </c>
      <c r="G115" cm="1">
        <f t="array" ref="G115">delta_call(D115,A115,E115,B115,F115,C115)</f>
        <v>0.83165762889347106</v>
      </c>
      <c r="H115" cm="1">
        <f t="array" ref="H115">delta_put(D115,A115,E115,B115,F115,C115)</f>
        <v>-0.16834237110652894</v>
      </c>
      <c r="I115" cm="1">
        <f t="array" ref="I115">theta_call(D115,A115,E115,B115,F115,C115)</f>
        <v>-4.2481905149445334</v>
      </c>
      <c r="J115" cm="1">
        <f t="array" ref="J115">theta_put(D115,A115,E115,B115,F115,C115)</f>
        <v>-4.2412393438440006</v>
      </c>
      <c r="K115" cm="1">
        <f t="array" ref="K115">gamma_new(D115,A115,E115,B115,F115,C115)</f>
        <v>1.306782132810054E-2</v>
      </c>
      <c r="L115" cm="1">
        <f t="array" ref="L115">vega_new(D115,A115,E115,B115,F115,C115)</f>
        <v>24.195071188978151</v>
      </c>
      <c r="M115" cm="1">
        <f t="array" ref="M115">rho_call(D115,A115,E115,B115,F115,C115)</f>
        <v>54.652113577166304</v>
      </c>
      <c r="N115" cm="1">
        <f t="array" ref="N115">rho_put(D115,A115,E115,B115,F115,C115)</f>
        <v>-14.859597428160157</v>
      </c>
    </row>
    <row r="116" spans="1:14" x14ac:dyDescent="0.3">
      <c r="A116">
        <v>100</v>
      </c>
      <c r="B116">
        <f t="shared" si="6"/>
        <v>0.01</v>
      </c>
      <c r="C116">
        <v>0.2</v>
      </c>
      <c r="D116">
        <v>120</v>
      </c>
      <c r="E116">
        <v>0.7</v>
      </c>
      <c r="F116">
        <v>0</v>
      </c>
      <c r="G116" cm="1">
        <f t="array" ref="G116">delta_call(D116,A116,E116,B116,F116,C116)</f>
        <v>0.88783196322373703</v>
      </c>
      <c r="H116" cm="1">
        <f t="array" ref="H116">delta_put(D116,A116,E116,B116,F116,C116)</f>
        <v>-0.11216803677626297</v>
      </c>
      <c r="I116" cm="1">
        <f t="array" ref="I116">theta_call(D116,A116,E116,B116,F116,C116)</f>
        <v>-3.5935186973612852</v>
      </c>
      <c r="J116" cm="1">
        <f t="array" ref="J116">theta_put(D116,A116,E116,B116,F116,C116)</f>
        <v>-3.5865675262607524</v>
      </c>
      <c r="K116" cm="1">
        <f t="array" ref="K116">gamma_new(D116,A116,E116,B116,F116,C116)</f>
        <v>9.496205086649636E-3</v>
      </c>
      <c r="L116" cm="1">
        <f t="array" ref="L116">vega_new(D116,A116,E116,B116,F116,C116)</f>
        <v>19.144349454685667</v>
      </c>
      <c r="M116" cm="1">
        <f t="array" ref="M116">rho_call(D116,A116,E116,B116,F116,C116)</f>
        <v>59.267237553388959</v>
      </c>
      <c r="N116" cm="1">
        <f t="array" ref="N116">rho_put(D116,A116,E116,B116,F116,C116)</f>
        <v>-10.244473451937502</v>
      </c>
    </row>
    <row r="117" spans="1:14" x14ac:dyDescent="0.3">
      <c r="A117">
        <v>100</v>
      </c>
      <c r="B117">
        <f t="shared" si="6"/>
        <v>0.01</v>
      </c>
      <c r="C117">
        <v>0.2</v>
      </c>
      <c r="D117">
        <v>125</v>
      </c>
      <c r="E117">
        <v>0.7</v>
      </c>
      <c r="F117">
        <v>0</v>
      </c>
      <c r="G117" cm="1">
        <f t="array" ref="G117">delta_call(D117,A117,E117,B117,F117,C117)</f>
        <v>0.92772250848626392</v>
      </c>
      <c r="H117" cm="1">
        <f t="array" ref="H117">delta_put(D117,A117,E117,B117,F117,C117)</f>
        <v>-7.2277491513736081E-2</v>
      </c>
      <c r="I117" cm="1">
        <f t="array" ref="I117">theta_call(D117,A117,E117,B117,F117,C117)</f>
        <v>-2.9640453433654779</v>
      </c>
      <c r="J117" cm="1">
        <f t="array" ref="J117">theta_put(D117,A117,E117,B117,F117,C117)</f>
        <v>-2.9570941722649451</v>
      </c>
      <c r="K117" cm="1">
        <f t="array" ref="K117">gamma_new(D117,A117,E117,B117,F117,C117)</f>
        <v>6.5790096216856199E-3</v>
      </c>
      <c r="L117" cm="1">
        <f t="array" ref="L117">vega_new(D117,A117,E117,B117,F117,C117)</f>
        <v>14.391583547437294</v>
      </c>
      <c r="M117" cm="1">
        <f t="array" ref="M117">rho_call(D117,A117,E117,B117,F117,C117)</f>
        <v>62.68359645053561</v>
      </c>
      <c r="N117" cm="1">
        <f t="array" ref="N117">rho_put(D117,A117,E117,B117,F117,C117)</f>
        <v>-6.8281145547908508</v>
      </c>
    </row>
    <row r="118" spans="1:14" x14ac:dyDescent="0.3">
      <c r="A118">
        <v>100</v>
      </c>
      <c r="B118">
        <f t="shared" si="6"/>
        <v>0.01</v>
      </c>
      <c r="C118">
        <v>0.2</v>
      </c>
      <c r="D118">
        <v>130</v>
      </c>
      <c r="E118">
        <v>0.7</v>
      </c>
      <c r="F118">
        <v>0</v>
      </c>
      <c r="G118" cm="1">
        <f t="array" ref="G118">delta_call(D118,A118,E118,B118,F118,C118)</f>
        <v>0.95481273623086027</v>
      </c>
      <c r="H118" cm="1">
        <f t="array" ref="H118">delta_put(D118,A118,E118,B118,F118,C118)</f>
        <v>-4.5187263769139729E-2</v>
      </c>
      <c r="I118" cm="1">
        <f t="array" ref="I118">theta_call(D118,A118,E118,B118,F118,C118)</f>
        <v>-2.4208099381508927</v>
      </c>
      <c r="J118" cm="1">
        <f t="array" ref="J118">theta_put(D118,A118,E118,B118,F118,C118)</f>
        <v>-2.41385876705036</v>
      </c>
      <c r="K118" cm="1">
        <f t="array" ref="K118">gamma_new(D118,A118,E118,B118,F118,C118)</f>
        <v>4.3719665660242645E-3</v>
      </c>
      <c r="L118" cm="1">
        <f t="array" ref="L118">vega_new(D118,A118,E118,B118,F118,C118)</f>
        <v>10.344072895213412</v>
      </c>
      <c r="M118" cm="1">
        <f t="array" ref="M118">rho_call(D118,A118,E118,B118,F118,C118)</f>
        <v>65.098182663181063</v>
      </c>
      <c r="N118" cm="1">
        <f t="array" ref="N118">rho_put(D118,A118,E118,B118,F118,C118)</f>
        <v>-4.4135283421453977</v>
      </c>
    </row>
    <row r="119" spans="1:14" x14ac:dyDescent="0.3">
      <c r="A119">
        <v>100</v>
      </c>
      <c r="B119">
        <f t="shared" si="6"/>
        <v>0.01</v>
      </c>
      <c r="C119">
        <v>0.2</v>
      </c>
      <c r="D119">
        <v>135</v>
      </c>
      <c r="E119">
        <v>0.7</v>
      </c>
      <c r="F119">
        <v>0</v>
      </c>
      <c r="G119" cm="1">
        <f t="array" ref="G119">delta_call(D119,A119,E119,B119,F119,C119)</f>
        <v>0.97250574341060869</v>
      </c>
      <c r="H119" cm="1">
        <f t="array" ref="H119">delta_put(D119,A119,E119,B119,F119,C119)</f>
        <v>-2.7494256589391308E-2</v>
      </c>
      <c r="I119" cm="1">
        <f t="array" ref="I119">theta_call(D119,A119,E119,B119,F119,C119)</f>
        <v>-1.987916678264847</v>
      </c>
      <c r="J119" cm="1">
        <f t="array" ref="J119">theta_put(D119,A119,E119,B119,F119,C119)</f>
        <v>-1.9809655071643144</v>
      </c>
      <c r="K119" cm="1">
        <f t="array" ref="K119">gamma_new(D119,A119,E119,B119,F119,C119)</f>
        <v>2.8013465758306819E-3</v>
      </c>
      <c r="L119" cm="1">
        <f t="array" ref="L119">vega_new(D119,A119,E119,B119,F119,C119)</f>
        <v>7.1476357882319848</v>
      </c>
      <c r="M119" cm="1">
        <f t="array" ref="M119">rho_call(D119,A119,E119,B119,F119,C119)</f>
        <v>66.73692184392155</v>
      </c>
      <c r="N119" cm="1">
        <f t="array" ref="N119">rho_put(D119,A119,E119,B119,F119,C119)</f>
        <v>-2.7747891614049109</v>
      </c>
    </row>
    <row r="120" spans="1:14" x14ac:dyDescent="0.3">
      <c r="A120">
        <v>100</v>
      </c>
      <c r="B120">
        <f t="shared" si="6"/>
        <v>0.01</v>
      </c>
      <c r="C120">
        <v>0.2</v>
      </c>
      <c r="D120">
        <v>140</v>
      </c>
      <c r="E120">
        <v>0.7</v>
      </c>
      <c r="F120">
        <v>0</v>
      </c>
      <c r="G120" cm="1">
        <f t="array" ref="G120">delta_call(D120,A120,E120,B120,F120,C120)</f>
        <v>0.98367272820713014</v>
      </c>
      <c r="H120" cm="1">
        <f t="array" ref="H120">delta_put(D120,A120,E120,B120,F120,C120)</f>
        <v>-1.6327271792869857E-2</v>
      </c>
      <c r="I120" cm="1">
        <f t="array" ref="I120">theta_call(D120,A120,E120,B120,F120,C120)</f>
        <v>-1.6638849511388574</v>
      </c>
      <c r="J120" cm="1">
        <f t="array" ref="J120">theta_put(D120,A120,E120,B120,F120,C120)</f>
        <v>-1.6569337800383248</v>
      </c>
      <c r="K120" cm="1">
        <f t="array" ref="K120">gamma_new(D120,A120,E120,B120,F120,C120)</f>
        <v>1.7385470025647581E-3</v>
      </c>
      <c r="L120" cm="1">
        <f t="array" ref="L120">vega_new(D120,A120,E120,B120,F120,C120)</f>
        <v>4.7705729750376964</v>
      </c>
      <c r="M120" cm="1">
        <f t="array" ref="M120">rho_call(D120,A120,E120,B120,F120,C120)</f>
        <v>67.810197543662682</v>
      </c>
      <c r="N120" cm="1">
        <f t="array" ref="N120">rho_put(D120,A120,E120,B120,F120,C120)</f>
        <v>-1.7015134616637795</v>
      </c>
    </row>
    <row r="121" spans="1:14" x14ac:dyDescent="0.3">
      <c r="A121">
        <v>100</v>
      </c>
      <c r="B121">
        <f>1/100</f>
        <v>0.01</v>
      </c>
      <c r="C121">
        <v>0.2</v>
      </c>
      <c r="D121">
        <v>60</v>
      </c>
      <c r="E121">
        <v>0.8</v>
      </c>
      <c r="F121">
        <v>0</v>
      </c>
      <c r="G121" cm="1">
        <f t="array" ref="G121">delta_call(D121,A121,E121,B121,F121,C121)</f>
        <v>3.2499291224938613E-3</v>
      </c>
      <c r="H121" cm="1">
        <f t="array" ref="H121">delta_put(D121,A121,E121,B121,F121,C121)</f>
        <v>-0.99675007087750611</v>
      </c>
      <c r="I121" cm="1">
        <f t="array" ref="I121">theta_call(D121,A121,E121,B121,F121,C121)</f>
        <v>-6.7838014498347629E-2</v>
      </c>
      <c r="J121" cm="1">
        <f t="array" ref="J121">theta_put(D121,A121,E121,B121,F121,C121)</f>
        <v>-5.990175917965114E-2</v>
      </c>
      <c r="K121" cm="1">
        <f t="array" ref="K121">gamma_new(D121,A121,E121,B121,F121,C121)</f>
        <v>9.1609936771568209E-4</v>
      </c>
      <c r="L121" cm="1">
        <f t="array" ref="L121">vega_new(D121,A121,E121,B121,F121,C121)</f>
        <v>0.52767323580423287</v>
      </c>
      <c r="M121" cm="1">
        <f t="array" ref="M121">rho_call(D121,A121,E121,B121,F121,C121)</f>
        <v>0.1479229983212314</v>
      </c>
      <c r="N121" cm="1">
        <f t="array" ref="N121">rho_put(D121,A121,E121,B121,F121,C121)</f>
        <v>-79.214630188643611</v>
      </c>
    </row>
    <row r="122" spans="1:14" x14ac:dyDescent="0.3">
      <c r="A122">
        <v>100</v>
      </c>
      <c r="B122">
        <f t="shared" ref="B122:B137" si="7">1/100</f>
        <v>0.01</v>
      </c>
      <c r="C122">
        <v>0.2</v>
      </c>
      <c r="D122">
        <v>65</v>
      </c>
      <c r="E122">
        <v>0.8</v>
      </c>
      <c r="F122">
        <v>0</v>
      </c>
      <c r="G122" cm="1">
        <f t="array" ref="G122">delta_call(D122,A122,E122,B122,F122,C122)</f>
        <v>1.1483425231958777E-2</v>
      </c>
      <c r="H122" cm="1">
        <f t="array" ref="H122">delta_put(D122,A122,E122,B122,F122,C122)</f>
        <v>-0.98851657476804122</v>
      </c>
      <c r="I122" cm="1">
        <f t="array" ref="I122">theta_call(D122,A122,E122,B122,F122,C122)</f>
        <v>-0.22562098296553099</v>
      </c>
      <c r="J122" cm="1">
        <f t="array" ref="J122">theta_put(D122,A122,E122,B122,F122,C122)</f>
        <v>-0.2176847276468345</v>
      </c>
      <c r="K122" cm="1">
        <f t="array" ref="K122">gamma_new(D122,A122,E122,B122,F122,C122)</f>
        <v>2.5855385907713364E-3</v>
      </c>
      <c r="L122" cm="1">
        <f t="array" ref="L122">vega_new(D122,A122,E122,B122,F122,C122)</f>
        <v>1.747824087361423</v>
      </c>
      <c r="M122" cm="1">
        <f t="array" ref="M122">rho_call(D122,A122,E122,B122,F122,C122)</f>
        <v>0.56236751489784886</v>
      </c>
      <c r="N122" cm="1">
        <f t="array" ref="N122">rho_put(D122,A122,E122,B122,F122,C122)</f>
        <v>-78.800185672067002</v>
      </c>
    </row>
    <row r="123" spans="1:14" x14ac:dyDescent="0.3">
      <c r="A123">
        <v>100</v>
      </c>
      <c r="B123">
        <f t="shared" si="7"/>
        <v>0.01</v>
      </c>
      <c r="C123">
        <v>0.2</v>
      </c>
      <c r="D123">
        <v>70</v>
      </c>
      <c r="E123">
        <v>0.8</v>
      </c>
      <c r="F123">
        <v>0</v>
      </c>
      <c r="G123" cm="1">
        <f t="array" ref="G123">delta_call(D123,A123,E123,B123,F123,C123)</f>
        <v>3.1463320553836806E-2</v>
      </c>
      <c r="H123" cm="1">
        <f t="array" ref="H123">delta_put(D123,A123,E123,B123,F123,C123)</f>
        <v>-0.96853667944616317</v>
      </c>
      <c r="I123" cm="1">
        <f t="array" ref="I123">theta_call(D123,A123,E123,B123,F123,C123)</f>
        <v>-0.57484224329898426</v>
      </c>
      <c r="J123" cm="1">
        <f t="array" ref="J123">theta_put(D123,A123,E123,B123,F123,C123)</f>
        <v>-0.5669059879802878</v>
      </c>
      <c r="K123" cm="1">
        <f t="array" ref="K123">gamma_new(D123,A123,E123,B123,F123,C123)</f>
        <v>5.6523508060789462E-3</v>
      </c>
      <c r="L123" cm="1">
        <f t="array" ref="L123">vega_new(D123,A123,E123,B123,F123,C123)</f>
        <v>4.4314430319658937</v>
      </c>
      <c r="M123" cm="1">
        <f t="array" ref="M123">rho_call(D123,A123,E123,B123,F123,C123)</f>
        <v>1.6463949579291828</v>
      </c>
      <c r="N123" cm="1">
        <f t="array" ref="N123">rho_put(D123,A123,E123,B123,F123,C123)</f>
        <v>-77.716158229035656</v>
      </c>
    </row>
    <row r="124" spans="1:14" x14ac:dyDescent="0.3">
      <c r="A124">
        <v>100</v>
      </c>
      <c r="B124">
        <f t="shared" si="7"/>
        <v>0.01</v>
      </c>
      <c r="C124">
        <v>0.2</v>
      </c>
      <c r="D124">
        <v>75</v>
      </c>
      <c r="E124">
        <v>0.8</v>
      </c>
      <c r="F124">
        <v>0</v>
      </c>
      <c r="G124" cm="1">
        <f t="array" ref="G124">delta_call(D124,A124,E124,B124,F124,C124)</f>
        <v>7.0237080583764377E-2</v>
      </c>
      <c r="H124" cm="1">
        <f t="array" ref="H124">delta_put(D124,A124,E124,B124,F124,C124)</f>
        <v>-0.92976291941623557</v>
      </c>
      <c r="I124" cm="1">
        <f t="array" ref="I124">theta_call(D124,A124,E124,B124,F124,C124)</f>
        <v>-1.1783720358245673</v>
      </c>
      <c r="J124" cm="1">
        <f t="array" ref="J124">theta_put(D124,A124,E124,B124,F124,C124)</f>
        <v>-1.1704357805058707</v>
      </c>
      <c r="K124" cm="1">
        <f t="array" ref="K124">gamma_new(D124,A124,E124,B124,F124,C124)</f>
        <v>1.0033802504733588E-2</v>
      </c>
      <c r="L124" cm="1">
        <f t="array" ref="L124">vega_new(D124,A124,E124,B124,F124,C124)</f>
        <v>9.0304222542602286</v>
      </c>
      <c r="M124" cm="1">
        <f t="array" ref="M124">rho_call(D124,A124,E124,B124,F124,C124)</f>
        <v>3.902596571002467</v>
      </c>
      <c r="N124" cm="1">
        <f t="array" ref="N124">rho_put(D124,A124,E124,B124,F124,C124)</f>
        <v>-75.459956615962383</v>
      </c>
    </row>
    <row r="125" spans="1:14" x14ac:dyDescent="0.3">
      <c r="A125">
        <v>100</v>
      </c>
      <c r="B125">
        <f t="shared" si="7"/>
        <v>0.01</v>
      </c>
      <c r="C125">
        <v>0.2</v>
      </c>
      <c r="D125">
        <v>80</v>
      </c>
      <c r="E125">
        <v>0.8</v>
      </c>
      <c r="F125">
        <v>0</v>
      </c>
      <c r="G125" cm="1">
        <f t="array" ref="G125">delta_call(D125,A125,E125,B125,F125,C125)</f>
        <v>0.13280133237005642</v>
      </c>
      <c r="H125" cm="1">
        <f t="array" ref="H125">delta_put(D125,A125,E125,B125,F125,C125)</f>
        <v>-0.86719866762994358</v>
      </c>
      <c r="I125" cm="1">
        <f t="array" ref="I125">theta_call(D125,A125,E125,B125,F125,C125)</f>
        <v>-2.0191187748866817</v>
      </c>
      <c r="J125" cm="1">
        <f t="array" ref="J125">theta_put(D125,A125,E125,B125,F125,C125)</f>
        <v>-2.0111825195679853</v>
      </c>
      <c r="K125" cm="1">
        <f t="array" ref="K125">gamma_new(D125,A125,E125,B125,F125,C125)</f>
        <v>1.5001364182628535E-2</v>
      </c>
      <c r="L125" cm="1">
        <f t="array" ref="L125">vega_new(D125,A125,E125,B125,F125,C125)</f>
        <v>15.36139692301162</v>
      </c>
      <c r="M125" cm="1">
        <f t="array" ref="M125">rho_call(D125,A125,E125,B125,F125,C125)</f>
        <v>7.7898920427139711</v>
      </c>
      <c r="N125" cm="1">
        <f t="array" ref="N125">rho_put(D125,A125,E125,B125,F125,C125)</f>
        <v>-71.572661144250873</v>
      </c>
    </row>
    <row r="126" spans="1:14" x14ac:dyDescent="0.3">
      <c r="A126">
        <v>100</v>
      </c>
      <c r="B126">
        <f t="shared" si="7"/>
        <v>0.01</v>
      </c>
      <c r="C126">
        <v>0.2</v>
      </c>
      <c r="D126">
        <v>85</v>
      </c>
      <c r="E126">
        <v>0.8</v>
      </c>
      <c r="F126">
        <v>0</v>
      </c>
      <c r="G126" cm="1">
        <f t="array" ref="G126">delta_call(D126,A126,E126,B126,F126,C126)</f>
        <v>0.21936358982447046</v>
      </c>
      <c r="H126" cm="1">
        <f t="array" ref="H126">delta_put(D126,A126,E126,B126,F126,C126)</f>
        <v>-0.78063641017552954</v>
      </c>
      <c r="I126" cm="1">
        <f t="array" ref="I126">theta_call(D126,A126,E126,B126,F126,C126)</f>
        <v>-2.9807903329625667</v>
      </c>
      <c r="J126" cm="1">
        <f t="array" ref="J126">theta_put(D126,A126,E126,B126,F126,C126)</f>
        <v>-2.9728540776438703</v>
      </c>
      <c r="K126" cm="1">
        <f t="array" ref="K126">gamma_new(D126,A126,E126,B126,F126,C126)</f>
        <v>1.944073459830415E-2</v>
      </c>
      <c r="L126" cm="1">
        <f t="array" ref="L126">vega_new(D126,A126,E126,B126,F126,C126)</f>
        <v>22.473489195639598</v>
      </c>
      <c r="M126" cm="1">
        <f t="array" ref="M126">rho_call(D126,A126,E126,B126,F126,C126)</f>
        <v>13.510429218050067</v>
      </c>
      <c r="N126" cm="1">
        <f t="array" ref="N126">rho_put(D126,A126,E126,B126,F126,C126)</f>
        <v>-65.852123968914782</v>
      </c>
    </row>
    <row r="127" spans="1:14" x14ac:dyDescent="0.3">
      <c r="A127">
        <v>100</v>
      </c>
      <c r="B127">
        <f t="shared" si="7"/>
        <v>0.01</v>
      </c>
      <c r="C127">
        <v>0.2</v>
      </c>
      <c r="D127">
        <v>90</v>
      </c>
      <c r="E127">
        <v>0.8</v>
      </c>
      <c r="F127">
        <v>0</v>
      </c>
      <c r="G127" cm="1">
        <f t="array" ref="G127">delta_call(D127,A127,E127,B127,F127,C127)</f>
        <v>0.32461969070784658</v>
      </c>
      <c r="H127" cm="1">
        <f t="array" ref="H127">delta_put(D127,A127,E127,B127,F127,C127)</f>
        <v>-0.67538030929215342</v>
      </c>
      <c r="I127" cm="1">
        <f t="array" ref="I127">theta_call(D127,A127,E127,B127,F127,C127)</f>
        <v>-3.8850823397872243</v>
      </c>
      <c r="J127" cm="1">
        <f t="array" ref="J127">theta_put(D127,A127,E127,B127,F127,C127)</f>
        <v>-3.8771460844685279</v>
      </c>
      <c r="K127" cm="1">
        <f t="array" ref="K127">gamma_new(D127,A127,E127,B127,F127,C127)</f>
        <v>2.2344641814505347E-2</v>
      </c>
      <c r="L127" cm="1">
        <f t="array" ref="L127">vega_new(D127,A127,E127,B127,F127,C127)</f>
        <v>28.958655791598932</v>
      </c>
      <c r="M127" cm="1">
        <f t="array" ref="M127">rho_call(D127,A127,E127,B127,F127,C127)</f>
        <v>20.883210534016246</v>
      </c>
      <c r="N127" cm="1">
        <f t="array" ref="N127">rho_put(D127,A127,E127,B127,F127,C127)</f>
        <v>-58.479342652948603</v>
      </c>
    </row>
    <row r="128" spans="1:14" x14ac:dyDescent="0.3">
      <c r="A128">
        <v>100</v>
      </c>
      <c r="B128">
        <f t="shared" si="7"/>
        <v>0.01</v>
      </c>
      <c r="C128">
        <v>0.2</v>
      </c>
      <c r="D128">
        <v>95</v>
      </c>
      <c r="E128">
        <v>0.8</v>
      </c>
      <c r="F128">
        <v>0</v>
      </c>
      <c r="G128" cm="1">
        <f t="array" ref="G128">delta_call(D128,A128,E128,B128,F128,C128)</f>
        <v>0.4393670542417723</v>
      </c>
      <c r="H128" cm="1">
        <f t="array" ref="H128">delta_put(D128,A128,E128,B128,F128,C128)</f>
        <v>-0.56063294575822775</v>
      </c>
      <c r="I128" cm="1">
        <f t="array" ref="I128">theta_call(D128,A128,E128,B128,F128,C128)</f>
        <v>-4.5613827150234769</v>
      </c>
      <c r="J128" cm="1">
        <f t="array" ref="J128">theta_put(D128,A128,E128,B128,F128,C128)</f>
        <v>-4.5534464597047801</v>
      </c>
      <c r="K128" cm="1">
        <f t="array" ref="K128">gamma_new(D128,A128,E128,B128,F128,C128)</f>
        <v>2.3203661883923712E-2</v>
      </c>
      <c r="L128" cm="1">
        <f t="array" ref="L128">vega_new(D128,A128,E128,B128,F128,C128)</f>
        <v>33.506087760385839</v>
      </c>
      <c r="M128" cm="1">
        <f t="array" ref="M128">rho_call(D128,A128,E128,B128,F128,C128)</f>
        <v>29.375944234947266</v>
      </c>
      <c r="N128" cm="1">
        <f t="array" ref="N128">rho_put(D128,A128,E128,B128,F128,C128)</f>
        <v>-49.986608952017576</v>
      </c>
    </row>
    <row r="129" spans="1:14" x14ac:dyDescent="0.3">
      <c r="A129">
        <v>100</v>
      </c>
      <c r="B129">
        <f t="shared" si="7"/>
        <v>0.01</v>
      </c>
      <c r="C129">
        <v>0.2</v>
      </c>
      <c r="D129">
        <v>100</v>
      </c>
      <c r="E129">
        <v>0.8</v>
      </c>
      <c r="F129">
        <v>0</v>
      </c>
      <c r="G129" cm="1">
        <f t="array" ref="G129">delta_call(D129,A129,E129,B129,F129,C129)</f>
        <v>0.55336358492889404</v>
      </c>
      <c r="H129" cm="1">
        <f t="array" ref="H129">delta_put(D129,A129,E129,B129,F129,C129)</f>
        <v>-0.44663641507110596</v>
      </c>
      <c r="I129" cm="1">
        <f t="array" ref="I129">theta_call(D129,A129,E129,B129,F129,C129)</f>
        <v>-4.9063850918906144</v>
      </c>
      <c r="J129" cm="1">
        <f t="array" ref="J129">theta_put(D129,A129,E129,B129,F129,C129)</f>
        <v>-4.8984488365719177</v>
      </c>
      <c r="K129" cm="1">
        <f t="array" ref="K129">gamma_new(D129,A129,E129,B129,F129,C129)</f>
        <v>2.2101737998123483E-2</v>
      </c>
      <c r="L129" cm="1">
        <f t="array" ref="L129">vega_new(D129,A129,E129,B129,F129,C129)</f>
        <v>35.362780796997576</v>
      </c>
      <c r="M129" cm="1">
        <f t="array" ref="M129">rho_call(D129,A129,E129,B129,F129,C129)</f>
        <v>38.265821976803807</v>
      </c>
      <c r="N129" cm="1">
        <f t="array" ref="N129">rho_put(D129,A129,E129,B129,F129,C129)</f>
        <v>-41.096731210161039</v>
      </c>
    </row>
    <row r="130" spans="1:14" x14ac:dyDescent="0.3">
      <c r="A130">
        <v>100</v>
      </c>
      <c r="B130">
        <f t="shared" si="7"/>
        <v>0.01</v>
      </c>
      <c r="C130">
        <v>0.2</v>
      </c>
      <c r="D130">
        <v>105</v>
      </c>
      <c r="E130">
        <v>0.8</v>
      </c>
      <c r="F130">
        <v>0</v>
      </c>
      <c r="G130" cm="1">
        <f t="array" ref="G130">delta_call(D130,A130,E130,B130,F130,C130)</f>
        <v>0.65796272969308234</v>
      </c>
      <c r="H130" cm="1">
        <f t="array" ref="H130">delta_put(D130,A130,E130,B130,F130,C130)</f>
        <v>-0.34203727030691766</v>
      </c>
      <c r="I130" cm="1">
        <f t="array" ref="I130">theta_call(D130,A130,E130,B130,F130,C130)</f>
        <v>-4.9061463905105418</v>
      </c>
      <c r="J130" cm="1">
        <f t="array" ref="J130">theta_put(D130,A130,E130,B130,F130,C130)</f>
        <v>-4.898210135191845</v>
      </c>
      <c r="K130" cm="1">
        <f t="array" ref="K130">gamma_new(D130,A130,E130,B130,F130,C130)</f>
        <v>1.9552017122180458E-2</v>
      </c>
      <c r="L130" cm="1">
        <f t="array" ref="L130">vega_new(D130,A130,E130,B130,F130,C130)</f>
        <v>34.489758203526321</v>
      </c>
      <c r="M130" cm="1">
        <f t="array" ref="M130">rho_call(D130,A130,E130,B130,F130,C130)</f>
        <v>46.838682825452466</v>
      </c>
      <c r="N130" cm="1">
        <f t="array" ref="N130">rho_put(D130,A130,E130,B130,F130,C130)</f>
        <v>-32.52387036151238</v>
      </c>
    </row>
    <row r="131" spans="1:14" x14ac:dyDescent="0.3">
      <c r="A131">
        <v>100</v>
      </c>
      <c r="B131">
        <f t="shared" si="7"/>
        <v>0.01</v>
      </c>
      <c r="C131">
        <v>0.2</v>
      </c>
      <c r="D131">
        <v>110</v>
      </c>
      <c r="E131">
        <v>0.8</v>
      </c>
      <c r="F131">
        <v>0</v>
      </c>
      <c r="G131" cm="1">
        <f t="array" ref="G131">delta_call(D131,A131,E131,B131,F131,C131)</f>
        <v>0.74760249342748353</v>
      </c>
      <c r="H131" cm="1">
        <f t="array" ref="H131">delta_put(D131,A131,E131,B131,F131,C131)</f>
        <v>-0.25239750657251647</v>
      </c>
      <c r="I131" cm="1">
        <f t="array" ref="I131">theta_call(D131,A131,E131,B131,F131,C131)</f>
        <v>-4.6206847221159055</v>
      </c>
      <c r="J131" cm="1">
        <f t="array" ref="J131">theta_put(D131,A131,E131,B131,F131,C131)</f>
        <v>-4.6127484667972087</v>
      </c>
      <c r="K131" cm="1">
        <f t="array" ref="K131">gamma_new(D131,A131,E131,B131,F131,C131)</f>
        <v>1.6231040004613291E-2</v>
      </c>
      <c r="L131" cm="1">
        <f t="array" ref="L131">vega_new(D131,A131,E131,B131,F131,C131)</f>
        <v>31.423293448931329</v>
      </c>
      <c r="M131" cm="1">
        <f t="array" ref="M131">rho_call(D131,A131,E131,B131,F131,C131)</f>
        <v>54.542150099630135</v>
      </c>
      <c r="N131" cm="1">
        <f t="array" ref="N131">rho_put(D131,A131,E131,B131,F131,C131)</f>
        <v>-24.820403087334711</v>
      </c>
    </row>
    <row r="132" spans="1:14" x14ac:dyDescent="0.3">
      <c r="A132">
        <v>100</v>
      </c>
      <c r="B132">
        <f t="shared" si="7"/>
        <v>0.01</v>
      </c>
      <c r="C132">
        <v>0.2</v>
      </c>
      <c r="D132">
        <v>115</v>
      </c>
      <c r="E132">
        <v>0.8</v>
      </c>
      <c r="F132">
        <v>0</v>
      </c>
      <c r="G132" cm="1">
        <f t="array" ref="G132">delta_call(D132,A132,E132,B132,F132,C132)</f>
        <v>0.82002413987768763</v>
      </c>
      <c r="H132" cm="1">
        <f t="array" ref="H132">delta_put(D132,A132,E132,B132,F132,C132)</f>
        <v>-0.17997586012231237</v>
      </c>
      <c r="I132" cm="1">
        <f t="array" ref="I132">theta_call(D132,A132,E132,B132,F132,C132)</f>
        <v>-4.1489831798017889</v>
      </c>
      <c r="J132" cm="1">
        <f t="array" ref="J132">theta_put(D132,A132,E132,B132,F132,C132)</f>
        <v>-4.1410469244830921</v>
      </c>
      <c r="K132" cm="1">
        <f t="array" ref="K132">gamma_new(D132,A132,E132,B132,F132,C132)</f>
        <v>1.2754236173725023E-2</v>
      </c>
      <c r="L132" cm="1">
        <f t="array" ref="L132">vega_new(D132,A132,E132,B132,F132,C132)</f>
        <v>26.987963743602148</v>
      </c>
      <c r="M132" cm="1">
        <f t="array" ref="M132">rho_call(D132,A132,E132,B132,F132,C132)</f>
        <v>61.054291488019338</v>
      </c>
      <c r="N132" cm="1">
        <f t="array" ref="N132">rho_put(D132,A132,E132,B132,F132,C132)</f>
        <v>-18.308261698945508</v>
      </c>
    </row>
    <row r="133" spans="1:14" x14ac:dyDescent="0.3">
      <c r="A133">
        <v>100</v>
      </c>
      <c r="B133">
        <f t="shared" si="7"/>
        <v>0.01</v>
      </c>
      <c r="C133">
        <v>0.2</v>
      </c>
      <c r="D133">
        <v>120</v>
      </c>
      <c r="E133">
        <v>0.8</v>
      </c>
      <c r="F133">
        <v>0</v>
      </c>
      <c r="G133" cm="1">
        <f t="array" ref="G133">delta_call(D133,A133,E133,B133,F133,C133)</f>
        <v>0.87562125149536263</v>
      </c>
      <c r="H133" cm="1">
        <f t="array" ref="H133">delta_put(D133,A133,E133,B133,F133,C133)</f>
        <v>-0.12437874850463737</v>
      </c>
      <c r="I133" cm="1">
        <f t="array" ref="I133">theta_call(D133,A133,E133,B133,F133,C133)</f>
        <v>-3.594014381087876</v>
      </c>
      <c r="J133" cm="1">
        <f t="array" ref="J133">theta_put(D133,A133,E133,B133,F133,C133)</f>
        <v>-3.5860781257691796</v>
      </c>
      <c r="K133" cm="1">
        <f t="array" ref="K133">gamma_new(D133,A133,E133,B133,F133,C133)</f>
        <v>9.5562993383245896E-3</v>
      </c>
      <c r="L133" cm="1">
        <f t="array" ref="L133">vega_new(D133,A133,E133,B133,F133,C133)</f>
        <v>22.017713675499852</v>
      </c>
      <c r="M133" cm="1">
        <f t="array" ref="M133">rho_call(D133,A133,E133,B133,F133,C133)</f>
        <v>66.275083755870497</v>
      </c>
      <c r="N133" cm="1">
        <f t="array" ref="N133">rho_put(D133,A133,E133,B133,F133,C133)</f>
        <v>-13.087469431094348</v>
      </c>
    </row>
    <row r="134" spans="1:14" x14ac:dyDescent="0.3">
      <c r="A134">
        <v>100</v>
      </c>
      <c r="B134">
        <f t="shared" si="7"/>
        <v>0.01</v>
      </c>
      <c r="C134">
        <v>0.2</v>
      </c>
      <c r="D134">
        <v>125</v>
      </c>
      <c r="E134">
        <v>0.8</v>
      </c>
      <c r="F134">
        <v>0</v>
      </c>
      <c r="G134" cm="1">
        <f t="array" ref="G134">delta_call(D134,A134,E134,B134,F134,C134)</f>
        <v>0.91644879859772543</v>
      </c>
      <c r="H134" cm="1">
        <f t="array" ref="H134">delta_put(D134,A134,E134,B134,F134,C134)</f>
        <v>-8.3551201402274566E-2</v>
      </c>
      <c r="I134" cm="1">
        <f t="array" ref="I134">theta_call(D134,A134,E134,B134,F134,C134)</f>
        <v>-3.0393841643748347</v>
      </c>
      <c r="J134" cm="1">
        <f t="array" ref="J134">theta_put(D134,A134,E134,B134,F134,C134)</f>
        <v>-3.0314479090561384</v>
      </c>
      <c r="K134" cm="1">
        <f t="array" ref="K134">gamma_new(D134,A134,E134,B134,F134,C134)</f>
        <v>6.8698255498420117E-3</v>
      </c>
      <c r="L134" cm="1">
        <f t="array" ref="L134">vega_new(D134,A134,E134,B134,F134,C134)</f>
        <v>17.174563874605031</v>
      </c>
      <c r="M134" cm="1">
        <f t="array" ref="M134">rho_call(D134,A134,E134,B134,F134,C134)</f>
        <v>70.271704194040638</v>
      </c>
      <c r="N134" cm="1">
        <f t="array" ref="N134">rho_put(D134,A134,E134,B134,F134,C134)</f>
        <v>-9.090848992924208</v>
      </c>
    </row>
    <row r="135" spans="1:14" x14ac:dyDescent="0.3">
      <c r="A135">
        <v>100</v>
      </c>
      <c r="B135">
        <f t="shared" si="7"/>
        <v>0.01</v>
      </c>
      <c r="C135">
        <v>0.2</v>
      </c>
      <c r="D135">
        <v>130</v>
      </c>
      <c r="E135">
        <v>0.8</v>
      </c>
      <c r="F135">
        <v>0</v>
      </c>
      <c r="G135" cm="1">
        <f t="array" ref="G135">delta_call(D135,A135,E135,B135,F135,C135)</f>
        <v>0.9452921469955603</v>
      </c>
      <c r="H135" cm="1">
        <f t="array" ref="H135">delta_put(D135,A135,E135,B135,F135,C135)</f>
        <v>-5.4707853004439699E-2</v>
      </c>
      <c r="I135" cm="1">
        <f t="array" ref="I135">theta_call(D135,A135,E135,B135,F135,C135)</f>
        <v>-2.5399329678018314</v>
      </c>
      <c r="J135" cm="1">
        <f t="array" ref="J135">theta_put(D135,A135,E135,B135,F135,C135)</f>
        <v>-2.5319967124831351</v>
      </c>
      <c r="K135" cm="1">
        <f t="array" ref="K135">gamma_new(D135,A135,E135,B135,F135,C135)</f>
        <v>4.7634480986671439E-3</v>
      </c>
      <c r="L135" cm="1">
        <f t="array" ref="L135">vega_new(D135,A135,E135,B135,F135,C135)</f>
        <v>12.880363658795954</v>
      </c>
      <c r="M135" cm="1">
        <f t="array" ref="M135">rho_call(D135,A135,E135,B135,F135,C135)</f>
        <v>73.210216289147127</v>
      </c>
      <c r="N135" cm="1">
        <f t="array" ref="N135">rho_put(D135,A135,E135,B135,F135,C135)</f>
        <v>-6.1523368978177189</v>
      </c>
    </row>
    <row r="136" spans="1:14" x14ac:dyDescent="0.3">
      <c r="A136">
        <v>100</v>
      </c>
      <c r="B136">
        <f t="shared" si="7"/>
        <v>0.01</v>
      </c>
      <c r="C136">
        <v>0.2</v>
      </c>
      <c r="D136">
        <v>135</v>
      </c>
      <c r="E136">
        <v>0.8</v>
      </c>
      <c r="F136">
        <v>0</v>
      </c>
      <c r="G136" cm="1">
        <f t="array" ref="G136">delta_call(D136,A136,E136,B136,F136,C136)</f>
        <v>0.9649914282191755</v>
      </c>
      <c r="H136" cm="1">
        <f t="array" ref="H136">delta_put(D136,A136,E136,B136,F136,C136)</f>
        <v>-3.5008571780824504E-2</v>
      </c>
      <c r="I136" cm="1">
        <f t="array" ref="I136">theta_call(D136,A136,E136,B136,F136,C136)</f>
        <v>-2.1228839194998295</v>
      </c>
      <c r="J136" cm="1">
        <f t="array" ref="J136">theta_put(D136,A136,E136,B136,F136,C136)</f>
        <v>-2.1149476641811331</v>
      </c>
      <c r="K136" cm="1">
        <f t="array" ref="K136">gamma_new(D136,A136,E136,B136,F136,C136)</f>
        <v>3.2002933770762325E-3</v>
      </c>
      <c r="L136" cm="1">
        <f t="array" ref="L136">vega_new(D136,A136,E136,B136,F136,C136)</f>
        <v>9.3320554875542943</v>
      </c>
      <c r="M136" cm="1">
        <f t="array" ref="M136">rho_call(D136,A136,E136,B136,F136,C136)</f>
        <v>75.2957374231259</v>
      </c>
      <c r="N136" cm="1">
        <f t="array" ref="N136">rho_put(D136,A136,E136,B136,F136,C136)</f>
        <v>-4.0668157638389459</v>
      </c>
    </row>
    <row r="137" spans="1:14" x14ac:dyDescent="0.3">
      <c r="A137">
        <v>100</v>
      </c>
      <c r="B137">
        <f t="shared" si="7"/>
        <v>0.01</v>
      </c>
      <c r="C137">
        <v>0.2</v>
      </c>
      <c r="D137">
        <v>140</v>
      </c>
      <c r="E137">
        <v>0.8</v>
      </c>
      <c r="F137">
        <v>0</v>
      </c>
      <c r="G137" cm="1">
        <f t="array" ref="G137">delta_call(D137,A137,E137,B137,F137,C137)</f>
        <v>0.97805296953813903</v>
      </c>
      <c r="H137" cm="1">
        <f t="array" ref="H137">delta_put(D137,A137,E137,B137,F137,C137)</f>
        <v>-2.1947030461860972E-2</v>
      </c>
      <c r="I137" cm="1">
        <f t="array" ref="I137">theta_call(D137,A137,E137,B137,F137,C137)</f>
        <v>-1.7944596432291424</v>
      </c>
      <c r="J137" cm="1">
        <f t="array" ref="J137">theta_put(D137,A137,E137,B137,F137,C137)</f>
        <v>-1.7865233879104458</v>
      </c>
      <c r="K137" cm="1">
        <f t="array" ref="K137">gamma_new(D137,A137,E137,B137,F137,C137)</f>
        <v>2.0914714572423773E-3</v>
      </c>
      <c r="L137" cm="1">
        <f t="array" ref="L137">vega_new(D137,A137,E137,B137,F137,C137)</f>
        <v>6.5588544899120951</v>
      </c>
      <c r="M137" cm="1">
        <f t="array" ref="M137">rho_call(D137,A137,E137,B137,F137,C137)</f>
        <v>76.730661853179058</v>
      </c>
      <c r="N137" cm="1">
        <f t="array" ref="N137">rho_put(D137,A137,E137,B137,F137,C137)</f>
        <v>-2.6318913337857879</v>
      </c>
    </row>
    <row r="138" spans="1:14" x14ac:dyDescent="0.3">
      <c r="A138">
        <v>100</v>
      </c>
      <c r="B138">
        <f>1/100</f>
        <v>0.01</v>
      </c>
      <c r="C138">
        <v>0.2</v>
      </c>
      <c r="D138">
        <v>60</v>
      </c>
      <c r="E138">
        <v>0.9</v>
      </c>
      <c r="F138">
        <v>0</v>
      </c>
      <c r="G138" cm="1">
        <f t="array" ref="G138">delta_call(D138,A138,E138,B138,F138,C138)</f>
        <v>5.3863786913071277E-3</v>
      </c>
      <c r="H138" cm="1">
        <f t="array" ref="H138">delta_put(D138,A138,E138,B138,F138,C138)</f>
        <v>-0.99461362130869291</v>
      </c>
      <c r="I138" cm="1">
        <f t="array" ref="I138">theta_call(D138,A138,E138,B138,F138,C138)</f>
        <v>-0.10081636241456597</v>
      </c>
      <c r="J138" cm="1">
        <f t="array" ref="J138">theta_put(D138,A138,E138,B138,F138,C138)</f>
        <v>-9.1896999005610019E-2</v>
      </c>
      <c r="K138" cm="1">
        <f t="array" ref="K138">gamma_new(D138,A138,E138,B138,F138,C138)</f>
        <v>1.3571389458380515E-3</v>
      </c>
      <c r="L138" cm="1">
        <f t="array" ref="L138">vega_new(D138,A138,E138,B138,F138,C138)</f>
        <v>0.87942603690305721</v>
      </c>
      <c r="M138" cm="1">
        <f t="array" ref="M138">rho_call(D138,A138,E138,B138,F138,C138)</f>
        <v>0.2742313900181243</v>
      </c>
      <c r="N138" cm="1">
        <f t="array" ref="N138">rho_put(D138,A138,E138,B138,F138,C138)</f>
        <v>-88.919402699541394</v>
      </c>
    </row>
    <row r="139" spans="1:14" x14ac:dyDescent="0.3">
      <c r="A139">
        <v>100</v>
      </c>
      <c r="B139">
        <f t="shared" ref="B139:B154" si="8">1/100</f>
        <v>0.01</v>
      </c>
      <c r="C139">
        <v>0.2</v>
      </c>
      <c r="D139">
        <v>65</v>
      </c>
      <c r="E139">
        <v>0.9</v>
      </c>
      <c r="F139">
        <v>0</v>
      </c>
      <c r="G139" cm="1">
        <f t="array" ref="G139">delta_call(D139,A139,E139,B139,F139,C139)</f>
        <v>1.6663450654240821E-2</v>
      </c>
      <c r="H139" cm="1">
        <f t="array" ref="H139">delta_put(D139,A139,E139,B139,F139,C139)</f>
        <v>-0.9833365493457592</v>
      </c>
      <c r="I139" cm="1">
        <f t="array" ref="I139">theta_call(D139,A139,E139,B139,F139,C139)</f>
        <v>-0.29428447747740477</v>
      </c>
      <c r="J139" cm="1">
        <f t="array" ref="J139">theta_put(D139,A139,E139,B139,F139,C139)</f>
        <v>-0.28536511406844883</v>
      </c>
      <c r="K139" cm="1">
        <f t="array" ref="K139">gamma_new(D139,A139,E139,B139,F139,C139)</f>
        <v>3.3605151026574525E-3</v>
      </c>
      <c r="L139" cm="1">
        <f t="array" ref="L139">vega_new(D139,A139,E139,B139,F139,C139)</f>
        <v>2.5556717355709924</v>
      </c>
      <c r="M139" cm="1">
        <f t="array" ref="M139">rho_call(D139,A139,E139,B139,F139,C139)</f>
        <v>0.91231525678742365</v>
      </c>
      <c r="N139" cm="1">
        <f t="array" ref="N139">rho_put(D139,A139,E139,B139,F139,C139)</f>
        <v>-88.281318832772101</v>
      </c>
    </row>
    <row r="140" spans="1:14" x14ac:dyDescent="0.3">
      <c r="A140">
        <v>100</v>
      </c>
      <c r="B140">
        <f t="shared" si="8"/>
        <v>0.01</v>
      </c>
      <c r="C140">
        <v>0.2</v>
      </c>
      <c r="D140">
        <v>70</v>
      </c>
      <c r="E140">
        <v>0.9</v>
      </c>
      <c r="F140">
        <v>0</v>
      </c>
      <c r="G140" cm="1">
        <f t="array" ref="G140">delta_call(D140,A140,E140,B140,F140,C140)</f>
        <v>4.1145992558525323E-2</v>
      </c>
      <c r="H140" cm="1">
        <f t="array" ref="H140">delta_put(D140,A140,E140,B140,F140,C140)</f>
        <v>-0.95885400744147464</v>
      </c>
      <c r="I140" cm="1">
        <f t="array" ref="I140">theta_call(D140,A140,E140,B140,F140,C140)</f>
        <v>-0.67781018243825342</v>
      </c>
      <c r="J140" cm="1">
        <f t="array" ref="J140">theta_put(D140,A140,E140,B140,F140,C140)</f>
        <v>-0.66889081902929748</v>
      </c>
      <c r="K140" cm="1">
        <f t="array" ref="K140">gamma_new(D140,A140,E140,B140,F140,C140)</f>
        <v>6.6387114573764547E-3</v>
      </c>
      <c r="L140" cm="1">
        <f t="array" ref="L140">vega_new(D140,A140,E140,B140,F140,C140)</f>
        <v>5.855343505406033</v>
      </c>
      <c r="M140" cm="1">
        <f t="array" ref="M140">rho_call(D140,A140,E140,B140,F140,C140)</f>
        <v>2.405785146566469</v>
      </c>
      <c r="N140" cm="1">
        <f t="array" ref="N140">rho_put(D140,A140,E140,B140,F140,C140)</f>
        <v>-86.787848942993051</v>
      </c>
    </row>
    <row r="141" spans="1:14" x14ac:dyDescent="0.3">
      <c r="A141">
        <v>100</v>
      </c>
      <c r="B141">
        <f t="shared" si="8"/>
        <v>0.01</v>
      </c>
      <c r="C141">
        <v>0.2</v>
      </c>
      <c r="D141">
        <v>75</v>
      </c>
      <c r="E141">
        <v>0.9</v>
      </c>
      <c r="F141">
        <v>0</v>
      </c>
      <c r="G141" cm="1">
        <f t="array" ref="G141">delta_call(D141,A141,E141,B141,F141,C141)</f>
        <v>8.4734011793984806E-2</v>
      </c>
      <c r="H141" cm="1">
        <f t="array" ref="H141">delta_put(D141,A141,E141,B141,F141,C141)</f>
        <v>-0.91526598820601524</v>
      </c>
      <c r="I141" cm="1">
        <f t="array" ref="I141">theta_call(D141,A141,E141,B141,F141,C141)</f>
        <v>-1.2867908213996639</v>
      </c>
      <c r="J141" cm="1">
        <f t="array" ref="J141">theta_put(D141,A141,E141,B141,F141,C141)</f>
        <v>-1.277871457990708</v>
      </c>
      <c r="K141" cm="1">
        <f t="array" ref="K141">gamma_new(D141,A141,E141,B141,F141,C141)</f>
        <v>1.0909406223302241E-2</v>
      </c>
      <c r="L141" cm="1">
        <f t="array" ref="L141">vega_new(D141,A141,E141,B141,F141,C141)</f>
        <v>11.045773801093519</v>
      </c>
      <c r="M141" cm="1">
        <f t="array" ref="M141">rho_call(D141,A141,E141,B141,F141,C141)</f>
        <v>5.2579361449743294</v>
      </c>
      <c r="N141" cm="1">
        <f t="array" ref="N141">rho_put(D141,A141,E141,B141,F141,C141)</f>
        <v>-83.935697944585201</v>
      </c>
    </row>
    <row r="142" spans="1:14" x14ac:dyDescent="0.3">
      <c r="A142">
        <v>100</v>
      </c>
      <c r="B142">
        <f t="shared" si="8"/>
        <v>0.01</v>
      </c>
      <c r="C142">
        <v>0.2</v>
      </c>
      <c r="D142">
        <v>80</v>
      </c>
      <c r="E142">
        <v>0.9</v>
      </c>
      <c r="F142">
        <v>0</v>
      </c>
      <c r="G142" cm="1">
        <f t="array" ref="G142">delta_call(D142,A142,E142,B142,F142,C142)</f>
        <v>0.1506224847545854</v>
      </c>
      <c r="H142" cm="1">
        <f t="array" ref="H142">delta_put(D142,A142,E142,B142,F142,C142)</f>
        <v>-0.8493775152454146</v>
      </c>
      <c r="I142" cm="1">
        <f t="array" ref="I142">theta_call(D142,A142,E142,B142,F142,C142)</f>
        <v>-2.0831702563540273</v>
      </c>
      <c r="J142" cm="1">
        <f t="array" ref="J142">theta_put(D142,A142,E142,B142,F142,C142)</f>
        <v>-2.0742508929450714</v>
      </c>
      <c r="K142" cm="1">
        <f t="array" ref="K142">gamma_new(D142,A142,E142,B142,F142,C142)</f>
        <v>1.5403132263133369E-2</v>
      </c>
      <c r="L142" cm="1">
        <f t="array" ref="L142">vega_new(D142,A142,E142,B142,F142,C142)</f>
        <v>17.74440836712964</v>
      </c>
      <c r="M142" cm="1">
        <f t="array" ref="M142">rho_call(D142,A142,E142,B142,F142,C142)</f>
        <v>9.8621140558167983</v>
      </c>
      <c r="N142" cm="1">
        <f t="array" ref="N142">rho_put(D142,A142,E142,B142,F142,C142)</f>
        <v>-79.33152003374272</v>
      </c>
    </row>
    <row r="143" spans="1:14" x14ac:dyDescent="0.3">
      <c r="A143">
        <v>100</v>
      </c>
      <c r="B143">
        <f t="shared" si="8"/>
        <v>0.01</v>
      </c>
      <c r="C143">
        <v>0.2</v>
      </c>
      <c r="D143">
        <v>85</v>
      </c>
      <c r="E143">
        <v>0.9</v>
      </c>
      <c r="F143">
        <v>0</v>
      </c>
      <c r="G143" cm="1">
        <f t="array" ref="G143">delta_call(D143,A143,E143,B143,F143,C143)</f>
        <v>0.23753708342668733</v>
      </c>
      <c r="H143" cm="1">
        <f t="array" ref="H143">delta_put(D143,A143,E143,B143,F143,C143)</f>
        <v>-0.76246291657331267</v>
      </c>
      <c r="I143" cm="1">
        <f t="array" ref="I143">theta_call(D143,A143,E143,B143,F143,C143)</f>
        <v>-2.9543401597908243</v>
      </c>
      <c r="J143" cm="1">
        <f t="array" ref="J143">theta_put(D143,A143,E143,B143,F143,C143)</f>
        <v>-2.9454207963818684</v>
      </c>
      <c r="K143" cm="1">
        <f t="array" ref="K143">gamma_new(D143,A143,E143,B143,F143,C143)</f>
        <v>1.9167361944162006E-2</v>
      </c>
      <c r="L143" cm="1">
        <f t="array" ref="L143">vega_new(D143,A143,E143,B143,F143,C143)</f>
        <v>24.927154208382692</v>
      </c>
      <c r="M143" cm="1">
        <f t="array" ref="M143">rho_call(D143,A143,E143,B143,F143,C143)</f>
        <v>16.322605204399807</v>
      </c>
      <c r="N143" cm="1">
        <f t="array" ref="N143">rho_put(D143,A143,E143,B143,F143,C143)</f>
        <v>-72.871028885159717</v>
      </c>
    </row>
    <row r="144" spans="1:14" x14ac:dyDescent="0.3">
      <c r="A144">
        <v>100</v>
      </c>
      <c r="B144">
        <f t="shared" si="8"/>
        <v>0.01</v>
      </c>
      <c r="C144">
        <v>0.2</v>
      </c>
      <c r="D144">
        <v>90</v>
      </c>
      <c r="E144">
        <v>0.9</v>
      </c>
      <c r="F144">
        <v>0</v>
      </c>
      <c r="G144" cm="1">
        <f t="array" ref="G144">delta_call(D144,A144,E144,B144,F144,C144)</f>
        <v>0.3398047061837523</v>
      </c>
      <c r="H144" cm="1">
        <f t="array" ref="H144">delta_put(D144,A144,E144,B144,F144,C144)</f>
        <v>-0.66019529381624764</v>
      </c>
      <c r="I144" cm="1">
        <f t="array" ref="I144">theta_call(D144,A144,E144,B144,F144,C144)</f>
        <v>-3.751123351303387</v>
      </c>
      <c r="J144" cm="1">
        <f t="array" ref="J144">theta_put(D144,A144,E144,B144,F144,C144)</f>
        <v>-3.7422039878944311</v>
      </c>
      <c r="K144" cm="1">
        <f t="array" ref="K144">gamma_new(D144,A144,E144,B144,F144,C144)</f>
        <v>2.1452524339852529E-2</v>
      </c>
      <c r="L144" cm="1">
        <f t="array" ref="L144">vega_new(D144,A144,E144,B144,F144,C144)</f>
        <v>31.27778048750498</v>
      </c>
      <c r="M144" cm="1">
        <f t="array" ref="M144">rho_call(D144,A144,E144,B144,F144,C144)</f>
        <v>24.380474754909542</v>
      </c>
      <c r="N144" cm="1">
        <f t="array" ref="N144">rho_put(D144,A144,E144,B144,F144,C144)</f>
        <v>-64.813159334649981</v>
      </c>
    </row>
    <row r="145" spans="1:14" x14ac:dyDescent="0.3">
      <c r="A145">
        <v>100</v>
      </c>
      <c r="B145">
        <f t="shared" si="8"/>
        <v>0.01</v>
      </c>
      <c r="C145">
        <v>0.2</v>
      </c>
      <c r="D145">
        <v>95</v>
      </c>
      <c r="E145">
        <v>0.9</v>
      </c>
      <c r="F145">
        <v>0</v>
      </c>
      <c r="G145" cm="1">
        <f t="array" ref="G145">delta_call(D145,A145,E145,B145,F145,C145)</f>
        <v>0.4490598842795181</v>
      </c>
      <c r="H145" cm="1">
        <f t="array" ref="H145">delta_put(D145,A145,E145,B145,F145,C145)</f>
        <v>-0.55094011572048185</v>
      </c>
      <c r="I145" cm="1">
        <f t="array" ref="I145">theta_call(D145,A145,E145,B145,F145,C145)</f>
        <v>-4.3410696339104913</v>
      </c>
      <c r="J145" cm="1">
        <f t="array" ref="J145">theta_put(D145,A145,E145,B145,F145,C145)</f>
        <v>-4.3321502705015353</v>
      </c>
      <c r="K145" cm="1">
        <f t="array" ref="K145">gamma_new(D145,A145,E145,B145,F145,C145)</f>
        <v>2.1952066922098782E-2</v>
      </c>
      <c r="L145" cm="1">
        <f t="array" ref="L145">vega_new(D145,A145,E145,B145,F145,C145)</f>
        <v>35.661132714949467</v>
      </c>
      <c r="M145" cm="1">
        <f t="array" ref="M145">rho_call(D145,A145,E145,B145,F145,C145)</f>
        <v>33.476899762460484</v>
      </c>
      <c r="N145" cm="1">
        <f t="array" ref="N145">rho_put(D145,A145,E145,B145,F145,C145)</f>
        <v>-55.71673432709904</v>
      </c>
    </row>
    <row r="146" spans="1:14" x14ac:dyDescent="0.3">
      <c r="A146">
        <v>100</v>
      </c>
      <c r="B146">
        <f t="shared" si="8"/>
        <v>0.01</v>
      </c>
      <c r="C146">
        <v>0.2</v>
      </c>
      <c r="D146">
        <v>100</v>
      </c>
      <c r="E146">
        <v>0.9</v>
      </c>
      <c r="F146">
        <v>0</v>
      </c>
      <c r="G146" cm="1">
        <f t="array" ref="G146">delta_call(D146,A146,E146,B146,F146,C146)</f>
        <v>0.55657946195545982</v>
      </c>
      <c r="H146" cm="1">
        <f t="array" ref="H146">delta_put(D146,A146,E146,B146,F146,C146)</f>
        <v>-0.44342053804454018</v>
      </c>
      <c r="I146" cm="1">
        <f t="array" ref="I146">theta_call(D146,A146,E146,B146,F146,C146)</f>
        <v>-4.6482907283723494</v>
      </c>
      <c r="J146" cm="1">
        <f t="array" ref="J146">theta_put(D146,A146,E146,B146,F146,C146)</f>
        <v>-4.6393713649633934</v>
      </c>
      <c r="K146" cm="1">
        <f t="array" ref="K146">gamma_new(D146,A146,E146,B146,F146,C146)</f>
        <v>2.0814289167512139E-2</v>
      </c>
      <c r="L146" cm="1">
        <f t="array" ref="L146">vega_new(D146,A146,E146,B146,F146,C146)</f>
        <v>37.465720501521851</v>
      </c>
      <c r="M146" cm="1">
        <f t="array" ref="M146">rho_call(D146,A146,E146,B146,F146,C146)</f>
        <v>42.909594584950781</v>
      </c>
      <c r="N146" cm="1">
        <f t="array" ref="N146">rho_put(D146,A146,E146,B146,F146,C146)</f>
        <v>-46.284039504608742</v>
      </c>
    </row>
    <row r="147" spans="1:14" x14ac:dyDescent="0.3">
      <c r="A147">
        <v>100</v>
      </c>
      <c r="B147">
        <f t="shared" si="8"/>
        <v>0.01</v>
      </c>
      <c r="C147">
        <v>0.2</v>
      </c>
      <c r="D147">
        <v>105</v>
      </c>
      <c r="E147">
        <v>0.9</v>
      </c>
      <c r="F147">
        <v>0</v>
      </c>
      <c r="G147" cm="1">
        <f t="array" ref="G147">delta_call(D147,A147,E147,B147,F147,C147)</f>
        <v>0.65521889020886737</v>
      </c>
      <c r="H147" cm="1">
        <f t="array" ref="H147">delta_put(D147,A147,E147,B147,F147,C147)</f>
        <v>-0.34478110979113263</v>
      </c>
      <c r="I147" cm="1">
        <f t="array" ref="I147">theta_call(D147,A147,E147,B147,F147,C147)</f>
        <v>-4.6652261416444221</v>
      </c>
      <c r="J147" cm="1">
        <f t="array" ref="J147">theta_put(D147,A147,E147,B147,F147,C147)</f>
        <v>-4.6563067782354661</v>
      </c>
      <c r="K147" cm="1">
        <f t="array" ref="K147">gamma_new(D147,A147,E147,B147,F147,C147)</f>
        <v>1.8489346824041981E-2</v>
      </c>
      <c r="L147" cm="1">
        <f t="array" ref="L147">vega_new(D147,A147,E147,B147,F147,C147)</f>
        <v>36.692108772311308</v>
      </c>
      <c r="M147" cm="1">
        <f t="array" ref="M147">rho_call(D147,A147,E147,B147,F147,C147)</f>
        <v>52.004704799454153</v>
      </c>
      <c r="N147" cm="1">
        <f t="array" ref="N147">rho_put(D147,A147,E147,B147,F147,C147)</f>
        <v>-37.188929290105371</v>
      </c>
    </row>
    <row r="148" spans="1:14" x14ac:dyDescent="0.3">
      <c r="A148">
        <v>100</v>
      </c>
      <c r="B148">
        <f t="shared" si="8"/>
        <v>0.01</v>
      </c>
      <c r="C148">
        <v>0.2</v>
      </c>
      <c r="D148">
        <v>110</v>
      </c>
      <c r="E148">
        <v>0.9</v>
      </c>
      <c r="F148">
        <v>0</v>
      </c>
      <c r="G148" cm="1">
        <f t="array" ref="G148">delta_call(D148,A148,E148,B148,F148,C148)</f>
        <v>0.74041691025313783</v>
      </c>
      <c r="H148" cm="1">
        <f t="array" ref="H148">delta_put(D148,A148,E148,B148,F148,C148)</f>
        <v>-0.25958308974686217</v>
      </c>
      <c r="I148" cm="1">
        <f t="array" ref="I148">theta_call(D148,A148,E148,B148,F148,C148)</f>
        <v>-4.4394210185282601</v>
      </c>
      <c r="J148" cm="1">
        <f t="array" ref="J148">theta_put(D148,A148,E148,B148,F148,C148)</f>
        <v>-4.4305016551193042</v>
      </c>
      <c r="K148" cm="1">
        <f t="array" ref="K148">gamma_new(D148,A148,E148,B148,F148,C148)</f>
        <v>1.5528543194402064E-2</v>
      </c>
      <c r="L148" cm="1">
        <f t="array" ref="L148">vega_new(D148,A148,E148,B148,F148,C148)</f>
        <v>33.821167077407694</v>
      </c>
      <c r="M148" cm="1">
        <f t="array" ref="M148">rho_call(D148,A148,E148,B148,F148,C148)</f>
        <v>60.242046033683735</v>
      </c>
      <c r="N148" cm="1">
        <f t="array" ref="N148">rho_put(D148,A148,E148,B148,F148,C148)</f>
        <v>-28.951588055875789</v>
      </c>
    </row>
    <row r="149" spans="1:14" x14ac:dyDescent="0.3">
      <c r="A149">
        <v>100</v>
      </c>
      <c r="B149">
        <f t="shared" si="8"/>
        <v>0.01</v>
      </c>
      <c r="C149">
        <v>0.2</v>
      </c>
      <c r="D149">
        <v>115</v>
      </c>
      <c r="E149">
        <v>0.9</v>
      </c>
      <c r="F149">
        <v>0</v>
      </c>
      <c r="G149" cm="1">
        <f t="array" ref="G149">delta_call(D149,A149,E149,B149,F149,C149)</f>
        <v>0.81027566906216286</v>
      </c>
      <c r="H149" cm="1">
        <f t="array" ref="H149">delta_put(D149,A149,E149,B149,F149,C149)</f>
        <v>-0.18972433093783714</v>
      </c>
      <c r="I149" cm="1">
        <f t="array" ref="I149">theta_call(D149,A149,E149,B149,F149,C149)</f>
        <v>-4.0480381642977923</v>
      </c>
      <c r="J149" cm="1">
        <f t="array" ref="J149">theta_put(D149,A149,E149,B149,F149,C149)</f>
        <v>-4.0391188008888363</v>
      </c>
      <c r="K149" cm="1">
        <f t="array" ref="K149">gamma_new(D149,A149,E149,B149,F149,C149)</f>
        <v>1.2425602990436633E-2</v>
      </c>
      <c r="L149" cm="1">
        <f t="array" ref="L149">vega_new(D149,A149,E149,B149,F149,C149)</f>
        <v>29.579147918734407</v>
      </c>
      <c r="M149" cm="1">
        <f t="array" ref="M149">rho_call(D149,A149,E149,B149,F149,C149)</f>
        <v>67.309416261096175</v>
      </c>
      <c r="N149" cm="1">
        <f t="array" ref="N149">rho_put(D149,A149,E149,B149,F149,C149)</f>
        <v>-21.884217828463349</v>
      </c>
    </row>
    <row r="150" spans="1:14" x14ac:dyDescent="0.3">
      <c r="A150">
        <v>100</v>
      </c>
      <c r="B150">
        <f t="shared" si="8"/>
        <v>0.01</v>
      </c>
      <c r="C150">
        <v>0.2</v>
      </c>
      <c r="D150">
        <v>120</v>
      </c>
      <c r="E150">
        <v>0.9</v>
      </c>
      <c r="F150">
        <v>0</v>
      </c>
      <c r="G150" cm="1">
        <f t="array" ref="G150">delta_call(D150,A150,E150,B150,F150,C150)</f>
        <v>0.86503450040480123</v>
      </c>
      <c r="H150" cm="1">
        <f t="array" ref="H150">delta_put(D150,A150,E150,B150,F150,C150)</f>
        <v>-0.13496549959519877</v>
      </c>
      <c r="I150" cm="1">
        <f t="array" ref="I150">theta_call(D150,A150,E150,B150,F150,C150)</f>
        <v>-3.572789436194868</v>
      </c>
      <c r="J150" cm="1">
        <f t="array" ref="J150">theta_put(D150,A150,E150,B150,F150,C150)</f>
        <v>-3.5638700727859121</v>
      </c>
      <c r="K150" cm="1">
        <f t="array" ref="K150">gamma_new(D150,A150,E150,B150,F150,C150)</f>
        <v>9.5342861100476337E-3</v>
      </c>
      <c r="L150" cm="1">
        <f t="array" ref="L150">vega_new(D150,A150,E150,B150,F150,C150)</f>
        <v>24.712869597243461</v>
      </c>
      <c r="M150" cm="1">
        <f t="array" ref="M150">rho_call(D150,A150,E150,B150,F150,C150)</f>
        <v>73.094735333031409</v>
      </c>
      <c r="N150" cm="1">
        <f t="array" ref="N150">rho_put(D150,A150,E150,B150,F150,C150)</f>
        <v>-16.098898756528115</v>
      </c>
    </row>
    <row r="151" spans="1:14" x14ac:dyDescent="0.3">
      <c r="A151">
        <v>100</v>
      </c>
      <c r="B151">
        <f t="shared" si="8"/>
        <v>0.01</v>
      </c>
      <c r="C151">
        <v>0.2</v>
      </c>
      <c r="D151">
        <v>125</v>
      </c>
      <c r="E151">
        <v>0.9</v>
      </c>
      <c r="F151">
        <v>0</v>
      </c>
      <c r="G151" cm="1">
        <f t="array" ref="G151">delta_call(D151,A151,E151,B151,F151,C151)</f>
        <v>0.90631047116941144</v>
      </c>
      <c r="H151" cm="1">
        <f t="array" ref="H151">delta_put(D151,A151,E151,B151,F151,C151)</f>
        <v>-9.3689528830588564E-2</v>
      </c>
      <c r="I151" cm="1">
        <f t="array" ref="I151">theta_call(D151,A151,E151,B151,F151,C151)</f>
        <v>-3.0826606894491215</v>
      </c>
      <c r="J151" cm="1">
        <f t="array" ref="J151">theta_put(D151,A151,E151,B151,F151,C151)</f>
        <v>-3.0737413260401656</v>
      </c>
      <c r="K151" cm="1">
        <f t="array" ref="K151">gamma_new(D151,A151,E151,B151,F151,C151)</f>
        <v>7.0538139252298493E-3</v>
      </c>
      <c r="L151" cm="1">
        <f t="array" ref="L151">vega_new(D151,A151,E151,B151,F151,C151)</f>
        <v>19.838851664708947</v>
      </c>
      <c r="M151" cm="1">
        <f t="array" ref="M151">rho_call(D151,A151,E151,B151,F151,C151)</f>
        <v>77.640758146235598</v>
      </c>
      <c r="N151" cm="1">
        <f t="array" ref="N151">rho_put(D151,A151,E151,B151,F151,C151)</f>
        <v>-11.552875943323926</v>
      </c>
    </row>
    <row r="152" spans="1:14" x14ac:dyDescent="0.3">
      <c r="A152">
        <v>100</v>
      </c>
      <c r="B152">
        <f t="shared" si="8"/>
        <v>0.01</v>
      </c>
      <c r="C152">
        <v>0.2</v>
      </c>
      <c r="D152">
        <v>130</v>
      </c>
      <c r="E152">
        <v>0.9</v>
      </c>
      <c r="F152">
        <v>0</v>
      </c>
      <c r="G152" cm="1">
        <f t="array" ref="G152">delta_call(D152,A152,E152,B152,F152,C152)</f>
        <v>0.93638087415065951</v>
      </c>
      <c r="H152" cm="1">
        <f t="array" ref="H152">delta_put(D152,A152,E152,B152,F152,C152)</f>
        <v>-6.3619125849340485E-2</v>
      </c>
      <c r="I152" cm="1">
        <f t="array" ref="I152">theta_call(D152,A152,E152,B152,F152,C152)</f>
        <v>-2.6260687991865788</v>
      </c>
      <c r="J152" cm="1">
        <f t="array" ref="J152">theta_put(D152,A152,E152,B152,F152,C152)</f>
        <v>-2.6171494357776228</v>
      </c>
      <c r="K152" cm="1">
        <f t="array" ref="K152">gamma_new(D152,A152,E152,B152,F152,C152)</f>
        <v>5.0554177985015743E-3</v>
      </c>
      <c r="L152" cm="1">
        <f t="array" ref="L152">vega_new(D152,A152,E152,B152,F152,C152)</f>
        <v>15.378580943041786</v>
      </c>
      <c r="M152" cm="1">
        <f t="array" ref="M152">rho_call(D152,A152,E152,B152,F152,C152)</f>
        <v>81.087590504535044</v>
      </c>
      <c r="N152" cm="1">
        <f t="array" ref="N152">rho_put(D152,A152,E152,B152,F152,C152)</f>
        <v>-8.1060435850244801</v>
      </c>
    </row>
    <row r="153" spans="1:14" x14ac:dyDescent="0.3">
      <c r="A153">
        <v>100</v>
      </c>
      <c r="B153">
        <f t="shared" si="8"/>
        <v>0.01</v>
      </c>
      <c r="C153">
        <v>0.2</v>
      </c>
      <c r="D153">
        <v>135</v>
      </c>
      <c r="E153">
        <v>0.9</v>
      </c>
      <c r="F153">
        <v>0</v>
      </c>
      <c r="G153" cm="1">
        <f t="array" ref="G153">delta_call(D153,A153,E153,B153,F153,C153)</f>
        <v>0.95764540824748623</v>
      </c>
      <c r="H153" cm="1">
        <f t="array" ref="H153">delta_put(D153,A153,E153,B153,F153,C153)</f>
        <v>-4.2354591752513771E-2</v>
      </c>
      <c r="I153" cm="1">
        <f t="array" ref="I153">theta_call(D153,A153,E153,B153,F153,C153)</f>
        <v>-2.2304752610998499</v>
      </c>
      <c r="J153" cm="1">
        <f t="array" ref="J153">theta_put(D153,A153,E153,B153,F153,C153)</f>
        <v>-2.221555897690894</v>
      </c>
      <c r="K153" cm="1">
        <f t="array" ref="K153">gamma_new(D153,A153,E153,B153,F153,C153)</f>
        <v>3.5239585209983202E-3</v>
      </c>
      <c r="L153" cm="1">
        <f t="array" ref="L153">vega_new(D153,A153,E153,B153,F153,C153)</f>
        <v>11.560345928134989</v>
      </c>
      <c r="M153" cm="1">
        <f t="array" ref="M153">rho_call(D153,A153,E153,B153,F153,C153)</f>
        <v>83.62051674627169</v>
      </c>
      <c r="N153" cm="1">
        <f t="array" ref="N153">rho_put(D153,A153,E153,B153,F153,C153)</f>
        <v>-5.5731173432878336</v>
      </c>
    </row>
    <row r="154" spans="1:14" x14ac:dyDescent="0.3">
      <c r="A154">
        <v>100</v>
      </c>
      <c r="B154">
        <f t="shared" si="8"/>
        <v>0.01</v>
      </c>
      <c r="C154">
        <v>0.2</v>
      </c>
      <c r="D154">
        <v>140</v>
      </c>
      <c r="E154">
        <v>0.9</v>
      </c>
      <c r="F154">
        <v>0</v>
      </c>
      <c r="G154" cm="1">
        <f t="array" ref="G154">delta_call(D154,A154,E154,B154,F154,C154)</f>
        <v>0.97229624527713165</v>
      </c>
      <c r="H154" cm="1">
        <f t="array" ref="H154">delta_put(D154,A154,E154,B154,F154,C154)</f>
        <v>-2.7703754722868346E-2</v>
      </c>
      <c r="I154" cm="1">
        <f t="array" ref="I154">theta_call(D154,A154,E154,B154,F154,C154)</f>
        <v>-1.9062768905008256</v>
      </c>
      <c r="J154" cm="1">
        <f t="array" ref="J154">theta_put(D154,A154,E154,B154,F154,C154)</f>
        <v>-1.8973575270918697</v>
      </c>
      <c r="K154" cm="1">
        <f t="array" ref="K154">gamma_new(D154,A154,E154,B154,F154,C154)</f>
        <v>2.3974428180687469E-3</v>
      </c>
      <c r="L154" cm="1">
        <f t="array" ref="L154">vega_new(D154,A154,E154,B154,F154,C154)</f>
        <v>8.4581782621465393</v>
      </c>
      <c r="M154" cm="1">
        <f t="array" ref="M154">rho_call(D154,A154,E154,B154,F154,C154)</f>
        <v>85.431448147951741</v>
      </c>
      <c r="N154" cm="1">
        <f t="array" ref="N154">rho_put(D154,A154,E154,B154,F154,C154)</f>
        <v>-3.7621859416077825</v>
      </c>
    </row>
    <row r="155" spans="1:14" x14ac:dyDescent="0.3">
      <c r="A155">
        <v>100</v>
      </c>
      <c r="B155">
        <f>1/100</f>
        <v>0.01</v>
      </c>
      <c r="C155">
        <v>0.2</v>
      </c>
      <c r="D155">
        <v>60</v>
      </c>
      <c r="E155">
        <v>1</v>
      </c>
      <c r="F155">
        <v>0</v>
      </c>
      <c r="G155" cm="1">
        <f t="array" ref="G155">delta_call(D155,A155,E155,B155,F155,C155)</f>
        <v>8.1055453543928818E-3</v>
      </c>
      <c r="H155" cm="1">
        <f t="array" ref="H155">delta_put(D155,A155,E155,B155,F155,C155)</f>
        <v>-0.9918944546456071</v>
      </c>
      <c r="I155" cm="1">
        <f t="array" ref="I155">theta_call(D155,A155,E155,B155,F155,C155)</f>
        <v>-0.13769308130728006</v>
      </c>
      <c r="J155" cm="1">
        <f t="array" ref="J155">theta_put(D155,A155,E155,B155,F155,C155)</f>
        <v>-0.12779258296978838</v>
      </c>
      <c r="K155" cm="1">
        <f t="array" ref="K155">gamma_new(D155,A155,E155,B155,F155,C155)</f>
        <v>1.8477969471792112E-3</v>
      </c>
      <c r="L155" cm="1">
        <f t="array" ref="L155">vega_new(D155,A155,E155,B155,F155,C155)</f>
        <v>1.3304138019690321</v>
      </c>
      <c r="M155" cm="1">
        <f t="array" ref="M155">rho_call(D155,A155,E155,B155,F155,C155)</f>
        <v>0.45595912570109309</v>
      </c>
      <c r="N155" cm="1">
        <f t="array" ref="N155">rho_put(D155,A155,E155,B155,F155,C155)</f>
        <v>-98.549024249215705</v>
      </c>
    </row>
    <row r="156" spans="1:14" x14ac:dyDescent="0.3">
      <c r="A156">
        <v>100</v>
      </c>
      <c r="B156">
        <f t="shared" ref="B156:B171" si="9">1/100</f>
        <v>0.01</v>
      </c>
      <c r="C156">
        <v>0.2</v>
      </c>
      <c r="D156">
        <v>65</v>
      </c>
      <c r="E156">
        <v>1</v>
      </c>
      <c r="F156">
        <v>0</v>
      </c>
      <c r="G156" cm="1">
        <f t="array" ref="G156">delta_call(D156,A156,E156,B156,F156,C156)</f>
        <v>2.2539605701555526E-2</v>
      </c>
      <c r="H156" cm="1">
        <f t="array" ref="H156">delta_put(D156,A156,E156,B156,F156,C156)</f>
        <v>-0.97746039429844445</v>
      </c>
      <c r="I156" cm="1">
        <f t="array" ref="I156">theta_call(D156,A156,E156,B156,F156,C156)</f>
        <v>-0.36210528452670065</v>
      </c>
      <c r="J156" cm="1">
        <f t="array" ref="J156">theta_put(D156,A156,E156,B156,F156,C156)</f>
        <v>-0.35220478618920897</v>
      </c>
      <c r="K156" cm="1">
        <f t="array" ref="K156">gamma_new(D156,A156,E156,B156,F156,C156)</f>
        <v>4.1207309613217006E-3</v>
      </c>
      <c r="L156" cm="1">
        <f t="array" ref="L156">vega_new(D156,A156,E156,B156,F156,C156)</f>
        <v>3.4820176623168373</v>
      </c>
      <c r="M156" cm="1">
        <f t="array" ref="M156">rho_call(D156,A156,E156,B156,F156,C156)</f>
        <v>1.3628210187071796</v>
      </c>
      <c r="N156" cm="1">
        <f t="array" ref="N156">rho_put(D156,A156,E156,B156,F156,C156)</f>
        <v>-97.642162356209624</v>
      </c>
    </row>
    <row r="157" spans="1:14" x14ac:dyDescent="0.3">
      <c r="A157">
        <v>100</v>
      </c>
      <c r="B157">
        <f t="shared" si="9"/>
        <v>0.01</v>
      </c>
      <c r="C157">
        <v>0.2</v>
      </c>
      <c r="D157">
        <v>70</v>
      </c>
      <c r="E157">
        <v>1</v>
      </c>
      <c r="F157">
        <v>0</v>
      </c>
      <c r="G157" cm="1">
        <f t="array" ref="G157">delta_call(D157,A157,E157,B157,F157,C157)</f>
        <v>5.1195105289887979E-2</v>
      </c>
      <c r="H157" cm="1">
        <f t="array" ref="H157">delta_put(D157,A157,E157,B157,F157,C157)</f>
        <v>-0.94880489471011198</v>
      </c>
      <c r="I157" cm="1">
        <f t="array" ref="I157">theta_call(D157,A157,E157,B157,F157,C157)</f>
        <v>-0.76937057099883677</v>
      </c>
      <c r="J157" cm="1">
        <f t="array" ref="J157">theta_put(D157,A157,E157,B157,F157,C157)</f>
        <v>-0.75947007266134503</v>
      </c>
      <c r="K157" cm="1">
        <f t="array" ref="K157">gamma_new(D157,A157,E157,B157,F157,C157)</f>
        <v>7.5067523489369872E-3</v>
      </c>
      <c r="L157" cm="1">
        <f t="array" ref="L157">vega_new(D157,A157,E157,B157,F157,C157)</f>
        <v>7.3566173019582468</v>
      </c>
      <c r="M157" cm="1">
        <f t="array" ref="M157">rho_call(D157,A157,E157,B157,F157,C157)</f>
        <v>3.3041361033821035</v>
      </c>
      <c r="N157" cm="1">
        <f t="array" ref="N157">rho_put(D157,A157,E157,B157,F157,C157)</f>
        <v>-95.700847271534698</v>
      </c>
    </row>
    <row r="158" spans="1:14" x14ac:dyDescent="0.3">
      <c r="A158">
        <v>100</v>
      </c>
      <c r="B158">
        <f t="shared" si="9"/>
        <v>0.01</v>
      </c>
      <c r="C158">
        <v>0.2</v>
      </c>
      <c r="D158">
        <v>75</v>
      </c>
      <c r="E158">
        <v>1</v>
      </c>
      <c r="F158">
        <v>0</v>
      </c>
      <c r="G158" cm="1">
        <f t="array" ref="G158">delta_call(D158,A158,E158,B158,F158,C158)</f>
        <v>9.88015767617475E-2</v>
      </c>
      <c r="H158" cm="1">
        <f t="array" ref="H158">delta_put(D158,A158,E158,B158,F158,C158)</f>
        <v>-0.9011984232382525</v>
      </c>
      <c r="I158" cm="1">
        <f t="array" ref="I158">theta_call(D158,A158,E158,B158,F158,C158)</f>
        <v>-1.3736958956740573</v>
      </c>
      <c r="J158" cm="1">
        <f t="array" ref="J158">theta_put(D158,A158,E158,B158,F158,C158)</f>
        <v>-1.3637953973365655</v>
      </c>
      <c r="K158" cm="1">
        <f t="array" ref="K158">gamma_new(D158,A158,E158,B158,F158,C158)</f>
        <v>1.1597225794774839E-2</v>
      </c>
      <c r="L158" cm="1">
        <f t="array" ref="L158">vega_new(D158,A158,E158,B158,F158,C158)</f>
        <v>13.046879019121693</v>
      </c>
      <c r="M158" cm="1">
        <f t="array" ref="M158">rho_call(D158,A158,E158,B158,F158,C158)</f>
        <v>6.7641543932963435</v>
      </c>
      <c r="N158" cm="1">
        <f t="array" ref="N158">rho_put(D158,A158,E158,B158,F158,C158)</f>
        <v>-92.240828981620467</v>
      </c>
    </row>
    <row r="159" spans="1:14" x14ac:dyDescent="0.3">
      <c r="A159">
        <v>100</v>
      </c>
      <c r="B159">
        <f t="shared" si="9"/>
        <v>0.01</v>
      </c>
      <c r="C159">
        <v>0.2</v>
      </c>
      <c r="D159">
        <v>80</v>
      </c>
      <c r="E159">
        <v>1</v>
      </c>
      <c r="F159">
        <v>0</v>
      </c>
      <c r="G159" cm="1">
        <f t="array" ref="G159">delta_call(D159,A159,E159,B159,F159,C159)</f>
        <v>0.16709271590694216</v>
      </c>
      <c r="H159" cm="1">
        <f t="array" ref="H159">delta_put(D159,A159,E159,B159,F159,C159)</f>
        <v>-0.83290728409305781</v>
      </c>
      <c r="I159" cm="1">
        <f t="array" ref="I159">theta_call(D159,A159,E159,B159,F159,C159)</f>
        <v>-2.125191020020087</v>
      </c>
      <c r="J159" cm="1">
        <f t="array" ref="J159">theta_put(D159,A159,E159,B159,F159,C159)</f>
        <v>-2.1152905216825952</v>
      </c>
      <c r="K159" cm="1">
        <f t="array" ref="K159">gamma_new(D159,A159,E159,B159,F159,C159)</f>
        <v>1.5641421674019225E-2</v>
      </c>
      <c r="L159" cm="1">
        <f t="array" ref="L159">vega_new(D159,A159,E159,B159,F159,C159)</f>
        <v>20.021019742744606</v>
      </c>
      <c r="M159" cm="1">
        <f t="array" ref="M159">rho_call(D159,A159,E159,B159,F159,C159)</f>
        <v>12.065171933845738</v>
      </c>
      <c r="N159" cm="1">
        <f t="array" ref="N159">rho_put(D159,A159,E159,B159,F159,C159)</f>
        <v>-86.939811441071072</v>
      </c>
    </row>
    <row r="160" spans="1:14" x14ac:dyDescent="0.3">
      <c r="A160">
        <v>100</v>
      </c>
      <c r="B160">
        <f t="shared" si="9"/>
        <v>0.01</v>
      </c>
      <c r="C160">
        <v>0.2</v>
      </c>
      <c r="D160">
        <v>85</v>
      </c>
      <c r="E160">
        <v>1</v>
      </c>
      <c r="F160">
        <v>0</v>
      </c>
      <c r="G160" cm="1">
        <f t="array" ref="G160">delta_call(D160,A160,E160,B160,F160,C160)</f>
        <v>0.2537950995737065</v>
      </c>
      <c r="H160" cm="1">
        <f t="array" ref="H160">delta_put(D160,A160,E160,B160,F160,C160)</f>
        <v>-0.7462049004262935</v>
      </c>
      <c r="I160" cm="1">
        <f t="array" ref="I160">theta_call(D160,A160,E160,B160,F160,C160)</f>
        <v>-2.9187984098097419</v>
      </c>
      <c r="J160" cm="1">
        <f t="array" ref="J160">theta_put(D160,A160,E160,B160,F160,C160)</f>
        <v>-2.9088979114722502</v>
      </c>
      <c r="K160" cm="1">
        <f t="array" ref="K160">gamma_new(D160,A160,E160,B160,F160,C160)</f>
        <v>1.8841983940109528E-2</v>
      </c>
      <c r="L160" cm="1">
        <f t="array" ref="L160">vega_new(D160,A160,E160,B160,F160,C160)</f>
        <v>27.226666793458271</v>
      </c>
      <c r="M160" cm="1">
        <f t="array" ref="M160">rho_call(D160,A160,E160,B160,F160,C160)</f>
        <v>19.224806199408722</v>
      </c>
      <c r="N160" cm="1">
        <f t="array" ref="N160">rho_put(D160,A160,E160,B160,F160,C160)</f>
        <v>-79.780177175508086</v>
      </c>
    </row>
    <row r="161" spans="1:14" x14ac:dyDescent="0.3">
      <c r="A161">
        <v>100</v>
      </c>
      <c r="B161">
        <f t="shared" si="9"/>
        <v>0.01</v>
      </c>
      <c r="C161">
        <v>0.2</v>
      </c>
      <c r="D161">
        <v>90</v>
      </c>
      <c r="E161">
        <v>1</v>
      </c>
      <c r="F161">
        <v>0</v>
      </c>
      <c r="G161" cm="1">
        <f t="array" ref="G161">delta_call(D161,A161,E161,B161,F161,C161)</f>
        <v>0.35316016226972924</v>
      </c>
      <c r="H161" cm="1">
        <f t="array" ref="H161">delta_put(D161,A161,E161,B161,F161,C161)</f>
        <v>-0.64683983773027076</v>
      </c>
      <c r="I161" cm="1">
        <f t="array" ref="I161">theta_call(D161,A161,E161,B161,F161,C161)</f>
        <v>-3.6292998471821813</v>
      </c>
      <c r="J161" cm="1">
        <f t="array" ref="J161">theta_put(D161,A161,E161,B161,F161,C161)</f>
        <v>-3.6193993488446896</v>
      </c>
      <c r="K161" cm="1">
        <f t="array" ref="K161">gamma_new(D161,A161,E161,B161,F161,C161)</f>
        <v>2.0644622964645629E-2</v>
      </c>
      <c r="L161" cm="1">
        <f t="array" ref="L161">vega_new(D161,A161,E161,B161,F161,C161)</f>
        <v>33.444289202725919</v>
      </c>
      <c r="M161" cm="1">
        <f t="array" ref="M161">rho_call(D161,A161,E161,B161,F161,C161)</f>
        <v>27.923010462044491</v>
      </c>
      <c r="N161" cm="1">
        <f t="array" ref="N161">rho_put(D161,A161,E161,B161,F161,C161)</f>
        <v>-71.081972912872317</v>
      </c>
    </row>
    <row r="162" spans="1:14" x14ac:dyDescent="0.3">
      <c r="A162">
        <v>100</v>
      </c>
      <c r="B162">
        <f t="shared" si="9"/>
        <v>0.01</v>
      </c>
      <c r="C162">
        <v>0.2</v>
      </c>
      <c r="D162">
        <v>95</v>
      </c>
      <c r="E162">
        <v>1</v>
      </c>
      <c r="F162">
        <v>0</v>
      </c>
      <c r="G162" cm="1">
        <f t="array" ref="G162">delta_call(D162,A162,E162,B162,F162,C162)</f>
        <v>0.45760612784927152</v>
      </c>
      <c r="H162" cm="1">
        <f t="array" ref="H162">delta_put(D162,A162,E162,B162,F162,C162)</f>
        <v>-0.54239387215072843</v>
      </c>
      <c r="I162" cm="1">
        <f t="array" ref="I162">theta_call(D162,A162,E162,B162,F162,C162)</f>
        <v>-4.151972703189224</v>
      </c>
      <c r="J162" cm="1">
        <f t="array" ref="J162">theta_put(D162,A162,E162,B162,F162,C162)</f>
        <v>-4.1420722048517327</v>
      </c>
      <c r="K162" cm="1">
        <f t="array" ref="K162">gamma_new(D162,A162,E162,B162,F162,C162)</f>
        <v>2.087829727981377E-2</v>
      </c>
      <c r="L162" cm="1">
        <f t="array" ref="L162">vega_new(D162,A162,E162,B162,F162,C162)</f>
        <v>37.685326590063859</v>
      </c>
      <c r="M162" cm="1">
        <f t="array" ref="M162">rho_call(D162,A162,E162,B162,F162,C162)</f>
        <v>37.584742260070186</v>
      </c>
      <c r="N162" cm="1">
        <f t="array" ref="N162">rho_put(D162,A162,E162,B162,F162,C162)</f>
        <v>-61.420241114846618</v>
      </c>
    </row>
    <row r="163" spans="1:14" x14ac:dyDescent="0.3">
      <c r="A163">
        <v>100</v>
      </c>
      <c r="B163">
        <f t="shared" si="9"/>
        <v>0.01</v>
      </c>
      <c r="C163">
        <v>0.2</v>
      </c>
      <c r="D163">
        <v>100</v>
      </c>
      <c r="E163">
        <v>1</v>
      </c>
      <c r="F163">
        <v>0</v>
      </c>
      <c r="G163" cm="1">
        <f t="array" ref="G163">delta_call(D163,A163,E163,B163,F163,C163)</f>
        <v>0.5596176923702425</v>
      </c>
      <c r="H163" cm="1">
        <f t="array" ref="H163">delta_put(D163,A163,E163,B163,F163,C163)</f>
        <v>-0.4403823076297575</v>
      </c>
      <c r="I163" cm="1">
        <f t="array" ref="I163">theta_call(D163,A163,E163,B163,F163,C163)</f>
        <v>-4.4296791984524662</v>
      </c>
      <c r="J163" cm="1">
        <f t="array" ref="J163">theta_put(D163,A163,E163,B163,F163,C163)</f>
        <v>-4.4197787001149749</v>
      </c>
      <c r="K163" cm="1">
        <f t="array" ref="K163">gamma_new(D163,A163,E163,B163,F163,C163)</f>
        <v>1.9723966545394447E-2</v>
      </c>
      <c r="L163" cm="1">
        <f t="array" ref="L163">vega_new(D163,A163,E163,B163,F163,C163)</f>
        <v>39.447933090788894</v>
      </c>
      <c r="M163" cm="1">
        <f t="array" ref="M163">rho_call(D163,A163,E163,B163,F163,C163)</f>
        <v>47.528450546914641</v>
      </c>
      <c r="N163" cm="1">
        <f t="array" ref="N163">rho_put(D163,A163,E163,B163,F163,C163)</f>
        <v>-51.476532828002163</v>
      </c>
    </row>
    <row r="164" spans="1:14" x14ac:dyDescent="0.3">
      <c r="A164">
        <v>100</v>
      </c>
      <c r="B164">
        <f t="shared" si="9"/>
        <v>0.01</v>
      </c>
      <c r="C164">
        <v>0.2</v>
      </c>
      <c r="D164">
        <v>105</v>
      </c>
      <c r="E164">
        <v>1</v>
      </c>
      <c r="F164">
        <v>0</v>
      </c>
      <c r="G164" cm="1">
        <f t="array" ref="G164">delta_call(D164,A164,E164,B164,F164,C164)</f>
        <v>0.65319132580079731</v>
      </c>
      <c r="H164" cm="1">
        <f t="array" ref="H164">delta_put(D164,A164,E164,B164,F164,C164)</f>
        <v>-0.34680867419920269</v>
      </c>
      <c r="I164" cm="1">
        <f t="array" ref="I164">theta_call(D164,A164,E164,B164,F164,C164)</f>
        <v>-4.458824031408879</v>
      </c>
      <c r="J164" cm="1">
        <f t="array" ref="J164">theta_put(D164,A164,E164,B164,F164,C164)</f>
        <v>-4.4489235330713877</v>
      </c>
      <c r="K164" cm="1">
        <f t="array" ref="K164">gamma_new(D164,A164,E164,B164,F164,C164)</f>
        <v>1.7578836087368842E-2</v>
      </c>
      <c r="L164" cm="1">
        <f t="array" ref="L164">vega_new(D164,A164,E164,B164,F164,C164)</f>
        <v>38.761333572648297</v>
      </c>
      <c r="M164" cm="1">
        <f t="array" ref="M164">rho_call(D164,A164,E164,B164,F164,C164)</f>
        <v>57.1152625744216</v>
      </c>
      <c r="N164" cm="1">
        <f t="array" ref="N164">rho_put(D164,A164,E164,B164,F164,C164)</f>
        <v>-41.889720800495205</v>
      </c>
    </row>
    <row r="165" spans="1:14" x14ac:dyDescent="0.3">
      <c r="A165">
        <v>100</v>
      </c>
      <c r="B165">
        <f t="shared" si="9"/>
        <v>0.01</v>
      </c>
      <c r="C165">
        <v>0.2</v>
      </c>
      <c r="D165">
        <v>110</v>
      </c>
      <c r="E165">
        <v>1</v>
      </c>
      <c r="F165">
        <v>0</v>
      </c>
      <c r="G165" cm="1">
        <f t="array" ref="G165">delta_call(D165,A165,E165,B165,F165,C165)</f>
        <v>0.73452316868917078</v>
      </c>
      <c r="H165" cm="1">
        <f t="array" ref="H165">delta_put(D165,A165,E165,B165,F165,C165)</f>
        <v>-0.26547683131082922</v>
      </c>
      <c r="I165" cm="1">
        <f t="array" ref="I165">theta_call(D165,A165,E165,B165,F165,C165)</f>
        <v>-4.2781006210085888</v>
      </c>
      <c r="J165" cm="1">
        <f t="array" ref="J165">theta_put(D165,A165,E165,B165,F165,C165)</f>
        <v>-4.2682001226710975</v>
      </c>
      <c r="K165" cm="1">
        <f t="array" ref="K165">gamma_new(D165,A165,E165,B165,F165,C165)</f>
        <v>1.4901938093572724E-2</v>
      </c>
      <c r="L165" cm="1">
        <f t="array" ref="L165">vega_new(D165,A165,E165,B165,F165,C165)</f>
        <v>36.062690186445991</v>
      </c>
      <c r="M165" cm="1">
        <f t="array" ref="M165">rho_call(D165,A165,E165,B165,F165,C165)</f>
        <v>65.852844532273394</v>
      </c>
      <c r="N165" cm="1">
        <f t="array" ref="N165">rho_put(D165,A165,E165,B165,F165,C165)</f>
        <v>-33.15213884264341</v>
      </c>
    </row>
    <row r="166" spans="1:14" x14ac:dyDescent="0.3">
      <c r="A166">
        <v>100</v>
      </c>
      <c r="B166">
        <f t="shared" si="9"/>
        <v>0.01</v>
      </c>
      <c r="C166">
        <v>0.2</v>
      </c>
      <c r="D166">
        <v>115</v>
      </c>
      <c r="E166">
        <v>1</v>
      </c>
      <c r="F166">
        <v>0</v>
      </c>
      <c r="G166" cm="1">
        <f t="array" ref="G166">delta_call(D166,A166,E166,B166,F166,C166)</f>
        <v>0.80200640740621953</v>
      </c>
      <c r="H166" cm="1">
        <f t="array" ref="H166">delta_put(D166,A166,E166,B166,F166,C166)</f>
        <v>-0.19799359259378047</v>
      </c>
      <c r="I166" cm="1">
        <f t="array" ref="I166">theta_call(D166,A166,E166,B166,F166,C166)</f>
        <v>-3.9492841488252792</v>
      </c>
      <c r="J166" cm="1">
        <f t="array" ref="J166">theta_put(D166,A166,E166,B166,F166,C166)</f>
        <v>-3.9393836504877875</v>
      </c>
      <c r="K166" cm="1">
        <f t="array" ref="K166">gamma_new(D166,A166,E166,B166,F166,C166)</f>
        <v>1.2098525266351955E-2</v>
      </c>
      <c r="L166" cm="1">
        <f t="array" ref="L166">vega_new(D166,A166,E166,B166,F166,C166)</f>
        <v>32.000599329500922</v>
      </c>
      <c r="M166" cm="1">
        <f t="array" ref="M166">rho_call(D166,A166,E166,B166,F166,C166)</f>
        <v>73.43885824101524</v>
      </c>
      <c r="N166" cm="1">
        <f t="array" ref="N166">rho_put(D166,A166,E166,B166,F166,C166)</f>
        <v>-25.566125133901565</v>
      </c>
    </row>
    <row r="167" spans="1:14" x14ac:dyDescent="0.3">
      <c r="A167">
        <v>100</v>
      </c>
      <c r="B167">
        <f t="shared" si="9"/>
        <v>0.01</v>
      </c>
      <c r="C167">
        <v>0.2</v>
      </c>
      <c r="D167">
        <v>120</v>
      </c>
      <c r="E167">
        <v>1</v>
      </c>
      <c r="F167">
        <v>0</v>
      </c>
      <c r="G167" cm="1">
        <f t="array" ref="G167">delta_call(D167,A167,E167,B167,F167,C167)</f>
        <v>0.85579311074329822</v>
      </c>
      <c r="H167" cm="1">
        <f t="array" ref="H167">delta_put(D167,A167,E167,B167,F167,C167)</f>
        <v>-0.14420688925670178</v>
      </c>
      <c r="I167" cm="1">
        <f t="array" ref="I167">theta_call(D167,A167,E167,B167,F167,C167)</f>
        <v>-3.5386282471224373</v>
      </c>
      <c r="J167" cm="1">
        <f t="array" ref="J167">theta_put(D167,A167,E167,B167,F167,C167)</f>
        <v>-3.5287277487849456</v>
      </c>
      <c r="K167" cm="1">
        <f t="array" ref="K167">gamma_new(D167,A167,E167,B167,F167,C167)</f>
        <v>9.46175015661453E-3</v>
      </c>
      <c r="L167" cm="1">
        <f t="array" ref="L167">vega_new(D167,A167,E167,B167,F167,C167)</f>
        <v>27.249840451049845</v>
      </c>
      <c r="M167" cm="1">
        <f t="array" ref="M167">rho_call(D167,A167,E167,B167,F167,C167)</f>
        <v>79.753296736124057</v>
      </c>
      <c r="N167" cm="1">
        <f t="array" ref="N167">rho_put(D167,A167,E167,B167,F167,C167)</f>
        <v>-19.251686638792748</v>
      </c>
    </row>
    <row r="168" spans="1:14" x14ac:dyDescent="0.3">
      <c r="A168">
        <v>100</v>
      </c>
      <c r="B168">
        <f t="shared" si="9"/>
        <v>0.01</v>
      </c>
      <c r="C168">
        <v>0.2</v>
      </c>
      <c r="D168">
        <v>125</v>
      </c>
      <c r="E168">
        <v>1</v>
      </c>
      <c r="F168">
        <v>0</v>
      </c>
      <c r="G168" cm="1">
        <f t="array" ref="G168">delta_call(D168,A168,E168,B168,F168,C168)</f>
        <v>0.89719292559733332</v>
      </c>
      <c r="H168" cm="1">
        <f t="array" ref="H168">delta_put(D168,A168,E168,B168,F168,C168)</f>
        <v>-0.10280707440266668</v>
      </c>
      <c r="I168" cm="1">
        <f t="array" ref="I168">theta_call(D168,A168,E168,B168,F168,C168)</f>
        <v>-3.1037526551210197</v>
      </c>
      <c r="J168" cm="1">
        <f t="array" ref="J168">theta_put(D168,A168,E168,B168,F168,C168)</f>
        <v>-3.093852156783528</v>
      </c>
      <c r="K168" cm="1">
        <f t="array" ref="K168">gamma_new(D168,A168,E168,B168,F168,C168)</f>
        <v>7.162937779782763E-3</v>
      </c>
      <c r="L168" cm="1">
        <f t="array" ref="L168">vega_new(D168,A168,E168,B168,F168,C168)</f>
        <v>22.384180561821136</v>
      </c>
      <c r="M168" cm="1">
        <f t="array" ref="M168">rho_call(D168,A168,E168,B168,F168,C168)</f>
        <v>84.819982584634872</v>
      </c>
      <c r="N168" cm="1">
        <f t="array" ref="N168">rho_put(D168,A168,E168,B168,F168,C168)</f>
        <v>-14.185000790281933</v>
      </c>
    </row>
    <row r="169" spans="1:14" x14ac:dyDescent="0.3">
      <c r="A169">
        <v>100</v>
      </c>
      <c r="B169">
        <f t="shared" si="9"/>
        <v>0.01</v>
      </c>
      <c r="C169">
        <v>0.2</v>
      </c>
      <c r="D169">
        <v>130</v>
      </c>
      <c r="E169">
        <v>1</v>
      </c>
      <c r="F169">
        <v>0</v>
      </c>
      <c r="G169" cm="1">
        <f t="array" ref="G169">delta_call(D169,A169,E169,B169,F169,C169)</f>
        <v>0.92810491023994279</v>
      </c>
      <c r="H169" cm="1">
        <f t="array" ref="H169">delta_put(D169,A169,E169,B169,F169,C169)</f>
        <v>-7.1895089760057207E-2</v>
      </c>
      <c r="I169" cm="1">
        <f t="array" ref="I169">theta_call(D169,A169,E169,B169,F169,C169)</f>
        <v>-2.6871714200809755</v>
      </c>
      <c r="J169" cm="1">
        <f t="array" ref="J169">theta_put(D169,A169,E169,B169,F169,C169)</f>
        <v>-2.6772709217434838</v>
      </c>
      <c r="K169" cm="1">
        <f t="array" ref="K169">gamma_new(D169,A169,E169,B169,F169,C169)</f>
        <v>5.2712072632879253E-3</v>
      </c>
      <c r="L169" cm="1">
        <f t="array" ref="L169">vega_new(D169,A169,E169,B169,F169,C169)</f>
        <v>17.816680549913187</v>
      </c>
      <c r="M169" cm="1">
        <f t="array" ref="M169">rho_call(D169,A169,E169,B169,F169,C169)</f>
        <v>88.757319713568378</v>
      </c>
      <c r="N169" cm="1">
        <f t="array" ref="N169">rho_put(D169,A169,E169,B169,F169,C169)</f>
        <v>-10.247663661348426</v>
      </c>
    </row>
    <row r="170" spans="1:14" x14ac:dyDescent="0.3">
      <c r="A170">
        <v>100</v>
      </c>
      <c r="B170">
        <f t="shared" si="9"/>
        <v>0.01</v>
      </c>
      <c r="C170">
        <v>0.2</v>
      </c>
      <c r="D170">
        <v>135</v>
      </c>
      <c r="E170">
        <v>1</v>
      </c>
      <c r="F170">
        <v>0</v>
      </c>
      <c r="G170" cm="1">
        <f t="array" ref="G170">delta_call(D170,A170,E170,B170,F170,C170)</f>
        <v>0.95058198959185258</v>
      </c>
      <c r="H170" cm="1">
        <f t="array" ref="H170">delta_put(D170,A170,E170,B170,F170,C170)</f>
        <v>-4.9418010408147417E-2</v>
      </c>
      <c r="I170" cm="1">
        <f t="array" ref="I170">theta_call(D170,A170,E170,B170,F170,C170)</f>
        <v>-2.3152410722873409</v>
      </c>
      <c r="J170" cm="1">
        <f t="array" ref="J170">theta_put(D170,A170,E170,B170,F170,C170)</f>
        <v>-2.3053405739498491</v>
      </c>
      <c r="K170" cm="1">
        <f t="array" ref="K170">gamma_new(D170,A170,E170,B170,F170,C170)</f>
        <v>3.7843224261389784E-3</v>
      </c>
      <c r="L170" cm="1">
        <f t="array" ref="L170">vega_new(D170,A170,E170,B170,F170,C170)</f>
        <v>13.793855243276576</v>
      </c>
      <c r="M170" cm="1">
        <f t="array" ref="M170">rho_call(D170,A170,E170,B170,F170,C170)</f>
        <v>91.732436651684779</v>
      </c>
      <c r="N170" cm="1">
        <f t="array" ref="N170">rho_put(D170,A170,E170,B170,F170,C170)</f>
        <v>-7.2725467232320256</v>
      </c>
    </row>
    <row r="171" spans="1:14" x14ac:dyDescent="0.3">
      <c r="A171">
        <v>100</v>
      </c>
      <c r="B171">
        <f t="shared" si="9"/>
        <v>0.01</v>
      </c>
      <c r="C171">
        <v>0.2</v>
      </c>
      <c r="D171">
        <v>140</v>
      </c>
      <c r="E171">
        <v>1</v>
      </c>
      <c r="F171">
        <v>0</v>
      </c>
      <c r="G171" cm="1">
        <f t="array" ref="G171">delta_call(D171,A171,E171,B171,F171,C171)</f>
        <v>0.96655118639654458</v>
      </c>
      <c r="H171" cm="1">
        <f t="array" ref="H171">delta_put(D171,A171,E171,B171,F171,C171)</f>
        <v>-3.3448813603455418E-2</v>
      </c>
      <c r="I171" cm="1">
        <f t="array" ref="I171">theta_call(D171,A171,E171,B171,F171,C171)</f>
        <v>-2.0004445177891572</v>
      </c>
      <c r="J171" cm="1">
        <f t="array" ref="J171">theta_put(D171,A171,E171,B171,F171,C171)</f>
        <v>-1.9905440194516655</v>
      </c>
      <c r="K171" cm="1">
        <f t="array" ref="K171">gamma_new(D171,A171,E171,B171,F171,C171)</f>
        <v>2.6587031941631986E-3</v>
      </c>
      <c r="L171" cm="1">
        <f t="array" ref="L171">vega_new(D171,A171,E171,B171,F171,C171)</f>
        <v>10.422116521119738</v>
      </c>
      <c r="M171" cm="1">
        <f t="array" ref="M171">rho_call(D171,A171,E171,B171,F171,C171)</f>
        <v>93.925858365570519</v>
      </c>
      <c r="N171" cm="1">
        <f t="array" ref="N171">rho_put(D171,A171,E171,B171,F171,C171)</f>
        <v>-5.079125009346285</v>
      </c>
    </row>
    <row r="172" spans="1:14" x14ac:dyDescent="0.3">
      <c r="A172">
        <v>100</v>
      </c>
      <c r="B172">
        <f>1/100</f>
        <v>0.01</v>
      </c>
      <c r="C172">
        <v>0.2</v>
      </c>
      <c r="D172">
        <v>60</v>
      </c>
      <c r="E172">
        <v>2</v>
      </c>
      <c r="F172">
        <v>0</v>
      </c>
      <c r="G172" cm="1">
        <f t="array" ref="G172">delta_call(D172,A172,E172,B172,F172,C172)</f>
        <v>5.5478177979400571E-2</v>
      </c>
      <c r="H172" cm="1">
        <f t="array" ref="H172">delta_put(D172,A172,E172,B172,F172,C172)</f>
        <v>-0.94452182202059942</v>
      </c>
      <c r="I172" cm="1">
        <f t="array" ref="I172">theta_call(D172,A172,E172,B172,F172,C172)</f>
        <v>-0.5060845567929223</v>
      </c>
      <c r="J172" cm="1">
        <f t="array" ref="J172">theta_put(D172,A172,E172,B172,F172,C172)</f>
        <v>-0.48648058332678717</v>
      </c>
      <c r="K172" cm="1">
        <f t="array" ref="K172">gamma_new(D172,A172,E172,B172,F172,C172)</f>
        <v>6.5999568536451924E-3</v>
      </c>
      <c r="L172" cm="1">
        <f t="array" ref="L172">vega_new(D172,A172,E172,B172,F172,C172)</f>
        <v>9.5039378692490786</v>
      </c>
      <c r="M172" cm="1">
        <f t="array" ref="M172">rho_call(D172,A172,E172,B172,F172,C172)</f>
        <v>5.9353081456012937</v>
      </c>
      <c r="N172" cm="1">
        <f t="array" ref="N172">rho_put(D172,A172,E172,B172,F172,C172)</f>
        <v>-190.10442651574976</v>
      </c>
    </row>
    <row r="173" spans="1:14" x14ac:dyDescent="0.3">
      <c r="A173">
        <v>100</v>
      </c>
      <c r="B173">
        <f t="shared" ref="B173:B188" si="10">1/100</f>
        <v>0.01</v>
      </c>
      <c r="C173">
        <v>0.2</v>
      </c>
      <c r="D173">
        <v>65</v>
      </c>
      <c r="E173">
        <v>2</v>
      </c>
      <c r="F173">
        <v>0</v>
      </c>
      <c r="G173" cm="1">
        <f t="array" ref="G173">delta_call(D173,A173,E173,B173,F173,C173)</f>
        <v>9.4943144684704661E-2</v>
      </c>
      <c r="H173" cm="1">
        <f t="array" ref="H173">delta_put(D173,A173,E173,B173,F173,C173)</f>
        <v>-0.90505685531529534</v>
      </c>
      <c r="I173" cm="1">
        <f t="array" ref="I173">theta_call(D173,A173,E173,B173,F173,C173)</f>
        <v>-0.83311529139803653</v>
      </c>
      <c r="J173" cm="1">
        <f t="array" ref="J173">theta_put(D173,A173,E173,B173,F173,C173)</f>
        <v>-0.81351131793190146</v>
      </c>
      <c r="K173" cm="1">
        <f t="array" ref="K173">gamma_new(D173,A173,E173,B173,F173,C173)</f>
        <v>9.1893387459059377E-3</v>
      </c>
      <c r="L173" cm="1">
        <f t="array" ref="L173">vega_new(D173,A173,E173,B173,F173,C173)</f>
        <v>15.529982480581037</v>
      </c>
      <c r="M173" cm="1">
        <f t="array" ref="M173">rho_call(D173,A173,E173,B173,F173,C173)</f>
        <v>10.87924313868019</v>
      </c>
      <c r="N173" cm="1">
        <f t="array" ref="N173">rho_put(D173,A173,E173,B173,F173,C173)</f>
        <v>-185.16049152267087</v>
      </c>
    </row>
    <row r="174" spans="1:14" x14ac:dyDescent="0.3">
      <c r="A174">
        <v>100</v>
      </c>
      <c r="B174">
        <f t="shared" si="10"/>
        <v>0.01</v>
      </c>
      <c r="C174">
        <v>0.2</v>
      </c>
      <c r="D174">
        <v>70</v>
      </c>
      <c r="E174">
        <v>2</v>
      </c>
      <c r="F174">
        <v>0</v>
      </c>
      <c r="G174" cm="1">
        <f t="array" ref="G174">delta_call(D174,A174,E174,B174,F174,C174)</f>
        <v>0.14711107776501314</v>
      </c>
      <c r="H174" cm="1">
        <f t="array" ref="H174">delta_put(D174,A174,E174,B174,F174,C174)</f>
        <v>-0.85288892223498691</v>
      </c>
      <c r="I174" cm="1">
        <f t="array" ref="I174">theta_call(D174,A174,E174,B174,F174,C174)</f>
        <v>-1.2324871885814481</v>
      </c>
      <c r="J174" cm="1">
        <f t="array" ref="J174">theta_put(D174,A174,E174,B174,F174,C174)</f>
        <v>-1.2128832151153131</v>
      </c>
      <c r="K174" cm="1">
        <f t="array" ref="K174">gamma_new(D174,A174,E174,B174,F174,C174)</f>
        <v>1.1624159945686188E-2</v>
      </c>
      <c r="L174" cm="1">
        <f t="array" ref="L174">vega_new(D174,A174,E174,B174,F174,C174)</f>
        <v>22.783353493544929</v>
      </c>
      <c r="M174" cm="1">
        <f t="array" ref="M174">rho_call(D174,A174,E174,B174,F174,C174)</f>
        <v>17.932080685197075</v>
      </c>
      <c r="N174" cm="1">
        <f t="array" ref="N174">rho_put(D174,A174,E174,B174,F174,C174)</f>
        <v>-178.10765397615398</v>
      </c>
    </row>
    <row r="175" spans="1:14" x14ac:dyDescent="0.3">
      <c r="A175">
        <v>100</v>
      </c>
      <c r="B175">
        <f t="shared" si="10"/>
        <v>0.01</v>
      </c>
      <c r="C175">
        <v>0.2</v>
      </c>
      <c r="D175">
        <v>75</v>
      </c>
      <c r="E175">
        <v>2</v>
      </c>
      <c r="F175">
        <v>0</v>
      </c>
      <c r="G175" cm="1">
        <f t="array" ref="G175">delta_call(D175,A175,E175,B175,F175,C175)</f>
        <v>0.21041627797587964</v>
      </c>
      <c r="H175" cm="1">
        <f t="array" ref="H175">delta_put(D175,A175,E175,B175,F175,C175)</f>
        <v>-0.78958372202412042</v>
      </c>
      <c r="I175" cm="1">
        <f t="array" ref="I175">theta_call(D175,A175,E175,B175,F175,C175)</f>
        <v>-1.6713286043988775</v>
      </c>
      <c r="J175" cm="1">
        <f t="array" ref="J175">theta_put(D175,A175,E175,B175,F175,C175)</f>
        <v>-1.6517246309327425</v>
      </c>
      <c r="K175" cm="1">
        <f t="array" ref="K175">gamma_new(D175,A175,E175,B175,F175,C175)</f>
        <v>1.3601749391133747E-2</v>
      </c>
      <c r="L175" cm="1">
        <f t="array" ref="L175">vega_new(D175,A175,E175,B175,F175,C175)</f>
        <v>30.603936130050933</v>
      </c>
      <c r="M175" cm="1">
        <f t="array" ref="M175">rho_call(D175,A175,E175,B175,F175,C175)</f>
        <v>27.119588189475021</v>
      </c>
      <c r="N175" cm="1">
        <f t="array" ref="N175">rho_put(D175,A175,E175,B175,F175,C175)</f>
        <v>-168.92014647187602</v>
      </c>
    </row>
    <row r="176" spans="1:14" x14ac:dyDescent="0.3">
      <c r="A176">
        <v>100</v>
      </c>
      <c r="B176">
        <f t="shared" si="10"/>
        <v>0.01</v>
      </c>
      <c r="C176">
        <v>0.2</v>
      </c>
      <c r="D176">
        <v>80</v>
      </c>
      <c r="E176">
        <v>2</v>
      </c>
      <c r="F176">
        <v>0</v>
      </c>
      <c r="G176" cm="1">
        <f t="array" ref="G176">delta_call(D176,A176,E176,B176,F176,C176)</f>
        <v>0.2820374343620774</v>
      </c>
      <c r="H176" cm="1">
        <f t="array" ref="H176">delta_put(D176,A176,E176,B176,F176,C176)</f>
        <v>-0.7179625656379226</v>
      </c>
      <c r="I176" cm="1">
        <f t="array" ref="I176">theta_call(D176,A176,E176,B176,F176,C176)</f>
        <v>-2.1098441386634206</v>
      </c>
      <c r="J176" cm="1">
        <f t="array" ref="J176">theta_put(D176,A176,E176,B176,F176,C176)</f>
        <v>-2.0902401651972853</v>
      </c>
      <c r="K176" cm="1">
        <f t="array" ref="K176">gamma_new(D176,A176,E176,B176,F176,C176)</f>
        <v>1.4928999083209112E-2</v>
      </c>
      <c r="L176" cm="1">
        <f t="array" ref="L176">vega_new(D176,A176,E176,B176,F176,C176)</f>
        <v>38.218237653015329</v>
      </c>
      <c r="M176" cm="1">
        <f t="array" ref="M176">rho_call(D176,A176,E176,B176,F176,C176)</f>
        <v>38.22640213674083</v>
      </c>
      <c r="N176" cm="1">
        <f t="array" ref="N176">rho_put(D176,A176,E176,B176,F176,C176)</f>
        <v>-157.81333252461022</v>
      </c>
    </row>
    <row r="177" spans="1:14" x14ac:dyDescent="0.3">
      <c r="A177">
        <v>100</v>
      </c>
      <c r="B177">
        <f t="shared" si="10"/>
        <v>0.01</v>
      </c>
      <c r="C177">
        <v>0.2</v>
      </c>
      <c r="D177">
        <v>85</v>
      </c>
      <c r="E177">
        <v>2</v>
      </c>
      <c r="F177">
        <v>0</v>
      </c>
      <c r="G177" cm="1">
        <f t="array" ref="G177">delta_call(D177,A177,E177,B177,F177,C177)</f>
        <v>0.35850447187481504</v>
      </c>
      <c r="H177" cm="1">
        <f t="array" ref="H177">delta_put(D177,A177,E177,B177,F177,C177)</f>
        <v>-0.64149552812518496</v>
      </c>
      <c r="I177" cm="1">
        <f t="array" ref="I177">theta_call(D177,A177,E177,B177,F177,C177)</f>
        <v>-2.5099650084506924</v>
      </c>
      <c r="J177" cm="1">
        <f t="array" ref="J177">theta_put(D177,A177,E177,B177,F177,C177)</f>
        <v>-2.4903610349845571</v>
      </c>
      <c r="K177" cm="1">
        <f t="array" ref="K177">gamma_new(D177,A177,E177,B177,F177,C177)</f>
        <v>1.5538821309956895E-2</v>
      </c>
      <c r="L177" cm="1">
        <f t="array" ref="L177">vega_new(D177,A177,E177,B177,F177,C177)</f>
        <v>44.907193585775431</v>
      </c>
      <c r="M177" cm="1">
        <f t="array" ref="M177">rho_call(D177,A177,E177,B177,F177,C177)</f>
        <v>50.84600116043957</v>
      </c>
      <c r="N177" cm="1">
        <f t="array" ref="N177">rho_put(D177,A177,E177,B177,F177,C177)</f>
        <v>-145.19373350091149</v>
      </c>
    </row>
    <row r="178" spans="1:14" x14ac:dyDescent="0.3">
      <c r="A178">
        <v>100</v>
      </c>
      <c r="B178">
        <f t="shared" si="10"/>
        <v>0.01</v>
      </c>
      <c r="C178">
        <v>0.2</v>
      </c>
      <c r="D178">
        <v>90</v>
      </c>
      <c r="E178">
        <v>2</v>
      </c>
      <c r="F178">
        <v>0</v>
      </c>
      <c r="G178" cm="1">
        <f t="array" ref="G178">delta_call(D178,A178,E178,B178,F178,C178)</f>
        <v>0.43629337610345331</v>
      </c>
      <c r="H178" cm="1">
        <f t="array" ref="H178">delta_put(D178,A178,E178,B178,F178,C178)</f>
        <v>-0.56370662389654669</v>
      </c>
      <c r="I178" cm="1">
        <f t="array" ref="I178">theta_call(D178,A178,E178,B178,F178,C178)</f>
        <v>-2.8418598046514343</v>
      </c>
      <c r="J178" cm="1">
        <f t="array" ref="J178">theta_put(D178,A178,E178,B178,F178,C178)</f>
        <v>-2.822255831185299</v>
      </c>
      <c r="K178" cm="1">
        <f t="array" ref="K178">gamma_new(D178,A178,E178,B178,F178,C178)</f>
        <v>1.5471684475151492E-2</v>
      </c>
      <c r="L178" cm="1">
        <f t="array" ref="L178">vega_new(D178,A178,E178,B178,F178,C178)</f>
        <v>50.128257699490845</v>
      </c>
      <c r="M178" cm="1">
        <f t="array" ref="M178">rho_call(D178,A178,E178,B178,F178,C178)</f>
        <v>64.458771564347103</v>
      </c>
      <c r="N178" cm="1">
        <f t="array" ref="N178">rho_put(D178,A178,E178,B178,F178,C178)</f>
        <v>-131.58096309700394</v>
      </c>
    </row>
    <row r="179" spans="1:14" x14ac:dyDescent="0.3">
      <c r="A179">
        <v>100</v>
      </c>
      <c r="B179">
        <f t="shared" si="10"/>
        <v>0.01</v>
      </c>
      <c r="C179">
        <v>0.2</v>
      </c>
      <c r="D179">
        <v>95</v>
      </c>
      <c r="E179">
        <v>2</v>
      </c>
      <c r="F179">
        <v>0</v>
      </c>
      <c r="G179" cm="1">
        <f t="array" ref="G179">delta_call(D179,A179,E179,B179,F179,C179)</f>
        <v>0.51227864232904818</v>
      </c>
      <c r="H179" cm="1">
        <f t="array" ref="H179">delta_put(D179,A179,E179,B179,F179,C179)</f>
        <v>-0.48772135767095182</v>
      </c>
      <c r="I179" cm="1">
        <f t="array" ref="I179">theta_call(D179,A179,E179,B179,F179,C179)</f>
        <v>-3.0872190891409232</v>
      </c>
      <c r="J179" cm="1">
        <f t="array" ref="J179">theta_put(D179,A179,E179,B179,F179,C179)</f>
        <v>-3.067615115674788</v>
      </c>
      <c r="K179" cm="1">
        <f t="array" ref="K179">gamma_new(D179,A179,E179,B179,F179,C179)</f>
        <v>1.4840061535306965E-2</v>
      </c>
      <c r="L179" cm="1">
        <f t="array" ref="L179">vega_new(D179,A179,E179,B179,F179,C179)</f>
        <v>53.572622142458144</v>
      </c>
      <c r="M179" cm="1">
        <f t="array" ref="M179">rho_call(D179,A179,E179,B179,F179,C179)</f>
        <v>78.513403617493836</v>
      </c>
      <c r="N179" cm="1">
        <f t="array" ref="N179">rho_put(D179,A179,E179,B179,F179,C179)</f>
        <v>-117.52633104385721</v>
      </c>
    </row>
    <row r="180" spans="1:14" x14ac:dyDescent="0.3">
      <c r="A180">
        <v>100</v>
      </c>
      <c r="B180">
        <f t="shared" si="10"/>
        <v>0.01</v>
      </c>
      <c r="C180">
        <v>0.2</v>
      </c>
      <c r="D180">
        <v>100</v>
      </c>
      <c r="E180">
        <v>2</v>
      </c>
      <c r="F180">
        <v>0</v>
      </c>
      <c r="G180" cm="1">
        <f t="array" ref="G180">delta_call(D180,A180,E180,B180,F180,C180)</f>
        <v>0.58399798571368178</v>
      </c>
      <c r="H180" cm="1">
        <f t="array" ref="H180">delta_put(D180,A180,E180,B180,F180,C180)</f>
        <v>-0.41600201428631822</v>
      </c>
      <c r="I180" cm="1">
        <f t="array" ref="I180">theta_call(D180,A180,E180,B180,F180,C180)</f>
        <v>-3.2395306029962003</v>
      </c>
      <c r="J180" cm="1">
        <f t="array" ref="J180">theta_put(D180,A180,E180,B180,F180,C180)</f>
        <v>-3.219926629530065</v>
      </c>
      <c r="K180" cm="1">
        <f t="array" ref="K180">gamma_new(D180,A180,E180,B180,F180,C180)</f>
        <v>1.3790926583135299E-2</v>
      </c>
      <c r="L180" cm="1">
        <f t="array" ref="L180">vega_new(D180,A180,E180,B180,F180,C180)</f>
        <v>55.163706332541196</v>
      </c>
      <c r="M180" cm="1">
        <f t="array" ref="M180">rho_call(D180,A180,E180,B180,F180,C180)</f>
        <v>92.494293545844172</v>
      </c>
      <c r="N180" cm="1">
        <f t="array" ref="N180">rho_put(D180,A180,E180,B180,F180,C180)</f>
        <v>-103.54544111550688</v>
      </c>
    </row>
    <row r="181" spans="1:14" x14ac:dyDescent="0.3">
      <c r="A181">
        <v>100</v>
      </c>
      <c r="B181">
        <f t="shared" si="10"/>
        <v>0.01</v>
      </c>
      <c r="C181">
        <v>0.2</v>
      </c>
      <c r="D181">
        <v>105</v>
      </c>
      <c r="E181">
        <v>2</v>
      </c>
      <c r="F181">
        <v>0</v>
      </c>
      <c r="G181" cm="1">
        <f t="array" ref="G181">delta_call(D181,A181,E181,B181,F181,C181)</f>
        <v>0.64974470477957968</v>
      </c>
      <c r="H181" cm="1">
        <f t="array" ref="H181">delta_put(D181,A181,E181,B181,F181,C181)</f>
        <v>-0.35025529522042032</v>
      </c>
      <c r="I181" cm="1">
        <f t="array" ref="I181">theta_call(D181,A181,E181,B181,F181,C181)</f>
        <v>-3.3022593622871685</v>
      </c>
      <c r="J181" cm="1">
        <f t="array" ref="J181">theta_put(D181,A181,E181,B181,F181,C181)</f>
        <v>-3.2826553888210332</v>
      </c>
      <c r="K181" cm="1">
        <f t="array" ref="K181">gamma_new(D181,A181,E181,B181,F181,C181)</f>
        <v>1.2475292570391814E-2</v>
      </c>
      <c r="L181" cm="1">
        <f t="array" ref="L181">vega_new(D181,A181,E181,B181,F181,C181)</f>
        <v>55.016040235427909</v>
      </c>
      <c r="M181" cm="1">
        <f t="array" ref="M181">rho_call(D181,A181,E181,B181,F181,C181)</f>
        <v>105.96687970369521</v>
      </c>
      <c r="N181" cm="1">
        <f t="array" ref="N181">rho_put(D181,A181,E181,B181,F181,C181)</f>
        <v>-90.072854957655835</v>
      </c>
    </row>
    <row r="182" spans="1:14" x14ac:dyDescent="0.3">
      <c r="A182">
        <v>100</v>
      </c>
      <c r="B182">
        <f t="shared" si="10"/>
        <v>0.01</v>
      </c>
      <c r="C182">
        <v>0.2</v>
      </c>
      <c r="D182">
        <v>110</v>
      </c>
      <c r="E182">
        <v>2</v>
      </c>
      <c r="F182">
        <v>0</v>
      </c>
      <c r="G182" cm="1">
        <f t="array" ref="G182">delta_call(D182,A182,E182,B182,F182,C182)</f>
        <v>0.7085330993545631</v>
      </c>
      <c r="H182" cm="1">
        <f t="array" ref="H182">delta_put(D182,A182,E182,B182,F182,C182)</f>
        <v>-0.2914669006454369</v>
      </c>
      <c r="I182" cm="1">
        <f t="array" ref="I182">theta_call(D182,A182,E182,B182,F182,C182)</f>
        <v>-3.2859929636128302</v>
      </c>
      <c r="J182" cm="1">
        <f t="array" ref="J182">theta_put(D182,A182,E182,B182,F182,C182)</f>
        <v>-3.2663889901466949</v>
      </c>
      <c r="K182" cm="1">
        <f t="array" ref="K182">gamma_new(D182,A182,E182,B182,F182,C182)</f>
        <v>1.1028059378052653E-2</v>
      </c>
      <c r="L182" cm="1">
        <f t="array" ref="L182">vega_new(D182,A182,E182,B182,F182,C182)</f>
        <v>53.375807389774842</v>
      </c>
      <c r="M182" cm="1">
        <f t="array" ref="M182">rho_call(D182,A182,E182,B182,F182,C182)</f>
        <v>118.60034685036835</v>
      </c>
      <c r="N182" cm="1">
        <f t="array" ref="N182">rho_put(D182,A182,E182,B182,F182,C182)</f>
        <v>-77.439387810982694</v>
      </c>
    </row>
    <row r="183" spans="1:14" x14ac:dyDescent="0.3">
      <c r="A183">
        <v>100</v>
      </c>
      <c r="B183">
        <f t="shared" si="10"/>
        <v>0.01</v>
      </c>
      <c r="C183">
        <v>0.2</v>
      </c>
      <c r="D183">
        <v>115</v>
      </c>
      <c r="E183">
        <v>2</v>
      </c>
      <c r="F183">
        <v>0</v>
      </c>
      <c r="G183" cm="1">
        <f t="array" ref="G183">delta_call(D183,A183,E183,B183,F183,C183)</f>
        <v>0.75998835998968672</v>
      </c>
      <c r="H183" cm="1">
        <f t="array" ref="H183">delta_put(D183,A183,E183,B183,F183,C183)</f>
        <v>-0.24001164001031328</v>
      </c>
      <c r="I183" cm="1">
        <f t="array" ref="I183">theta_call(D183,A183,E183,B183,F183,C183)</f>
        <v>-3.2054233686322795</v>
      </c>
      <c r="J183" cm="1">
        <f t="array" ref="J183">theta_put(D183,A183,E183,B183,F183,C183)</f>
        <v>-3.1858193951661442</v>
      </c>
      <c r="K183" cm="1">
        <f t="array" ref="K183">gamma_new(D183,A183,E183,B183,F183,C183)</f>
        <v>9.5576676672171172E-3</v>
      </c>
      <c r="L183" cm="1">
        <f t="array" ref="L183">vega_new(D183,A183,E183,B183,F183,C183)</f>
        <v>50.560061959578547</v>
      </c>
      <c r="M183" cm="1">
        <f t="array" ref="M183">rho_call(D183,A183,E183,B183,F183,C183)</f>
        <v>130.1716483822899</v>
      </c>
      <c r="N183" cm="1">
        <f t="array" ref="N183">rho_put(D183,A183,E183,B183,F183,C183)</f>
        <v>-65.868086279061146</v>
      </c>
    </row>
    <row r="184" spans="1:14" x14ac:dyDescent="0.3">
      <c r="A184">
        <v>100</v>
      </c>
      <c r="B184">
        <f t="shared" si="10"/>
        <v>0.01</v>
      </c>
      <c r="C184">
        <v>0.2</v>
      </c>
      <c r="D184">
        <v>120</v>
      </c>
      <c r="E184">
        <v>2</v>
      </c>
      <c r="F184">
        <v>0</v>
      </c>
      <c r="G184" cm="1">
        <f t="array" ref="G184">delta_call(D184,A184,E184,B184,F184,C184)</f>
        <v>0.80420462073819765</v>
      </c>
      <c r="H184" cm="1">
        <f t="array" ref="H184">delta_put(D184,A184,E184,B184,F184,C184)</f>
        <v>-0.19579537926180235</v>
      </c>
      <c r="I184" cm="1">
        <f t="array" ref="I184">theta_call(D184,A184,E184,B184,F184,C184)</f>
        <v>-3.076723743827932</v>
      </c>
      <c r="J184" cm="1">
        <f t="array" ref="J184">theta_put(D184,A184,E184,B184,F184,C184)</f>
        <v>-3.0571197703617967</v>
      </c>
      <c r="K184" cm="1">
        <f t="array" ref="K184">gamma_new(D184,A184,E184,B184,F184,C184)</f>
        <v>8.1432630811320347E-3</v>
      </c>
      <c r="L184" cm="1">
        <f t="array" ref="L184">vega_new(D184,A184,E184,B184,F184,C184)</f>
        <v>46.905195347320522</v>
      </c>
      <c r="M184" cm="1">
        <f t="array" ref="M184">rho_call(D184,A184,E184,B184,F184,C184)</f>
        <v>140.55657274099252</v>
      </c>
      <c r="N184" cm="1">
        <f t="array" ref="N184">rho_put(D184,A184,E184,B184,F184,C184)</f>
        <v>-55.483161920358526</v>
      </c>
    </row>
    <row r="185" spans="1:14" x14ac:dyDescent="0.3">
      <c r="A185">
        <v>100</v>
      </c>
      <c r="B185">
        <f t="shared" si="10"/>
        <v>0.01</v>
      </c>
      <c r="C185">
        <v>0.2</v>
      </c>
      <c r="D185">
        <v>125</v>
      </c>
      <c r="E185">
        <v>2</v>
      </c>
      <c r="F185">
        <v>0</v>
      </c>
      <c r="G185" cm="1">
        <f t="array" ref="G185">delta_call(D185,A185,E185,B185,F185,C185)</f>
        <v>0.84160197553171501</v>
      </c>
      <c r="H185" cm="1">
        <f t="array" ref="H185">delta_put(D185,A185,E185,B185,F185,C185)</f>
        <v>-0.15839802446828499</v>
      </c>
      <c r="I185" cm="1">
        <f t="array" ref="I185">theta_call(D185,A185,E185,B185,F185,C185)</f>
        <v>-2.9155814422550197</v>
      </c>
      <c r="J185" cm="1">
        <f t="array" ref="J185">theta_put(D185,A185,E185,B185,F185,C185)</f>
        <v>-2.8959774687888844</v>
      </c>
      <c r="K185" cm="1">
        <f t="array" ref="K185">gamma_new(D185,A185,E185,B185,F185,C185)</f>
        <v>6.8366861897907437E-3</v>
      </c>
      <c r="L185" cm="1">
        <f t="array" ref="L185">vega_new(D185,A185,E185,B185,F185,C185)</f>
        <v>42.729288686192149</v>
      </c>
      <c r="M185" cm="1">
        <f t="array" ref="M185">rho_call(D185,A185,E185,B185,F185,C185)</f>
        <v>149.71347861958171</v>
      </c>
      <c r="N185" cm="1">
        <f t="array" ref="N185">rho_put(D185,A185,E185,B185,F185,C185)</f>
        <v>-46.326256041769341</v>
      </c>
    </row>
    <row r="186" spans="1:14" x14ac:dyDescent="0.3">
      <c r="A186">
        <v>100</v>
      </c>
      <c r="B186">
        <f t="shared" si="10"/>
        <v>0.01</v>
      </c>
      <c r="C186">
        <v>0.2</v>
      </c>
      <c r="D186">
        <v>130</v>
      </c>
      <c r="E186">
        <v>2</v>
      </c>
      <c r="F186">
        <v>0</v>
      </c>
      <c r="G186" cm="1">
        <f t="array" ref="G186">delta_call(D186,A186,E186,B186,F186,C186)</f>
        <v>0.87280055331254425</v>
      </c>
      <c r="H186" cm="1">
        <f t="array" ref="H186">delta_put(D186,A186,E186,B186,F186,C186)</f>
        <v>-0.12719944668745575</v>
      </c>
      <c r="I186" cm="1">
        <f t="array" ref="I186">theta_call(D186,A186,E186,B186,F186,C186)</f>
        <v>-2.7359291428684522</v>
      </c>
      <c r="J186" cm="1">
        <f t="array" ref="J186">theta_put(D186,A186,E186,B186,F186,C186)</f>
        <v>-2.7163251694023169</v>
      </c>
      <c r="K186" cm="1">
        <f t="array" ref="K186">gamma_new(D186,A186,E186,B186,F186,C186)</f>
        <v>5.6669702285113378E-3</v>
      </c>
      <c r="L186" cm="1">
        <f t="array" ref="L186">vega_new(D186,A186,E186,B186,F186,C186)</f>
        <v>38.308718744736652</v>
      </c>
      <c r="M186" cm="1">
        <f t="array" ref="M186">rho_call(D186,A186,E186,B186,F186,C186)</f>
        <v>157.6642413734192</v>
      </c>
      <c r="N186" cm="1">
        <f t="array" ref="N186">rho_put(D186,A186,E186,B186,F186,C186)</f>
        <v>-38.375493287931846</v>
      </c>
    </row>
    <row r="187" spans="1:14" x14ac:dyDescent="0.3">
      <c r="A187">
        <v>100</v>
      </c>
      <c r="B187">
        <f t="shared" si="10"/>
        <v>0.01</v>
      </c>
      <c r="C187">
        <v>0.2</v>
      </c>
      <c r="D187">
        <v>135</v>
      </c>
      <c r="E187">
        <v>2</v>
      </c>
      <c r="F187">
        <v>0</v>
      </c>
      <c r="G187" cm="1">
        <f t="array" ref="G187">delta_call(D187,A187,E187,B187,F187,C187)</f>
        <v>0.89851971842195577</v>
      </c>
      <c r="H187" cm="1">
        <f t="array" ref="H187">delta_put(D187,A187,E187,B187,F187,C187)</f>
        <v>-0.10148028157804423</v>
      </c>
      <c r="I187" cm="1">
        <f t="array" ref="I187">theta_call(D187,A187,E187,B187,F187,C187)</f>
        <v>-2.5492863335702265</v>
      </c>
      <c r="J187" cm="1">
        <f t="array" ref="J187">theta_put(D187,A187,E187,B187,F187,C187)</f>
        <v>-2.5296823601040912</v>
      </c>
      <c r="K187" cm="1">
        <f t="array" ref="K187">gamma_new(D187,A187,E187,B187,F187,C187)</f>
        <v>4.6456697775222461E-3</v>
      </c>
      <c r="L187" cm="1">
        <f t="array" ref="L187">vega_new(D187,A187,E187,B187,F187,C187)</f>
        <v>33.866932678137182</v>
      </c>
      <c r="M187" cm="1">
        <f t="array" ref="M187">rho_call(D187,A187,E187,B187,F187,C187)</f>
        <v>164.47556479755494</v>
      </c>
      <c r="N187" cm="1">
        <f t="array" ref="N187">rho_put(D187,A187,E187,B187,F187,C187)</f>
        <v>-31.56416986379611</v>
      </c>
    </row>
    <row r="188" spans="1:14" x14ac:dyDescent="0.3">
      <c r="A188">
        <v>100</v>
      </c>
      <c r="B188">
        <f t="shared" si="10"/>
        <v>0.01</v>
      </c>
      <c r="C188">
        <v>0.2</v>
      </c>
      <c r="D188">
        <v>140</v>
      </c>
      <c r="E188">
        <v>2</v>
      </c>
      <c r="F188">
        <v>0</v>
      </c>
      <c r="G188" cm="1">
        <f t="array" ref="G188">delta_call(D188,A188,E188,B188,F188,C188)</f>
        <v>0.91950370400292614</v>
      </c>
      <c r="H188" cm="1">
        <f t="array" ref="H188">delta_put(D188,A188,E188,B188,F188,C188)</f>
        <v>-8.0496295997073863E-2</v>
      </c>
      <c r="I188" cm="1">
        <f t="array" ref="I188">theta_call(D188,A188,E188,B188,F188,C188)</f>
        <v>-2.364566845629398</v>
      </c>
      <c r="J188" cm="1">
        <f t="array" ref="J188">theta_put(D188,A188,E188,B188,F188,C188)</f>
        <v>-2.3449628721632627</v>
      </c>
      <c r="K188" cm="1">
        <f t="array" ref="K188">gamma_new(D188,A188,E188,B188,F188,C188)</f>
        <v>3.7719785580502146E-3</v>
      </c>
      <c r="L188" cm="1">
        <f t="array" ref="L188">vega_new(D188,A188,E188,B188,F188,C188)</f>
        <v>29.572311895113685</v>
      </c>
      <c r="M188" cm="1">
        <f t="array" ref="M188">rho_call(D188,A188,E188,B188,F188,C188)</f>
        <v>170.24252108865093</v>
      </c>
      <c r="N188" cm="1">
        <f t="array" ref="N188">rho_put(D188,A188,E188,B188,F188,C188)</f>
        <v>-25.797213572700116</v>
      </c>
    </row>
    <row r="189" spans="1:14" x14ac:dyDescent="0.3">
      <c r="A189">
        <v>100</v>
      </c>
      <c r="B189">
        <f>1/100</f>
        <v>0.01</v>
      </c>
      <c r="C189">
        <v>0.2</v>
      </c>
      <c r="D189">
        <v>60</v>
      </c>
      <c r="E189">
        <v>3</v>
      </c>
      <c r="F189">
        <v>0</v>
      </c>
      <c r="G189" cm="1">
        <f t="array" ref="G189">delta_call(D189,A189,E189,B189,F189,C189)</f>
        <v>0.11221757852337162</v>
      </c>
      <c r="H189" cm="1">
        <f t="array" ref="H189">delta_put(D189,A189,E189,B189,F189,C189)</f>
        <v>-0.88778242147662834</v>
      </c>
      <c r="I189" cm="1">
        <f t="array" ref="I189">theta_call(D189,A189,E189,B189,F189,C189)</f>
        <v>-0.72179014018593524</v>
      </c>
      <c r="J189" cm="1">
        <f t="array" ref="J189">theta_put(D189,A189,E189,B189,F189,C189)</f>
        <v>-0.69267677417948004</v>
      </c>
      <c r="K189" cm="1">
        <f t="array" ref="K189">gamma_new(D189,A189,E189,B189,F189,C189)</f>
        <v>9.1771016304238069E-3</v>
      </c>
      <c r="L189" cm="1">
        <f t="array" ref="L189">vega_new(D189,A189,E189,B189,F189,C189)</f>
        <v>19.822539521715424</v>
      </c>
      <c r="M189" cm="1">
        <f t="array" ref="M189">rho_call(D189,A189,E189,B189,F189,C189)</f>
        <v>17.245259544138367</v>
      </c>
      <c r="N189" cm="1">
        <f t="array" ref="N189">rho_put(D189,A189,E189,B189,F189,C189)</f>
        <v>-273.88840052041405</v>
      </c>
    </row>
    <row r="190" spans="1:14" x14ac:dyDescent="0.3">
      <c r="A190">
        <v>100</v>
      </c>
      <c r="B190">
        <f t="shared" ref="B190:B205" si="11">1/100</f>
        <v>0.01</v>
      </c>
      <c r="C190">
        <v>0.2</v>
      </c>
      <c r="D190">
        <v>65</v>
      </c>
      <c r="E190">
        <v>3</v>
      </c>
      <c r="F190">
        <v>0</v>
      </c>
      <c r="G190" cm="1">
        <f t="array" ref="G190">delta_call(D190,A190,E190,B190,F190,C190)</f>
        <v>0.16261786177644788</v>
      </c>
      <c r="H190" cm="1">
        <f t="array" ref="H190">delta_put(D190,A190,E190,B190,F190,C190)</f>
        <v>-0.83738213822355212</v>
      </c>
      <c r="I190" cm="1">
        <f t="array" ref="I190">theta_call(D190,A190,E190,B190,F190,C190)</f>
        <v>-1.0173372746412945</v>
      </c>
      <c r="J190" cm="1">
        <f t="array" ref="J190">theta_put(D190,A190,E190,B190,F190,C190)</f>
        <v>-0.98822390863483933</v>
      </c>
      <c r="K190" cm="1">
        <f t="array" ref="K190">gamma_new(D190,A190,E190,B190,F190,C190)</f>
        <v>1.0920849507992856E-2</v>
      </c>
      <c r="L190" cm="1">
        <f t="array" ref="L190">vega_new(D190,A190,E190,B190,F190,C190)</f>
        <v>27.684353502761887</v>
      </c>
      <c r="M190" cm="1">
        <f t="array" ref="M190">rho_call(D190,A190,E190,B190,F190,C190)</f>
        <v>26.706226544028677</v>
      </c>
      <c r="N190" cm="1">
        <f t="array" ref="N190">rho_put(D190,A190,E190,B190,F190,C190)</f>
        <v>-264.42743352052378</v>
      </c>
    </row>
    <row r="191" spans="1:14" x14ac:dyDescent="0.3">
      <c r="A191">
        <v>100</v>
      </c>
      <c r="B191">
        <f t="shared" si="11"/>
        <v>0.01</v>
      </c>
      <c r="C191">
        <v>0.2</v>
      </c>
      <c r="D191">
        <v>70</v>
      </c>
      <c r="E191">
        <v>3</v>
      </c>
      <c r="F191">
        <v>0</v>
      </c>
      <c r="G191" cm="1">
        <f t="array" ref="G191">delta_call(D191,A191,E191,B191,F191,C191)</f>
        <v>0.22070207540533249</v>
      </c>
      <c r="H191" cm="1">
        <f t="array" ref="H191">delta_put(D191,A191,E191,B191,F191,C191)</f>
        <v>-0.77929792459466751</v>
      </c>
      <c r="I191" cm="1">
        <f t="array" ref="I191">theta_call(D191,A191,E191,B191,F191,C191)</f>
        <v>-1.33502143645493</v>
      </c>
      <c r="J191" cm="1">
        <f t="array" ref="J191">theta_put(D191,A191,E191,B191,F191,C191)</f>
        <v>-1.3059080704484747</v>
      </c>
      <c r="K191" cm="1">
        <f t="array" ref="K191">gamma_new(D191,A191,E191,B191,F191,C191)</f>
        <v>1.2233016676571298E-2</v>
      </c>
      <c r="L191" cm="1">
        <f t="array" ref="L191">vega_new(D191,A191,E191,B191,F191,C191)</f>
        <v>35.965069029119611</v>
      </c>
      <c r="M191" cm="1">
        <f t="array" ref="M191">rho_call(D191,A191,E191,B191,F191,C191)</f>
        <v>38.476487533043752</v>
      </c>
      <c r="N191" cm="1">
        <f t="array" ref="N191">rho_put(D191,A191,E191,B191,F191,C191)</f>
        <v>-252.65717253150868</v>
      </c>
    </row>
    <row r="192" spans="1:14" x14ac:dyDescent="0.3">
      <c r="A192">
        <v>100</v>
      </c>
      <c r="B192">
        <f t="shared" si="11"/>
        <v>0.01</v>
      </c>
      <c r="C192">
        <v>0.2</v>
      </c>
      <c r="D192">
        <v>75</v>
      </c>
      <c r="E192">
        <v>3</v>
      </c>
      <c r="F192">
        <v>0</v>
      </c>
      <c r="G192" cm="1">
        <f t="array" ref="G192">delta_call(D192,A192,E192,B192,F192,C192)</f>
        <v>0.2841154119321706</v>
      </c>
      <c r="H192" cm="1">
        <f t="array" ref="H192">delta_put(D192,A192,E192,B192,F192,C192)</f>
        <v>-0.7158845880678294</v>
      </c>
      <c r="I192" cm="1">
        <f t="array" ref="I192">theta_call(D192,A192,E192,B192,F192,C192)</f>
        <v>-1.6529209631728625</v>
      </c>
      <c r="J192" cm="1">
        <f t="array" ref="J192">theta_put(D192,A192,E192,B192,F192,C192)</f>
        <v>-1.6238075971664072</v>
      </c>
      <c r="K192" cm="1">
        <f t="array" ref="K192">gamma_new(D192,A192,E192,B192,F192,C192)</f>
        <v>1.304799601147523E-2</v>
      </c>
      <c r="L192" cm="1">
        <f t="array" ref="L192">vega_new(D192,A192,E192,B192,F192,C192)</f>
        <v>44.036986538728897</v>
      </c>
      <c r="M192" cm="1">
        <f t="array" ref="M192">rho_call(D192,A192,E192,B192,F192,C192)</f>
        <v>52.273981099216769</v>
      </c>
      <c r="N192" cm="1">
        <f t="array" ref="N192">rho_put(D192,A192,E192,B192,F192,C192)</f>
        <v>-238.85967896533566</v>
      </c>
    </row>
    <row r="193" spans="1:14" x14ac:dyDescent="0.3">
      <c r="A193">
        <v>100</v>
      </c>
      <c r="B193">
        <f t="shared" si="11"/>
        <v>0.01</v>
      </c>
      <c r="C193">
        <v>0.2</v>
      </c>
      <c r="D193">
        <v>80</v>
      </c>
      <c r="E193">
        <v>3</v>
      </c>
      <c r="F193">
        <v>0</v>
      </c>
      <c r="G193" cm="1">
        <f t="array" ref="G193">delta_call(D193,A193,E193,B193,F193,C193)</f>
        <v>0.35035866509647884</v>
      </c>
      <c r="H193" cm="1">
        <f t="array" ref="H193">delta_put(D193,A193,E193,B193,F193,C193)</f>
        <v>-0.64964133490352116</v>
      </c>
      <c r="I193" cm="1">
        <f t="array" ref="I193">theta_call(D193,A193,E193,B193,F193,C193)</f>
        <v>-1.9509788859291186</v>
      </c>
      <c r="J193" cm="1">
        <f t="array" ref="J193">theta_put(D193,A193,E193,B193,F193,C193)</f>
        <v>-1.9218655199226633</v>
      </c>
      <c r="K193" cm="1">
        <f t="array" ref="K193">gamma_new(D193,A193,E193,B193,F193,C193)</f>
        <v>1.3370603439876852E-2</v>
      </c>
      <c r="L193" cm="1">
        <f t="array" ref="L193">vega_new(D193,A193,E193,B193,F193,C193)</f>
        <v>51.343117209127108</v>
      </c>
      <c r="M193" cm="1">
        <f t="array" ref="M193">rho_call(D193,A193,E193,B193,F193,C193)</f>
        <v>67.677547849775834</v>
      </c>
      <c r="N193" cm="1">
        <f t="array" ref="N193">rho_put(D193,A193,E193,B193,F193,C193)</f>
        <v>-223.4561122147766</v>
      </c>
    </row>
    <row r="194" spans="1:14" x14ac:dyDescent="0.3">
      <c r="A194">
        <v>100</v>
      </c>
      <c r="B194">
        <f t="shared" si="11"/>
        <v>0.01</v>
      </c>
      <c r="C194">
        <v>0.2</v>
      </c>
      <c r="D194">
        <v>85</v>
      </c>
      <c r="E194">
        <v>3</v>
      </c>
      <c r="F194">
        <v>0</v>
      </c>
      <c r="G194" cm="1">
        <f t="array" ref="G194">delta_call(D194,A194,E194,B194,F194,C194)</f>
        <v>0.41708980700977716</v>
      </c>
      <c r="H194" cm="1">
        <f t="array" ref="H194">delta_put(D194,A194,E194,B194,F194,C194)</f>
        <v>-0.58291019299022284</v>
      </c>
      <c r="I194" cm="1">
        <f t="array" ref="I194">theta_call(D194,A194,E194,B194,F194,C194)</f>
        <v>-2.213363086285248</v>
      </c>
      <c r="J194" cm="1">
        <f t="array" ref="J194">theta_put(D194,A194,E194,B194,F194,C194)</f>
        <v>-2.1842497202787929</v>
      </c>
      <c r="K194" cm="1">
        <f t="array" ref="K194">gamma_new(D194,A194,E194,B194,F194,C194)</f>
        <v>1.3255131727717093E-2</v>
      </c>
      <c r="L194" cm="1">
        <f t="array" ref="L194">vega_new(D194,A194,E194,B194,F194,C194)</f>
        <v>57.460996039653594</v>
      </c>
      <c r="M194" cm="1">
        <f t="array" ref="M194">rho_call(D194,A194,E194,B194,F194,C194)</f>
        <v>84.192775036698535</v>
      </c>
      <c r="N194" cm="1">
        <f t="array" ref="N194">rho_put(D194,A194,E194,B194,F194,C194)</f>
        <v>-206.94088502785388</v>
      </c>
    </row>
    <row r="195" spans="1:14" x14ac:dyDescent="0.3">
      <c r="A195">
        <v>100</v>
      </c>
      <c r="B195">
        <f t="shared" si="11"/>
        <v>0.01</v>
      </c>
      <c r="C195">
        <v>0.2</v>
      </c>
      <c r="D195">
        <v>90</v>
      </c>
      <c r="E195">
        <v>3</v>
      </c>
      <c r="F195">
        <v>0</v>
      </c>
      <c r="G195" cm="1">
        <f t="array" ref="G195">delta_call(D195,A195,E195,B195,F195,C195)</f>
        <v>0.48231590099564647</v>
      </c>
      <c r="H195" cm="1">
        <f t="array" ref="H195">delta_put(D195,A195,E195,B195,F195,C195)</f>
        <v>-0.51768409900435353</v>
      </c>
      <c r="I195" cm="1">
        <f t="array" ref="I195">theta_call(D195,A195,E195,B195,F195,C195)</f>
        <v>-2.4295160574037618</v>
      </c>
      <c r="J195" cm="1">
        <f t="array" ref="J195">theta_put(D195,A195,E195,B195,F195,C195)</f>
        <v>-2.4004026913973067</v>
      </c>
      <c r="K195" cm="1">
        <f t="array" ref="K195">gamma_new(D195,A195,E195,B195,F195,C195)</f>
        <v>1.2783505889003444E-2</v>
      </c>
      <c r="L195" cm="1">
        <f t="array" ref="L195">vega_new(D195,A195,E195,B195,F195,C195)</f>
        <v>62.127838620556737</v>
      </c>
      <c r="M195" cm="1">
        <f t="array" ref="M195">rho_call(D195,A195,E195,B195,F195,C195)</f>
        <v>101.3116673800278</v>
      </c>
      <c r="N195" cm="1">
        <f t="array" ref="N195">rho_put(D195,A195,E195,B195,F195,C195)</f>
        <v>-189.82199268452462</v>
      </c>
    </row>
    <row r="196" spans="1:14" x14ac:dyDescent="0.3">
      <c r="A196">
        <v>100</v>
      </c>
      <c r="B196">
        <f t="shared" si="11"/>
        <v>0.01</v>
      </c>
      <c r="C196">
        <v>0.2</v>
      </c>
      <c r="D196">
        <v>95</v>
      </c>
      <c r="E196">
        <v>3</v>
      </c>
      <c r="F196">
        <v>0</v>
      </c>
      <c r="G196" cm="1">
        <f t="array" ref="G196">delta_call(D196,A196,E196,B196,F196,C196)</f>
        <v>0.54448388447384266</v>
      </c>
      <c r="H196" cm="1">
        <f t="array" ref="H196">delta_put(D196,A196,E196,B196,F196,C196)</f>
        <v>-0.45551611552615734</v>
      </c>
      <c r="I196" cm="1">
        <f t="array" ref="I196">theta_call(D196,A196,E196,B196,F196,C196)</f>
        <v>-2.5941457785357183</v>
      </c>
      <c r="J196" cm="1">
        <f t="array" ref="J196">theta_put(D196,A196,E196,B196,F196,C196)</f>
        <v>-2.5650324125292632</v>
      </c>
      <c r="K196" cm="1">
        <f t="array" ref="K196">gamma_new(D196,A196,E196,B196,F196,C196)</f>
        <v>1.2047161650680642E-2</v>
      </c>
      <c r="L196" cm="1">
        <f t="array" ref="L196">vega_new(D196,A196,E196,B196,F196,C196)</f>
        <v>65.235380338435675</v>
      </c>
      <c r="M196" cm="1">
        <f t="array" ref="M196">rho_call(D196,A196,E196,B196,F196,C196)</f>
        <v>118.55867137549208</v>
      </c>
      <c r="N196" cm="1">
        <f t="array" ref="N196">rho_put(D196,A196,E196,B196,F196,C196)</f>
        <v>-172.57498868906035</v>
      </c>
    </row>
    <row r="197" spans="1:14" x14ac:dyDescent="0.3">
      <c r="A197">
        <v>100</v>
      </c>
      <c r="B197">
        <f t="shared" si="11"/>
        <v>0.01</v>
      </c>
      <c r="C197">
        <v>0.2</v>
      </c>
      <c r="D197">
        <v>100</v>
      </c>
      <c r="E197">
        <v>3</v>
      </c>
      <c r="F197">
        <v>0</v>
      </c>
      <c r="G197" cm="1">
        <f t="array" ref="G197">delta_call(D197,A197,E197,B197,F197,C197)</f>
        <v>0.60249391401788099</v>
      </c>
      <c r="H197" cm="1">
        <f t="array" ref="H197">delta_put(D197,A197,E197,B197,F197,C197)</f>
        <v>-0.39750608598211901</v>
      </c>
      <c r="I197" cm="1">
        <f t="array" ref="I197">theta_call(D197,A197,E197,B197,F197,C197)</f>
        <v>-2.7065254279111142</v>
      </c>
      <c r="J197" cm="1">
        <f t="array" ref="J197">theta_put(D197,A197,E197,B197,F197,C197)</f>
        <v>-2.6774120619046591</v>
      </c>
      <c r="K197" cm="1">
        <f t="array" ref="K197">gamma_new(D197,A197,E197,B197,F197,C197)</f>
        <v>1.1134276551152787E-2</v>
      </c>
      <c r="L197" cm="1">
        <f t="array" ref="L197">vega_new(D197,A197,E197,B197,F197,C197)</f>
        <v>66.805659306916709</v>
      </c>
      <c r="M197" cm="1">
        <f t="array" ref="M197">rho_call(D197,A197,E197,B197,F197,C197)</f>
        <v>135.52089139551933</v>
      </c>
      <c r="N197" cm="1">
        <f t="array" ref="N197">rho_put(D197,A197,E197,B197,F197,C197)</f>
        <v>-155.6127686690331</v>
      </c>
    </row>
    <row r="198" spans="1:14" x14ac:dyDescent="0.3">
      <c r="A198">
        <v>100</v>
      </c>
      <c r="B198">
        <f t="shared" si="11"/>
        <v>0.01</v>
      </c>
      <c r="C198">
        <v>0.2</v>
      </c>
      <c r="D198">
        <v>105</v>
      </c>
      <c r="E198">
        <v>3</v>
      </c>
      <c r="F198">
        <v>0</v>
      </c>
      <c r="G198" cm="1">
        <f t="array" ref="G198">delta_call(D198,A198,E198,B198,F198,C198)</f>
        <v>0.6556620776426314</v>
      </c>
      <c r="H198" cm="1">
        <f t="array" ref="H198">delta_put(D198,A198,E198,B198,F198,C198)</f>
        <v>-0.3443379223573686</v>
      </c>
      <c r="I198" cm="1">
        <f t="array" ref="I198">theta_call(D198,A198,E198,B198,F198,C198)</f>
        <v>-2.7694508208544937</v>
      </c>
      <c r="J198" cm="1">
        <f t="array" ref="J198">theta_put(D198,A198,E198,B198,F198,C198)</f>
        <v>-2.7403374548480386</v>
      </c>
      <c r="K198" cm="1">
        <f t="array" ref="K198">gamma_new(D198,A198,E198,B198,F198,C198)</f>
        <v>1.0122157910866229E-2</v>
      </c>
      <c r="L198" cm="1">
        <f t="array" ref="L198">vega_new(D198,A198,E198,B198,F198,C198)</f>
        <v>66.958074580380099</v>
      </c>
      <c r="M198" cm="1">
        <f t="array" ref="M198">rho_call(D198,A198,E198,B198,F198,C198)</f>
        <v>151.86376940705389</v>
      </c>
      <c r="N198" cm="1">
        <f t="array" ref="N198">rho_put(D198,A198,E198,B198,F198,C198)</f>
        <v>-139.26989065749854</v>
      </c>
    </row>
    <row r="199" spans="1:14" x14ac:dyDescent="0.3">
      <c r="A199">
        <v>100</v>
      </c>
      <c r="B199">
        <f t="shared" si="11"/>
        <v>0.01</v>
      </c>
      <c r="C199">
        <v>0.2</v>
      </c>
      <c r="D199">
        <v>110</v>
      </c>
      <c r="E199">
        <v>3</v>
      </c>
      <c r="F199">
        <v>0</v>
      </c>
      <c r="G199" cm="1">
        <f t="array" ref="G199">delta_call(D199,A199,E199,B199,F199,C199)</f>
        <v>0.70365585138940701</v>
      </c>
      <c r="H199" cm="1">
        <f t="array" ref="H199">delta_put(D199,A199,E199,B199,F199,C199)</f>
        <v>-0.29634414861059299</v>
      </c>
      <c r="I199" cm="1">
        <f t="array" ref="I199">theta_call(D199,A199,E199,B199,F199,C199)</f>
        <v>-2.7881224165986858</v>
      </c>
      <c r="J199" cm="1">
        <f t="array" ref="J199">theta_put(D199,A199,E199,B199,F199,C199)</f>
        <v>-2.7590090505922307</v>
      </c>
      <c r="K199" cm="1">
        <f t="array" ref="K199">gamma_new(D199,A199,E199,B199,F199,C199)</f>
        <v>9.0737477955800411E-3</v>
      </c>
      <c r="L199" cm="1">
        <f t="array" ref="L199">vega_new(D199,A199,E199,B199,F199,C199)</f>
        <v>65.875408995911101</v>
      </c>
      <c r="M199" cm="1">
        <f t="array" ref="M199">rho_call(D199,A199,E199,B199,F199,C199)</f>
        <v>167.33520389609637</v>
      </c>
      <c r="N199" cm="1">
        <f t="array" ref="N199">rho_put(D199,A199,E199,B199,F199,C199)</f>
        <v>-123.79845616845606</v>
      </c>
    </row>
    <row r="200" spans="1:14" x14ac:dyDescent="0.3">
      <c r="A200">
        <v>100</v>
      </c>
      <c r="B200">
        <f t="shared" si="11"/>
        <v>0.01</v>
      </c>
      <c r="C200">
        <v>0.2</v>
      </c>
      <c r="D200">
        <v>115</v>
      </c>
      <c r="E200">
        <v>3</v>
      </c>
      <c r="F200">
        <v>0</v>
      </c>
      <c r="G200" cm="1">
        <f t="array" ref="G200">delta_call(D200,A200,E200,B200,F200,C200)</f>
        <v>0.74641976679143052</v>
      </c>
      <c r="H200" cm="1">
        <f t="array" ref="H200">delta_put(D200,A200,E200,B200,F200,C200)</f>
        <v>-0.25358023320856948</v>
      </c>
      <c r="I200" cm="1">
        <f t="array" ref="I200">theta_call(D200,A200,E200,B200,F200,C200)</f>
        <v>-2.7691230735057308</v>
      </c>
      <c r="J200" cm="1">
        <f t="array" ref="J200">theta_put(D200,A200,E200,B200,F200,C200)</f>
        <v>-2.7400097074992757</v>
      </c>
      <c r="K200" cm="1">
        <f t="array" ref="K200">gamma_new(D200,A200,E200,B200,F200,C200)</f>
        <v>8.0369990403848408E-3</v>
      </c>
      <c r="L200" cm="1">
        <f t="array" ref="L200">vega_new(D200,A200,E200,B200,F200,C200)</f>
        <v>63.773587385453709</v>
      </c>
      <c r="M200" cm="1">
        <f t="array" ref="M200">rho_call(D200,A200,E200,B200,F200,C200)</f>
        <v>181.76154213669028</v>
      </c>
      <c r="N200" cm="1">
        <f t="array" ref="N200">rho_put(D200,A200,E200,B200,F200,C200)</f>
        <v>-109.37211792786215</v>
      </c>
    </row>
    <row r="201" spans="1:14" x14ac:dyDescent="0.3">
      <c r="A201">
        <v>100</v>
      </c>
      <c r="B201">
        <f t="shared" si="11"/>
        <v>0.01</v>
      </c>
      <c r="C201">
        <v>0.2</v>
      </c>
      <c r="D201">
        <v>120</v>
      </c>
      <c r="E201">
        <v>3</v>
      </c>
      <c r="F201">
        <v>0</v>
      </c>
      <c r="G201" cm="1">
        <f t="array" ref="G201">delta_call(D201,A201,E201,B201,F201,C201)</f>
        <v>0.78410275921225248</v>
      </c>
      <c r="H201" cm="1">
        <f t="array" ref="H201">delta_put(D201,A201,E201,B201,F201,C201)</f>
        <v>-0.21589724078774752</v>
      </c>
      <c r="I201" cm="1">
        <f t="array" ref="I201">theta_call(D201,A201,E201,B201,F201,C201)</f>
        <v>-2.7195798662550992</v>
      </c>
      <c r="J201" cm="1">
        <f t="array" ref="J201">theta_put(D201,A201,E201,B201,F201,C201)</f>
        <v>-2.6904665002486441</v>
      </c>
      <c r="K201" cm="1">
        <f t="array" ref="K201">gamma_new(D201,A201,E201,B201,F201,C201)</f>
        <v>7.0460051549628569E-3</v>
      </c>
      <c r="L201" cm="1">
        <f t="array" ref="L201">vega_new(D201,A201,E201,B201,F201,C201)</f>
        <v>60.877484538879074</v>
      </c>
      <c r="M201" cm="1">
        <f t="array" ref="M201">rho_call(D201,A201,E201,B201,F201,C201)</f>
        <v>195.03860096125629</v>
      </c>
      <c r="N201" cm="1">
        <f t="array" ref="N201">rho_put(D201,A201,E201,B201,F201,C201)</f>
        <v>-96.095059103296137</v>
      </c>
    </row>
    <row r="202" spans="1:14" x14ac:dyDescent="0.3">
      <c r="A202">
        <v>100</v>
      </c>
      <c r="B202">
        <f t="shared" si="11"/>
        <v>0.01</v>
      </c>
      <c r="C202">
        <v>0.2</v>
      </c>
      <c r="D202">
        <v>125</v>
      </c>
      <c r="E202">
        <v>3</v>
      </c>
      <c r="F202">
        <v>0</v>
      </c>
      <c r="G202" cm="1">
        <f t="array" ref="G202">delta_call(D202,A202,E202,B202,F202,C202)</f>
        <v>0.81699370064357868</v>
      </c>
      <c r="H202" cm="1">
        <f t="array" ref="H202">delta_put(D202,A202,E202,B202,F202,C202)</f>
        <v>-0.18300629935642132</v>
      </c>
      <c r="I202" cm="1">
        <f t="array" ref="I202">theta_call(D202,A202,E202,B202,F202,C202)</f>
        <v>-2.6465378479598431</v>
      </c>
      <c r="J202" cm="1">
        <f t="array" ref="J202">theta_put(D202,A202,E202,B202,F202,C202)</f>
        <v>-2.6174244819533881</v>
      </c>
      <c r="K202" cm="1">
        <f t="array" ref="K202">gamma_new(D202,A202,E202,B202,F202,C202)</f>
        <v>6.1230240136718661E-3</v>
      </c>
      <c r="L202" cm="1">
        <f t="array" ref="L202">vega_new(D202,A202,E202,B202,F202,C202)</f>
        <v>57.403350128173741</v>
      </c>
      <c r="M202" cm="1">
        <f t="array" ref="M202">rho_call(D202,A202,E202,B202,F202,C202)</f>
        <v>207.12025200276011</v>
      </c>
      <c r="N202" cm="1">
        <f t="array" ref="N202">rho_put(D202,A202,E202,B202,F202,C202)</f>
        <v>-84.013408061792319</v>
      </c>
    </row>
    <row r="203" spans="1:14" x14ac:dyDescent="0.3">
      <c r="A203">
        <v>100</v>
      </c>
      <c r="B203">
        <f t="shared" si="11"/>
        <v>0.01</v>
      </c>
      <c r="C203">
        <v>0.2</v>
      </c>
      <c r="D203">
        <v>130</v>
      </c>
      <c r="E203">
        <v>3</v>
      </c>
      <c r="F203">
        <v>0</v>
      </c>
      <c r="G203" cm="1">
        <f t="array" ref="G203">delta_call(D203,A203,E203,B203,F203,C203)</f>
        <v>0.84546800175065795</v>
      </c>
      <c r="H203" cm="1">
        <f t="array" ref="H203">delta_put(D203,A203,E203,B203,F203,C203)</f>
        <v>-0.15453199824934205</v>
      </c>
      <c r="I203" cm="1">
        <f t="array" ref="I203">theta_call(D203,A203,E203,B203,F203,C203)</f>
        <v>-2.5565356127998013</v>
      </c>
      <c r="J203" cm="1">
        <f t="array" ref="J203">theta_put(D203,A203,E203,B203,F203,C203)</f>
        <v>-2.5274222467933463</v>
      </c>
      <c r="K203" cm="1">
        <f t="array" ref="K203">gamma_new(D203,A203,E203,B203,F203,C203)</f>
        <v>5.2808038728821578E-3</v>
      </c>
      <c r="L203" cm="1">
        <f t="array" ref="L203">vega_new(D203,A203,E203,B203,F203,C203)</f>
        <v>53.547351271025079</v>
      </c>
      <c r="M203" cm="1">
        <f t="array" ref="M203">rho_call(D203,A203,E203,B203,F203,C203)</f>
        <v>218.00640774968917</v>
      </c>
      <c r="N203" cm="1">
        <f t="array" ref="N203">rho_put(D203,A203,E203,B203,F203,C203)</f>
        <v>-73.127252314863256</v>
      </c>
    </row>
    <row r="204" spans="1:14" x14ac:dyDescent="0.3">
      <c r="A204">
        <v>100</v>
      </c>
      <c r="B204">
        <f t="shared" si="11"/>
        <v>0.01</v>
      </c>
      <c r="C204">
        <v>0.2</v>
      </c>
      <c r="D204">
        <v>135</v>
      </c>
      <c r="E204">
        <v>3</v>
      </c>
      <c r="F204">
        <v>0</v>
      </c>
      <c r="G204" cm="1">
        <f t="array" ref="G204">delta_call(D204,A204,E204,B204,F204,C204)</f>
        <v>0.86994580030636615</v>
      </c>
      <c r="H204" cm="1">
        <f t="array" ref="H204">delta_put(D204,A204,E204,B204,F204,C204)</f>
        <v>-0.13005419969363385</v>
      </c>
      <c r="I204" cm="1">
        <f t="array" ref="I204">theta_call(D204,A204,E204,B204,F204,C204)</f>
        <v>-2.4553525451493545</v>
      </c>
      <c r="J204" cm="1">
        <f t="array" ref="J204">theta_put(D204,A204,E204,B204,F204,C204)</f>
        <v>-2.4262391791428994</v>
      </c>
      <c r="K204" cm="1">
        <f t="array" ref="K204">gamma_new(D204,A204,E204,B204,F204,C204)</f>
        <v>4.5248469998567702E-3</v>
      </c>
      <c r="L204" cm="1">
        <f t="array" ref="L204">vega_new(D204,A204,E204,B204,F204,C204)</f>
        <v>49.479201943433772</v>
      </c>
      <c r="M204" cm="1">
        <f t="array" ref="M204">rho_call(D204,A204,E204,B204,F204,C204)</f>
        <v>227.73160793645627</v>
      </c>
      <c r="N204" cm="1">
        <f t="array" ref="N204">rho_put(D204,A204,E204,B204,F204,C204)</f>
        <v>-63.402052128096159</v>
      </c>
    </row>
    <row r="205" spans="1:14" x14ac:dyDescent="0.3">
      <c r="A205">
        <v>100</v>
      </c>
      <c r="B205">
        <f t="shared" si="11"/>
        <v>0.01</v>
      </c>
      <c r="C205">
        <v>0.2</v>
      </c>
      <c r="D205">
        <v>140</v>
      </c>
      <c r="E205">
        <v>3</v>
      </c>
      <c r="F205">
        <v>0</v>
      </c>
      <c r="G205" cm="1">
        <f t="array" ref="G205">delta_call(D205,A205,E205,B205,F205,C205)</f>
        <v>0.89086087651205026</v>
      </c>
      <c r="H205" cm="1">
        <f t="array" ref="H205">delta_put(D205,A205,E205,B205,F205,C205)</f>
        <v>-0.10913912348794974</v>
      </c>
      <c r="I205" cm="1">
        <f t="array" ref="I205">theta_call(D205,A205,E205,B205,F205,C205)</f>
        <v>-2.3478903289162218</v>
      </c>
      <c r="J205" cm="1">
        <f t="array" ref="J205">theta_put(D205,A205,E205,B205,F205,C205)</f>
        <v>-2.3187769629097668</v>
      </c>
      <c r="K205" cm="1">
        <f t="array" ref="K205">gamma_new(D205,A205,E205,B205,F205,C205)</f>
        <v>3.855415263882422E-3</v>
      </c>
      <c r="L205" cm="1">
        <f t="array" ref="L205">vega_new(D205,A205,E205,B205,F205,C205)</f>
        <v>45.339683503257284</v>
      </c>
      <c r="M205" cm="1">
        <f t="array" ref="M205">rho_call(D205,A205,E205,B205,F205,C205)</f>
        <v>236.35489328260059</v>
      </c>
      <c r="N205" cm="1">
        <f t="array" ref="N205">rho_put(D205,A205,E205,B205,F205,C205)</f>
        <v>-54.778766781951845</v>
      </c>
    </row>
    <row r="206" spans="1:14" x14ac:dyDescent="0.3">
      <c r="A206">
        <v>100</v>
      </c>
      <c r="B206">
        <f>1/100</f>
        <v>0.01</v>
      </c>
      <c r="C206">
        <v>0.2</v>
      </c>
      <c r="D206">
        <v>60</v>
      </c>
      <c r="E206">
        <v>4</v>
      </c>
      <c r="F206">
        <v>0</v>
      </c>
      <c r="G206" cm="1">
        <f t="array" ref="G206">delta_call(D206,A206,E206,B206,F206,C206)</f>
        <v>0.16426871972840887</v>
      </c>
      <c r="H206" cm="1">
        <f t="array" ref="H206">delta_put(D206,A206,E206,B206,F206,C206)</f>
        <v>-0.83573128027159116</v>
      </c>
      <c r="I206" cm="1">
        <f t="array" ref="I206">theta_call(D206,A206,E206,B206,F206,C206)</f>
        <v>-0.83024309118510431</v>
      </c>
      <c r="J206" cm="1">
        <f t="array" ref="J206">theta_put(D206,A206,E206,B206,F206,C206)</f>
        <v>-0.79181151361901136</v>
      </c>
      <c r="K206" cm="1">
        <f t="array" ref="K206">gamma_new(D206,A206,E206,B206,F206,C206)</f>
        <v>1.0313315500073911E-2</v>
      </c>
      <c r="L206" cm="1">
        <f t="array" ref="L206">vega_new(D206,A206,E206,B206,F206,C206)</f>
        <v>29.702348640212861</v>
      </c>
      <c r="M206" cm="1">
        <f t="array" ref="M206">rho_call(D206,A206,E206,B206,F206,C206)</f>
        <v>32.377152020462432</v>
      </c>
      <c r="N206" cm="1">
        <f t="array" ref="N206">rho_put(D206,A206,E206,B206,F206,C206)</f>
        <v>-351.93862364046686</v>
      </c>
    </row>
    <row r="207" spans="1:14" x14ac:dyDescent="0.3">
      <c r="A207">
        <v>100</v>
      </c>
      <c r="B207">
        <f t="shared" ref="B207:B222" si="12">1/100</f>
        <v>0.01</v>
      </c>
      <c r="C207">
        <v>0.2</v>
      </c>
      <c r="D207">
        <v>65</v>
      </c>
      <c r="E207">
        <v>4</v>
      </c>
      <c r="F207">
        <v>0</v>
      </c>
      <c r="G207" cm="1">
        <f t="array" ref="G207">delta_call(D207,A207,E207,B207,F207,C207)</f>
        <v>0.21859198446496683</v>
      </c>
      <c r="H207" cm="1">
        <f t="array" ref="H207">delta_put(D207,A207,E207,B207,F207,C207)</f>
        <v>-0.78140801553503314</v>
      </c>
      <c r="I207" cm="1">
        <f t="array" ref="I207">theta_call(D207,A207,E207,B207,F207,C207)</f>
        <v>-1.0832471600868347</v>
      </c>
      <c r="J207" cm="1">
        <f t="array" ref="J207">theta_put(D207,A207,E207,B207,F207,C207)</f>
        <v>-1.0448155825207419</v>
      </c>
      <c r="K207" cm="1">
        <f t="array" ref="K207">gamma_new(D207,A207,E207,B207,F207,C207)</f>
        <v>1.1346268148064857E-2</v>
      </c>
      <c r="L207" cm="1">
        <f t="array" ref="L207">vega_new(D207,A207,E207,B207,F207,C207)</f>
        <v>38.350386340459217</v>
      </c>
      <c r="M207" cm="1">
        <f t="array" ref="M207">rho_call(D207,A207,E207,B207,F207,C207)</f>
        <v>45.966579050016662</v>
      </c>
      <c r="N207" cm="1">
        <f t="array" ref="N207">rho_put(D207,A207,E207,B207,F207,C207)</f>
        <v>-338.3491966109126</v>
      </c>
    </row>
    <row r="208" spans="1:14" x14ac:dyDescent="0.3">
      <c r="A208">
        <v>100</v>
      </c>
      <c r="B208">
        <f t="shared" si="12"/>
        <v>0.01</v>
      </c>
      <c r="C208">
        <v>0.2</v>
      </c>
      <c r="D208">
        <v>70</v>
      </c>
      <c r="E208">
        <v>4</v>
      </c>
      <c r="F208">
        <v>0</v>
      </c>
      <c r="G208" cm="1">
        <f t="array" ref="G208">delta_call(D208,A208,E208,B208,F208,C208)</f>
        <v>0.27702998118727484</v>
      </c>
      <c r="H208" cm="1">
        <f t="array" ref="H208">delta_put(D208,A208,E208,B208,F208,C208)</f>
        <v>-0.72297001881272516</v>
      </c>
      <c r="I208" cm="1">
        <f t="array" ref="I208">theta_call(D208,A208,E208,B208,F208,C208)</f>
        <v>-1.3393093964555041</v>
      </c>
      <c r="J208" cm="1">
        <f t="array" ref="J208">theta_put(D208,A208,E208,B208,F208,C208)</f>
        <v>-1.3008778188894112</v>
      </c>
      <c r="K208" cm="1">
        <f t="array" ref="K208">gamma_new(D208,A208,E208,B208,F208,C208)</f>
        <v>1.1959970353331821E-2</v>
      </c>
      <c r="L208" cm="1">
        <f t="array" ref="L208">vega_new(D208,A208,E208,B208,F208,C208)</f>
        <v>46.883083785060734</v>
      </c>
      <c r="M208" cm="1">
        <f t="array" ref="M208">rho_call(D208,A208,E208,B208,F208,C208)</f>
        <v>61.749948584880109</v>
      </c>
      <c r="N208" cm="1">
        <f t="array" ref="N208">rho_put(D208,A208,E208,B208,F208,C208)</f>
        <v>-322.56582707604917</v>
      </c>
    </row>
    <row r="209" spans="1:14" x14ac:dyDescent="0.3">
      <c r="A209">
        <v>100</v>
      </c>
      <c r="B209">
        <f t="shared" si="12"/>
        <v>0.01</v>
      </c>
      <c r="C209">
        <v>0.2</v>
      </c>
      <c r="D209">
        <v>75</v>
      </c>
      <c r="E209">
        <v>4</v>
      </c>
      <c r="F209">
        <v>0</v>
      </c>
      <c r="G209" cm="1">
        <f t="array" ref="G209">delta_call(D209,A209,E209,B209,F209,C209)</f>
        <v>0.33753309294546507</v>
      </c>
      <c r="H209" cm="1">
        <f t="array" ref="H209">delta_put(D209,A209,E209,B209,F209,C209)</f>
        <v>-0.66246690705453493</v>
      </c>
      <c r="I209" cm="1">
        <f t="array" ref="I209">theta_call(D209,A209,E209,B209,F209,C209)</f>
        <v>-1.5849472738867647</v>
      </c>
      <c r="J209" cm="1">
        <f t="array" ref="J209">theta_put(D209,A209,E209,B209,F209,C209)</f>
        <v>-1.5465156963206719</v>
      </c>
      <c r="K209" cm="1">
        <f t="array" ref="K209">gamma_new(D209,A209,E209,B209,F209,C209)</f>
        <v>1.2179483699411454E-2</v>
      </c>
      <c r="L209" cm="1">
        <f t="array" ref="L209">vega_new(D209,A209,E209,B209,F209,C209)</f>
        <v>54.807676647351542</v>
      </c>
      <c r="M209" cm="1">
        <f t="array" ref="M209">rho_call(D209,A209,E209,B209,F209,C209)</f>
        <v>79.297672467890536</v>
      </c>
      <c r="N209" cm="1">
        <f t="array" ref="N209">rho_put(D209,A209,E209,B209,F209,C209)</f>
        <v>-305.01810319303871</v>
      </c>
    </row>
    <row r="210" spans="1:14" x14ac:dyDescent="0.3">
      <c r="A210">
        <v>100</v>
      </c>
      <c r="B210">
        <f t="shared" si="12"/>
        <v>0.01</v>
      </c>
      <c r="C210">
        <v>0.2</v>
      </c>
      <c r="D210">
        <v>80</v>
      </c>
      <c r="E210">
        <v>4</v>
      </c>
      <c r="F210">
        <v>0</v>
      </c>
      <c r="G210" cm="1">
        <f t="array" ref="G210">delta_call(D210,A210,E210,B210,F210,C210)</f>
        <v>0.39825791110296049</v>
      </c>
      <c r="H210" cm="1">
        <f t="array" ref="H210">delta_put(D210,A210,E210,B210,F210,C210)</f>
        <v>-0.60174208889703951</v>
      </c>
      <c r="I210" cm="1">
        <f t="array" ref="I210">theta_call(D210,A210,E210,B210,F210,C210)</f>
        <v>-1.8093229913953346</v>
      </c>
      <c r="J210" cm="1">
        <f t="array" ref="J210">theta_put(D210,A210,E210,B210,F210,C210)</f>
        <v>-1.7708914138292418</v>
      </c>
      <c r="K210" cm="1">
        <f t="array" ref="K210">gamma_new(D210,A210,E210,B210,F210,C210)</f>
        <v>1.205928909750143E-2</v>
      </c>
      <c r="L210" cm="1">
        <f t="array" ref="L210">vega_new(D210,A210,E210,B210,F210,C210)</f>
        <v>61.743560179207321</v>
      </c>
      <c r="M210" cm="1">
        <f t="array" ref="M210">rho_call(D210,A210,E210,B210,F210,C210)</f>
        <v>98.121354844747444</v>
      </c>
      <c r="N210" cm="1">
        <f t="array" ref="N210">rho_put(D210,A210,E210,B210,F210,C210)</f>
        <v>-286.19442081618183</v>
      </c>
    </row>
    <row r="211" spans="1:14" x14ac:dyDescent="0.3">
      <c r="A211">
        <v>100</v>
      </c>
      <c r="B211">
        <f t="shared" si="12"/>
        <v>0.01</v>
      </c>
      <c r="C211">
        <v>0.2</v>
      </c>
      <c r="D211">
        <v>85</v>
      </c>
      <c r="E211">
        <v>4</v>
      </c>
      <c r="F211">
        <v>0</v>
      </c>
      <c r="G211" cm="1">
        <f t="array" ref="G211">delta_call(D211,A211,E211,B211,F211,C211)</f>
        <v>0.45767322745215844</v>
      </c>
      <c r="H211" cm="1">
        <f t="array" ref="H211">delta_put(D211,A211,E211,B211,F211,C211)</f>
        <v>-0.54232677254784156</v>
      </c>
      <c r="I211" cm="1">
        <f t="array" ref="I211">theta_call(D211,A211,E211,B211,F211,C211)</f>
        <v>-2.0047781317661246</v>
      </c>
      <c r="J211" cm="1">
        <f t="array" ref="J211">theta_put(D211,A211,E211,B211,F211,C211)</f>
        <v>-1.9663465542000318</v>
      </c>
      <c r="K211" cm="1">
        <f t="array" ref="K211">gamma_new(D211,A211,E211,B211,F211,C211)</f>
        <v>1.1667493720574828E-2</v>
      </c>
      <c r="L211" cm="1">
        <f t="array" ref="L211">vega_new(D211,A211,E211,B211,F211,C211)</f>
        <v>67.4381137049225</v>
      </c>
      <c r="M211" cm="1">
        <f t="array" ref="M211">rho_call(D211,A211,E211,B211,F211,C211)</f>
        <v>117.72513441976243</v>
      </c>
      <c r="N211" cm="1">
        <f t="array" ref="N211">rho_put(D211,A211,E211,B211,F211,C211)</f>
        <v>-266.59064124116685</v>
      </c>
    </row>
    <row r="212" spans="1:14" x14ac:dyDescent="0.3">
      <c r="A212">
        <v>100</v>
      </c>
      <c r="B212">
        <f t="shared" si="12"/>
        <v>0.01</v>
      </c>
      <c r="C212">
        <v>0.2</v>
      </c>
      <c r="D212">
        <v>90</v>
      </c>
      <c r="E212">
        <v>4</v>
      </c>
      <c r="F212">
        <v>0</v>
      </c>
      <c r="G212" cm="1">
        <f t="array" ref="G212">delta_call(D212,A212,E212,B212,F212,C212)</f>
        <v>0.51459751428423428</v>
      </c>
      <c r="H212" cm="1">
        <f t="array" ref="H212">delta_put(D212,A212,E212,B212,F212,C212)</f>
        <v>-0.48540248571576572</v>
      </c>
      <c r="I212" cm="1">
        <f t="array" ref="I212">theta_call(D212,A212,E212,B212,F212,C212)</f>
        <v>-2.1668073861100083</v>
      </c>
      <c r="J212" cm="1">
        <f t="array" ref="J212">theta_put(D212,A212,E212,B212,F212,C212)</f>
        <v>-2.1283758085439155</v>
      </c>
      <c r="K212" cm="1">
        <f t="array" ref="K212">gamma_new(D212,A212,E212,B212,F212,C212)</f>
        <v>1.1074310697636874E-2</v>
      </c>
      <c r="L212" cm="1">
        <f t="array" ref="L212">vega_new(D212,A212,E212,B212,F212,C212)</f>
        <v>71.761533320686937</v>
      </c>
      <c r="M212" cm="1">
        <f t="array" ref="M212">rho_call(D212,A212,E212,B212,F212,C212)</f>
        <v>137.64368253482542</v>
      </c>
      <c r="N212" cm="1">
        <f t="array" ref="N212">rho_put(D212,A212,E212,B212,F212,C212)</f>
        <v>-246.67209312610385</v>
      </c>
    </row>
    <row r="213" spans="1:14" x14ac:dyDescent="0.3">
      <c r="A213">
        <v>100</v>
      </c>
      <c r="B213">
        <f t="shared" si="12"/>
        <v>0.01</v>
      </c>
      <c r="C213">
        <v>0.2</v>
      </c>
      <c r="D213">
        <v>95</v>
      </c>
      <c r="E213">
        <v>4</v>
      </c>
      <c r="F213">
        <v>0</v>
      </c>
      <c r="G213" cm="1">
        <f t="array" ref="G213">delta_call(D213,A213,E213,B213,F213,C213)</f>
        <v>0.56818955220522305</v>
      </c>
      <c r="H213" cm="1">
        <f t="array" ref="H213">delta_put(D213,A213,E213,B213,F213,C213)</f>
        <v>-0.43181044779477695</v>
      </c>
      <c r="I213" cm="1">
        <f t="array" ref="I213">theta_call(D213,A213,E213,B213,F213,C213)</f>
        <v>-2.2936804602081025</v>
      </c>
      <c r="J213" cm="1">
        <f t="array" ref="J213">theta_put(D213,A213,E213,B213,F213,C213)</f>
        <v>-2.2552488826420096</v>
      </c>
      <c r="K213" cm="1">
        <f t="array" ref="K213">gamma_new(D213,A213,E213,B213,F213,C213)</f>
        <v>1.034474514620942E-2</v>
      </c>
      <c r="L213" cm="1">
        <f t="array" ref="L213">vega_new(D213,A213,E213,B213,F213,C213)</f>
        <v>74.689059955632018</v>
      </c>
      <c r="M213" cm="1">
        <f t="array" ref="M213">rho_call(D213,A213,E213,B213,F213,C213)</f>
        <v>157.46664906933412</v>
      </c>
      <c r="N213" cm="1">
        <f t="array" ref="N213">rho_put(D213,A213,E213,B213,F213,C213)</f>
        <v>-226.84912659159514</v>
      </c>
    </row>
    <row r="214" spans="1:14" x14ac:dyDescent="0.3">
      <c r="A214">
        <v>100</v>
      </c>
      <c r="B214">
        <f t="shared" si="12"/>
        <v>0.01</v>
      </c>
      <c r="C214">
        <v>0.2</v>
      </c>
      <c r="D214">
        <v>100</v>
      </c>
      <c r="E214">
        <v>4</v>
      </c>
      <c r="F214">
        <v>0</v>
      </c>
      <c r="G214" cm="1">
        <f t="array" ref="G214">delta_call(D214,A214,E214,B214,F214,C214)</f>
        <v>0.61791142218895267</v>
      </c>
      <c r="H214" cm="1">
        <f t="array" ref="H214">delta_put(D214,A214,E214,B214,F214,C214)</f>
        <v>-0.38208857781104733</v>
      </c>
      <c r="I214" cm="1">
        <f t="array" ref="I214">theta_call(D214,A214,E214,B214,F214,C214)</f>
        <v>-2.3858912222481017</v>
      </c>
      <c r="J214" cm="1">
        <f t="array" ref="J214">theta_put(D214,A214,E214,B214,F214,C214)</f>
        <v>-2.3474596446820089</v>
      </c>
      <c r="K214" cm="1">
        <f t="array" ref="K214">gamma_new(D214,A214,E214,B214,F214,C214)</f>
        <v>9.5346953865131021E-3</v>
      </c>
      <c r="L214" cm="1">
        <f t="array" ref="L214">vega_new(D214,A214,E214,B214,F214,C214)</f>
        <v>76.277563092104813</v>
      </c>
      <c r="M214" cm="1">
        <f t="array" ref="M214">rho_call(D214,A214,E214,B214,F214,C214)</f>
        <v>176.85142165444597</v>
      </c>
      <c r="N214" cm="1">
        <f t="array" ref="N214">rho_put(D214,A214,E214,B214,F214,C214)</f>
        <v>-207.46435400648329</v>
      </c>
    </row>
    <row r="215" spans="1:14" x14ac:dyDescent="0.3">
      <c r="A215">
        <v>100</v>
      </c>
      <c r="B215">
        <f t="shared" si="12"/>
        <v>0.01</v>
      </c>
      <c r="C215">
        <v>0.2</v>
      </c>
      <c r="D215">
        <v>105</v>
      </c>
      <c r="E215">
        <v>4</v>
      </c>
      <c r="F215">
        <v>0</v>
      </c>
      <c r="G215" cm="1">
        <f t="array" ref="G215">delta_call(D215,A215,E215,B215,F215,C215)</f>
        <v>0.66347851713393957</v>
      </c>
      <c r="H215" cm="1">
        <f t="array" ref="H215">delta_put(D215,A215,E215,B215,F215,C215)</f>
        <v>-0.33652148286606043</v>
      </c>
      <c r="I215" cm="1">
        <f t="array" ref="I215">theta_call(D215,A215,E215,B215,F215,C215)</f>
        <v>-2.4455643067157569</v>
      </c>
      <c r="J215" cm="1">
        <f t="array" ref="J215">theta_put(D215,A215,E215,B215,F215,C215)</f>
        <v>-2.407132729149664</v>
      </c>
      <c r="K215" cm="1">
        <f t="array" ref="K215">gamma_new(D215,A215,E215,B215,F215,C215)</f>
        <v>8.6895009017126795E-3</v>
      </c>
      <c r="L215" cm="1">
        <f t="array" ref="L215">vega_new(D215,A215,E215,B215,F215,C215)</f>
        <v>76.641397953105823</v>
      </c>
      <c r="M215" cm="1">
        <f t="array" ref="M215">rho_call(D215,A215,E215,B215,F215,C215)</f>
        <v>195.52688246325391</v>
      </c>
      <c r="N215" cm="1">
        <f t="array" ref="N215">rho_put(D215,A215,E215,B215,F215,C215)</f>
        <v>-188.78889319767535</v>
      </c>
    </row>
    <row r="216" spans="1:14" x14ac:dyDescent="0.3">
      <c r="A216">
        <v>100</v>
      </c>
      <c r="B216">
        <f t="shared" si="12"/>
        <v>0.01</v>
      </c>
      <c r="C216">
        <v>0.2</v>
      </c>
      <c r="D216">
        <v>110</v>
      </c>
      <c r="E216">
        <v>4</v>
      </c>
      <c r="F216">
        <v>0</v>
      </c>
      <c r="G216" cm="1">
        <f t="array" ref="G216">delta_call(D216,A216,E216,B216,F216,C216)</f>
        <v>0.70480655105134737</v>
      </c>
      <c r="H216" cm="1">
        <f t="array" ref="H216">delta_put(D216,A216,E216,B216,F216,C216)</f>
        <v>-0.29519344894865263</v>
      </c>
      <c r="I216" cm="1">
        <f t="array" ref="I216">theta_call(D216,A216,E216,B216,F216,C216)</f>
        <v>-2.4759012883515981</v>
      </c>
      <c r="J216" cm="1">
        <f t="array" ref="J216">theta_put(D216,A216,E216,B216,F216,C216)</f>
        <v>-2.4374697107855052</v>
      </c>
      <c r="K216" cm="1">
        <f t="array" ref="K216">gamma_new(D216,A216,E216,B216,F216,C216)</f>
        <v>7.8440625463605997E-3</v>
      </c>
      <c r="L216" cm="1">
        <f t="array" ref="L216">vega_new(D216,A216,E216,B216,F216,C216)</f>
        <v>75.930525448770609</v>
      </c>
      <c r="M216" cm="1">
        <f t="array" ref="M216">rho_call(D216,A216,E216,B216,F216,C216)</f>
        <v>213.29088821197067</v>
      </c>
      <c r="N216" cm="1">
        <f t="array" ref="N216">rho_put(D216,A216,E216,B216,F216,C216)</f>
        <v>-171.02488744895859</v>
      </c>
    </row>
    <row r="217" spans="1:14" x14ac:dyDescent="0.3">
      <c r="A217">
        <v>100</v>
      </c>
      <c r="B217">
        <f t="shared" si="12"/>
        <v>0.01</v>
      </c>
      <c r="C217">
        <v>0.2</v>
      </c>
      <c r="D217">
        <v>115</v>
      </c>
      <c r="E217">
        <v>4</v>
      </c>
      <c r="F217">
        <v>0</v>
      </c>
      <c r="G217" cm="1">
        <f t="array" ref="G217">delta_call(D217,A217,E217,B217,F217,C217)</f>
        <v>0.74196163694002004</v>
      </c>
      <c r="H217" cm="1">
        <f t="array" ref="H217">delta_put(D217,A217,E217,B217,F217,C217)</f>
        <v>-0.25803836305997996</v>
      </c>
      <c r="I217" cm="1">
        <f t="array" ref="I217">theta_call(D217,A217,E217,B217,F217,C217)</f>
        <v>-2.4807097437198364</v>
      </c>
      <c r="J217" cm="1">
        <f t="array" ref="J217">theta_put(D217,A217,E217,B217,F217,C217)</f>
        <v>-2.4422781661537436</v>
      </c>
      <c r="K217" cm="1">
        <f t="array" ref="K217">gamma_new(D217,A217,E217,B217,F217,C217)</f>
        <v>7.0238536178371452E-3</v>
      </c>
      <c r="L217" cm="1">
        <f t="array" ref="L217">vega_new(D217,A217,E217,B217,F217,C217)</f>
        <v>74.312371276717002</v>
      </c>
      <c r="M217" cm="1">
        <f t="array" ref="M217">rho_call(D217,A217,E217,B217,F217,C217)</f>
        <v>230.00383938445142</v>
      </c>
      <c r="N217" cm="1">
        <f t="array" ref="N217">rho_put(D217,A217,E217,B217,F217,C217)</f>
        <v>-154.31193627647784</v>
      </c>
    </row>
    <row r="218" spans="1:14" x14ac:dyDescent="0.3">
      <c r="A218">
        <v>100</v>
      </c>
      <c r="B218">
        <f t="shared" si="12"/>
        <v>0.01</v>
      </c>
      <c r="C218">
        <v>0.2</v>
      </c>
      <c r="D218">
        <v>120</v>
      </c>
      <c r="E218">
        <v>4</v>
      </c>
      <c r="F218">
        <v>0</v>
      </c>
      <c r="G218" cm="1">
        <f t="array" ref="G218">delta_call(D218,A218,E218,B218,F218,C218)</f>
        <v>0.77511660853638908</v>
      </c>
      <c r="H218" cm="1">
        <f t="array" ref="H218">delta_put(D218,A218,E218,B218,F218,C218)</f>
        <v>-0.22488339146361092</v>
      </c>
      <c r="I218" cm="1">
        <f t="array" ref="I218">theta_call(D218,A218,E218,B218,F218,C218)</f>
        <v>-2.4640310496713758</v>
      </c>
      <c r="J218" cm="1">
        <f t="array" ref="J218">theta_put(D218,A218,E218,B218,F218,C218)</f>
        <v>-2.4255994721052829</v>
      </c>
      <c r="K218" cm="1">
        <f t="array" ref="K218">gamma_new(D218,A218,E218,B218,F218,C218)</f>
        <v>6.2463417557349936E-3</v>
      </c>
      <c r="L218" cm="1">
        <f t="array" ref="L218">vega_new(D218,A218,E218,B218,F218,C218)</f>
        <v>71.957857026067117</v>
      </c>
      <c r="M218" cm="1">
        <f t="array" ref="M218">rho_call(D218,A218,E218,B218,F218,C218)</f>
        <v>245.58019526519712</v>
      </c>
      <c r="N218" cm="1">
        <f t="array" ref="N218">rho_put(D218,A218,E218,B218,F218,C218)</f>
        <v>-138.73558039573214</v>
      </c>
    </row>
    <row r="219" spans="1:14" x14ac:dyDescent="0.3">
      <c r="A219">
        <v>100</v>
      </c>
      <c r="B219">
        <f t="shared" si="12"/>
        <v>0.01</v>
      </c>
      <c r="C219">
        <v>0.2</v>
      </c>
      <c r="D219">
        <v>125</v>
      </c>
      <c r="E219">
        <v>4</v>
      </c>
      <c r="F219">
        <v>0</v>
      </c>
      <c r="G219" cm="1">
        <f t="array" ref="G219">delta_call(D219,A219,E219,B219,F219,C219)</f>
        <v>0.80451480332788361</v>
      </c>
      <c r="H219" cm="1">
        <f t="array" ref="H219">delta_put(D219,A219,E219,B219,F219,C219)</f>
        <v>-0.19548519667211639</v>
      </c>
      <c r="I219" cm="1">
        <f t="array" ref="I219">theta_call(D219,A219,E219,B219,F219,C219)</f>
        <v>-2.429865445947073</v>
      </c>
      <c r="J219" cm="1">
        <f t="array" ref="J219">theta_put(D219,A219,E219,B219,F219,C219)</f>
        <v>-2.3914338683809802</v>
      </c>
      <c r="K219" cm="1">
        <f t="array" ref="K219">gamma_new(D219,A219,E219,B219,F219,C219)</f>
        <v>5.5225119093422646E-3</v>
      </c>
      <c r="L219" cm="1">
        <f t="array" ref="L219">vega_new(D219,A219,E219,B219,F219,C219)</f>
        <v>69.031398866778304</v>
      </c>
      <c r="M219" cm="1">
        <f t="array" ref="M219">rho_call(D219,A219,E219,B219,F219,C219)</f>
        <v>259.97927799092872</v>
      </c>
      <c r="N219" cm="1">
        <f t="array" ref="N219">rho_put(D219,A219,E219,B219,F219,C219)</f>
        <v>-124.33649767000054</v>
      </c>
    </row>
    <row r="220" spans="1:14" x14ac:dyDescent="0.3">
      <c r="A220">
        <v>100</v>
      </c>
      <c r="B220">
        <f t="shared" si="12"/>
        <v>0.01</v>
      </c>
      <c r="C220">
        <v>0.2</v>
      </c>
      <c r="D220">
        <v>130</v>
      </c>
      <c r="E220">
        <v>4</v>
      </c>
      <c r="F220">
        <v>0</v>
      </c>
      <c r="G220" cm="1">
        <f t="array" ref="G220">delta_call(D220,A220,E220,B220,F220,C220)</f>
        <v>0.83044131386615572</v>
      </c>
      <c r="H220" cm="1">
        <f t="array" ref="H220">delta_put(D220,A220,E220,B220,F220,C220)</f>
        <v>-0.16955868613384428</v>
      </c>
      <c r="I220" cm="1">
        <f t="array" ref="I220">theta_call(D220,A220,E220,B220,F220,C220)</f>
        <v>-2.3819833824362679</v>
      </c>
      <c r="J220" cm="1">
        <f t="array" ref="J220">theta_put(D220,A220,E220,B220,F220,C220)</f>
        <v>-2.3435518048701751</v>
      </c>
      <c r="K220" cm="1">
        <f t="array" ref="K220">gamma_new(D220,A220,E220,B220,F220,C220)</f>
        <v>4.858308981287961E-3</v>
      </c>
      <c r="L220" cm="1">
        <f t="array" ref="L220">vega_new(D220,A220,E220,B220,F220,C220)</f>
        <v>65.684337427013233</v>
      </c>
      <c r="M220" cm="1">
        <f t="array" ref="M220">rho_call(D220,A220,E220,B220,F220,C220)</f>
        <v>273.19626305478522</v>
      </c>
      <c r="N220" cm="1">
        <f t="array" ref="N220">rho_put(D220,A220,E220,B220,F220,C220)</f>
        <v>-111.11951260614404</v>
      </c>
    </row>
    <row r="221" spans="1:14" x14ac:dyDescent="0.3">
      <c r="A221">
        <v>100</v>
      </c>
      <c r="B221">
        <f t="shared" si="12"/>
        <v>0.01</v>
      </c>
      <c r="C221">
        <v>0.2</v>
      </c>
      <c r="D221">
        <v>135</v>
      </c>
      <c r="E221">
        <v>4</v>
      </c>
      <c r="F221">
        <v>0</v>
      </c>
      <c r="G221" cm="1">
        <f t="array" ref="G221">delta_call(D221,A221,E221,B221,F221,C221)</f>
        <v>0.85320104521339801</v>
      </c>
      <c r="H221" cm="1">
        <f t="array" ref="H221">delta_put(D221,A221,E221,B221,F221,C221)</f>
        <v>-0.14679895478660199</v>
      </c>
      <c r="I221" cm="1">
        <f t="array" ref="I221">theta_call(D221,A221,E221,B221,F221,C221)</f>
        <v>-2.3238080807732002</v>
      </c>
      <c r="J221" cm="1">
        <f t="array" ref="J221">theta_put(D221,A221,E221,B221,F221,C221)</f>
        <v>-2.2853765032071074</v>
      </c>
      <c r="K221" cm="1">
        <f t="array" ref="K221">gamma_new(D221,A221,E221,B221,F221,C221)</f>
        <v>4.2559078918170063E-3</v>
      </c>
      <c r="L221" cm="1">
        <f t="array" ref="L221">vega_new(D221,A221,E221,B221,F221,C221)</f>
        <v>62.051137062691957</v>
      </c>
      <c r="M221" cm="1">
        <f t="array" ref="M221">rho_call(D221,A221,E221,B221,F221,C221)</f>
        <v>285.25390074635311</v>
      </c>
      <c r="N221" cm="1">
        <f t="array" ref="N221">rho_put(D221,A221,E221,B221,F221,C221)</f>
        <v>-99.061874914576151</v>
      </c>
    </row>
    <row r="222" spans="1:14" x14ac:dyDescent="0.3">
      <c r="A222">
        <v>100</v>
      </c>
      <c r="B222">
        <f t="shared" si="12"/>
        <v>0.01</v>
      </c>
      <c r="C222">
        <v>0.2</v>
      </c>
      <c r="D222">
        <v>140</v>
      </c>
      <c r="E222">
        <v>4</v>
      </c>
      <c r="F222">
        <v>0</v>
      </c>
      <c r="G222" cm="1">
        <f t="array" ref="G222">delta_call(D222,A222,E222,B222,F222,C222)</f>
        <v>0.87310261037867953</v>
      </c>
      <c r="H222" cm="1">
        <f t="array" ref="H222">delta_put(D222,A222,E222,B222,F222,C222)</f>
        <v>-0.12689738962132047</v>
      </c>
      <c r="I222" cm="1">
        <f t="array" ref="I222">theta_call(D222,A222,E222,B222,F222,C222)</f>
        <v>-2.2583535590904078</v>
      </c>
      <c r="J222" cm="1">
        <f t="array" ref="J222">theta_put(D222,A222,E222,B222,F222,C222)</f>
        <v>-2.219921981524315</v>
      </c>
      <c r="K222" cm="1">
        <f t="array" ref="K222">gamma_new(D222,A222,E222,B222,F222,C222)</f>
        <v>3.7147763845488606E-3</v>
      </c>
      <c r="L222" cm="1">
        <f t="array" ref="L222">vega_new(D222,A222,E222,B222,F222,C222)</f>
        <v>58.247693709726136</v>
      </c>
      <c r="M222" cm="1">
        <f t="array" ref="M222">rho_call(D222,A222,E222,B222,F222,C222)</f>
        <v>296.19525249901477</v>
      </c>
      <c r="N222" cm="1">
        <f t="array" ref="N222">rho_put(D222,A222,E222,B222,F222,C222)</f>
        <v>-88.120523161914491</v>
      </c>
    </row>
    <row r="223" spans="1:14" x14ac:dyDescent="0.3">
      <c r="A223">
        <v>100</v>
      </c>
      <c r="B223">
        <f>1/100</f>
        <v>0.01</v>
      </c>
      <c r="C223">
        <v>0.2</v>
      </c>
      <c r="D223">
        <v>60</v>
      </c>
      <c r="E223">
        <v>5</v>
      </c>
      <c r="F223">
        <v>0</v>
      </c>
      <c r="G223" cm="1">
        <f t="array" ref="G223">delta_call(D223,A223,E223,B223,F223,C223)</f>
        <v>0.20988203686100165</v>
      </c>
      <c r="H223" cm="1">
        <f t="array" ref="H223">delta_put(D223,A223,E223,B223,F223,C223)</f>
        <v>-0.79011796313899829</v>
      </c>
      <c r="I223" cm="1">
        <f t="array" ref="I223">theta_call(D223,A223,E223,B223,F223,C223)</f>
        <v>-0.88336183913193833</v>
      </c>
      <c r="J223" cm="1">
        <f t="array" ref="J223">theta_put(D223,A223,E223,B223,F223,C223)</f>
        <v>-0.8358003679069026</v>
      </c>
      <c r="K223" cm="1">
        <f t="array" ref="K223">gamma_new(D223,A223,E223,B223,F223,C223)</f>
        <v>1.073708151996329E-2</v>
      </c>
      <c r="L223" cm="1">
        <f t="array" ref="L223">vega_new(D223,A223,E223,B223,F223,C223)</f>
        <v>38.653493471867854</v>
      </c>
      <c r="M223" cm="1">
        <f t="array" ref="M223">rho_call(D223,A223,E223,B223,F223,C223)</f>
        <v>49.898150544272639</v>
      </c>
      <c r="N223" cm="1">
        <f t="array" ref="N223">rho_put(D223,A223,E223,B223,F223,C223)</f>
        <v>-425.71656170608435</v>
      </c>
    </row>
    <row r="224" spans="1:14" x14ac:dyDescent="0.3">
      <c r="A224">
        <v>100</v>
      </c>
      <c r="B224">
        <f t="shared" ref="B224:B239" si="13">1/100</f>
        <v>0.01</v>
      </c>
      <c r="C224">
        <v>0.2</v>
      </c>
      <c r="D224">
        <v>65</v>
      </c>
      <c r="E224">
        <v>5</v>
      </c>
      <c r="F224">
        <v>0</v>
      </c>
      <c r="G224" cm="1">
        <f t="array" ref="G224">delta_call(D224,A224,E224,B224,F224,C224)</f>
        <v>0.26505120645503799</v>
      </c>
      <c r="H224" cm="1">
        <f t="array" ref="H224">delta_put(D224,A224,E224,B224,F224,C224)</f>
        <v>-0.73494879354496201</v>
      </c>
      <c r="I224" cm="1">
        <f t="array" ref="I224">theta_call(D224,A224,E224,B224,F224,C224)</f>
        <v>-1.1006372554079169</v>
      </c>
      <c r="J224" cm="1">
        <f t="array" ref="J224">theta_put(D224,A224,E224,B224,F224,C224)</f>
        <v>-1.0530757841828813</v>
      </c>
      <c r="K224" cm="1">
        <f t="array" ref="K224">gamma_new(D224,A224,E224,B224,F224,C224)</f>
        <v>1.1268946181697022E-2</v>
      </c>
      <c r="L224" cm="1">
        <f t="array" ref="L224">vega_new(D224,A224,E224,B224,F224,C224)</f>
        <v>47.611297617669926</v>
      </c>
      <c r="M224" cm="1">
        <f t="array" ref="M224">rho_call(D224,A224,E224,B224,F224,C224)</f>
        <v>67.144050131601475</v>
      </c>
      <c r="N224" cm="1">
        <f t="array" ref="N224">rho_put(D224,A224,E224,B224,F224,C224)</f>
        <v>-408.47066211875551</v>
      </c>
    </row>
    <row r="225" spans="1:14" x14ac:dyDescent="0.3">
      <c r="A225">
        <v>100</v>
      </c>
      <c r="B225">
        <f t="shared" si="13"/>
        <v>0.01</v>
      </c>
      <c r="C225">
        <v>0.2</v>
      </c>
      <c r="D225">
        <v>70</v>
      </c>
      <c r="E225">
        <v>5</v>
      </c>
      <c r="F225">
        <v>0</v>
      </c>
      <c r="G225" cm="1">
        <f t="array" ref="G225">delta_call(D225,A225,E225,B225,F225,C225)</f>
        <v>0.32199074177395015</v>
      </c>
      <c r="H225" cm="1">
        <f t="array" ref="H225">delta_put(D225,A225,E225,B225,F225,C225)</f>
        <v>-0.67800925822604985</v>
      </c>
      <c r="I225" cm="1">
        <f t="array" ref="I225">theta_call(D225,A225,E225,B225,F225,C225)</f>
        <v>-1.3132885861798649</v>
      </c>
      <c r="J225" cm="1">
        <f t="array" ref="J225">theta_put(D225,A225,E225,B225,F225,C225)</f>
        <v>-1.2657271149548293</v>
      </c>
      <c r="K225" cm="1">
        <f t="array" ref="K225">gamma_new(D225,A225,E225,B225,F225,C225)</f>
        <v>1.1453027766679769E-2</v>
      </c>
      <c r="L225" cm="1">
        <f t="array" ref="L225">vega_new(D225,A225,E225,B225,F225,C225)</f>
        <v>56.119836056730875</v>
      </c>
      <c r="M225" cm="1">
        <f t="array" ref="M225">rho_call(D225,A225,E225,B225,F225,C225)</f>
        <v>86.363051145805372</v>
      </c>
      <c r="N225" cm="1">
        <f t="array" ref="N225">rho_put(D225,A225,E225,B225,F225,C225)</f>
        <v>-389.25166110455166</v>
      </c>
    </row>
    <row r="226" spans="1:14" x14ac:dyDescent="0.3">
      <c r="A226">
        <v>100</v>
      </c>
      <c r="B226">
        <f t="shared" si="13"/>
        <v>0.01</v>
      </c>
      <c r="C226">
        <v>0.2</v>
      </c>
      <c r="D226">
        <v>75</v>
      </c>
      <c r="E226">
        <v>5</v>
      </c>
      <c r="F226">
        <v>0</v>
      </c>
      <c r="G226" cm="1">
        <f t="array" ref="G226">delta_call(D226,A226,E226,B226,F226,C226)</f>
        <v>0.37909196897565967</v>
      </c>
      <c r="H226" cm="1">
        <f t="array" ref="H226">delta_put(D226,A226,E226,B226,F226,C226)</f>
        <v>-0.62090803102434033</v>
      </c>
      <c r="I226" cm="1">
        <f t="array" ref="I226">theta_call(D226,A226,E226,B226,F226,C226)</f>
        <v>-1.5128004439281957</v>
      </c>
      <c r="J226" cm="1">
        <f t="array" ref="J226">theta_put(D226,A226,E226,B226,F226,C226)</f>
        <v>-1.4652389727031601</v>
      </c>
      <c r="K226" cm="1">
        <f t="array" ref="K226">gamma_new(D226,A226,E226,B226,F226,C226)</f>
        <v>1.1343634002882847E-2</v>
      </c>
      <c r="L226" cm="1">
        <f t="array" ref="L226">vega_new(D226,A226,E226,B226,F226,C226)</f>
        <v>63.807941266216027</v>
      </c>
      <c r="M226" cm="1">
        <f t="array" ref="M226">rho_call(D226,A226,E226,B226,F226,C226)</f>
        <v>107.06109558869031</v>
      </c>
      <c r="N226" cm="1">
        <f t="array" ref="N226">rho_put(D226,A226,E226,B226,F226,C226)</f>
        <v>-368.55361666166669</v>
      </c>
    </row>
    <row r="227" spans="1:14" x14ac:dyDescent="0.3">
      <c r="A227">
        <v>100</v>
      </c>
      <c r="B227">
        <f t="shared" si="13"/>
        <v>0.01</v>
      </c>
      <c r="C227">
        <v>0.2</v>
      </c>
      <c r="D227">
        <v>80</v>
      </c>
      <c r="E227">
        <v>5</v>
      </c>
      <c r="F227">
        <v>0</v>
      </c>
      <c r="G227" cm="1">
        <f t="array" ref="G227">delta_call(D227,A227,E227,B227,F227,C227)</f>
        <v>0.4350411483736476</v>
      </c>
      <c r="H227" cm="1">
        <f t="array" ref="H227">delta_put(D227,A227,E227,B227,F227,C227)</f>
        <v>-0.5649588516263524</v>
      </c>
      <c r="I227" cm="1">
        <f t="array" ref="I227">theta_call(D227,A227,E227,B227,F227,C227)</f>
        <v>-1.6928909696792729</v>
      </c>
      <c r="J227" cm="1">
        <f t="array" ref="J227">theta_put(D227,A227,E227,B227,F227,C227)</f>
        <v>-1.6453294984542373</v>
      </c>
      <c r="K227" cm="1">
        <f t="array" ref="K227">gamma_new(D227,A227,E227,B227,F227,C227)</f>
        <v>1.1002627628314172E-2</v>
      </c>
      <c r="L227" cm="1">
        <f t="array" ref="L227">vega_new(D227,A227,E227,B227,F227,C227)</f>
        <v>70.416816821210716</v>
      </c>
      <c r="M227" cm="1">
        <f t="array" ref="M227">rho_call(D227,A227,E227,B227,F227,C227)</f>
        <v>128.73783982233832</v>
      </c>
      <c r="N227" cm="1">
        <f t="array" ref="N227">rho_put(D227,A227,E227,B227,F227,C227)</f>
        <v>-346.87687242801871</v>
      </c>
    </row>
    <row r="228" spans="1:14" x14ac:dyDescent="0.3">
      <c r="A228">
        <v>100</v>
      </c>
      <c r="B228">
        <f t="shared" si="13"/>
        <v>0.01</v>
      </c>
      <c r="C228">
        <v>0.2</v>
      </c>
      <c r="D228">
        <v>85</v>
      </c>
      <c r="E228">
        <v>5</v>
      </c>
      <c r="F228">
        <v>0</v>
      </c>
      <c r="G228" cm="1">
        <f t="array" ref="G228">delta_call(D228,A228,E228,B228,F228,C228)</f>
        <v>0.48883379634600066</v>
      </c>
      <c r="H228" cm="1">
        <f t="array" ref="H228">delta_put(D228,A228,E228,B228,F228,C228)</f>
        <v>-0.51116620365399934</v>
      </c>
      <c r="I228" cm="1">
        <f t="array" ref="I228">theta_call(D228,A228,E228,B228,F228,C228)</f>
        <v>-1.8495005687374202</v>
      </c>
      <c r="J228" cm="1">
        <f t="array" ref="J228">theta_put(D228,A228,E228,B228,F228,C228)</f>
        <v>-1.8019390975123846</v>
      </c>
      <c r="K228" cm="1">
        <f t="array" ref="K228">gamma_new(D228,A228,E228,B228,F228,C228)</f>
        <v>1.0490736571836448E-2</v>
      </c>
      <c r="L228" cm="1">
        <f t="array" ref="L228">vega_new(D228,A228,E228,B228,F228,C228)</f>
        <v>75.795571731518351</v>
      </c>
      <c r="M228" cm="1">
        <f t="array" ref="M228">rho_call(D228,A228,E228,B228,F228,C228)</f>
        <v>150.92196539513881</v>
      </c>
      <c r="N228" cm="1">
        <f t="array" ref="N228">rho_put(D228,A228,E228,B228,F228,C228)</f>
        <v>-324.69274685521816</v>
      </c>
    </row>
    <row r="229" spans="1:14" x14ac:dyDescent="0.3">
      <c r="A229">
        <v>100</v>
      </c>
      <c r="B229">
        <f t="shared" si="13"/>
        <v>0.01</v>
      </c>
      <c r="C229">
        <v>0.2</v>
      </c>
      <c r="D229">
        <v>90</v>
      </c>
      <c r="E229">
        <v>5</v>
      </c>
      <c r="F229">
        <v>0</v>
      </c>
      <c r="G229" cm="1">
        <f t="array" ref="G229">delta_call(D229,A229,E229,B229,F229,C229)</f>
        <v>0.53975516312316763</v>
      </c>
      <c r="H229" cm="1">
        <f t="array" ref="H229">delta_put(D229,A229,E229,B229,F229,C229)</f>
        <v>-0.46024483687683237</v>
      </c>
      <c r="I229" cm="1">
        <f t="array" ref="I229">theta_call(D229,A229,E229,B229,F229,C229)</f>
        <v>-1.9805492726477336</v>
      </c>
      <c r="J229" cm="1">
        <f t="array" ref="J229">theta_put(D229,A229,E229,B229,F229,C229)</f>
        <v>-1.932987801422698</v>
      </c>
      <c r="K229" cm="1">
        <f t="array" ref="K229">gamma_new(D229,A229,E229,B229,F229,C229)</f>
        <v>9.8625457284395694E-3</v>
      </c>
      <c r="L229" cm="1">
        <f t="array" ref="L229">vega_new(D229,A229,E229,B229,F229,C229)</f>
        <v>79.886620400360513</v>
      </c>
      <c r="M229" cm="1">
        <f t="array" ref="M229">rho_call(D229,A229,E229,B229,F229,C229)</f>
        <v>173.19351169097621</v>
      </c>
      <c r="N229" cm="1">
        <f t="array" ref="N229">rho_put(D229,A229,E229,B229,F229,C229)</f>
        <v>-302.42120055938079</v>
      </c>
    </row>
    <row r="230" spans="1:14" x14ac:dyDescent="0.3">
      <c r="A230">
        <v>100</v>
      </c>
      <c r="B230">
        <f t="shared" si="13"/>
        <v>0.01</v>
      </c>
      <c r="C230">
        <v>0.2</v>
      </c>
      <c r="D230">
        <v>95</v>
      </c>
      <c r="E230">
        <v>5</v>
      </c>
      <c r="F230">
        <v>0</v>
      </c>
      <c r="G230" cm="1">
        <f t="array" ref="G230">delta_call(D230,A230,E230,B230,F230,C230)</f>
        <v>0.58734278687654107</v>
      </c>
      <c r="H230" cm="1">
        <f t="array" ref="H230">delta_put(D230,A230,E230,B230,F230,C230)</f>
        <v>-0.41265721312345893</v>
      </c>
      <c r="I230" cm="1">
        <f t="array" ref="I230">theta_call(D230,A230,E230,B230,F230,C230)</f>
        <v>-2.0855814143872142</v>
      </c>
      <c r="J230" cm="1">
        <f t="array" ref="J230">theta_put(D230,A230,E230,B230,F230,C230)</f>
        <v>-2.0380199431621784</v>
      </c>
      <c r="K230" cm="1">
        <f t="array" ref="K230">gamma_new(D230,A230,E230,B230,F230,C230)</f>
        <v>9.1641696406864273E-3</v>
      </c>
      <c r="L230" cm="1">
        <f t="array" ref="L230">vega_new(D230,A230,E230,B230,F230,C230)</f>
        <v>82.706631007195014</v>
      </c>
      <c r="M230" cm="1">
        <f t="array" ref="M230">rho_call(D230,A230,E230,B230,F230,C230)</f>
        <v>195.1955064989242</v>
      </c>
      <c r="N230" cm="1">
        <f t="array" ref="N230">rho_put(D230,A230,E230,B230,F230,C230)</f>
        <v>-280.4192057514328</v>
      </c>
    </row>
    <row r="231" spans="1:14" x14ac:dyDescent="0.3">
      <c r="A231">
        <v>100</v>
      </c>
      <c r="B231">
        <f t="shared" si="13"/>
        <v>0.01</v>
      </c>
      <c r="C231">
        <v>0.2</v>
      </c>
      <c r="D231">
        <v>100</v>
      </c>
      <c r="E231">
        <v>5</v>
      </c>
      <c r="F231">
        <v>0</v>
      </c>
      <c r="G231" cm="1">
        <f t="array" ref="G231">delta_call(D231,A231,E231,B231,F231,C231)</f>
        <v>0.63134216139179089</v>
      </c>
      <c r="H231" cm="1">
        <f t="array" ref="H231">delta_put(D231,A231,E231,B231,F231,C231)</f>
        <v>-0.36865783860820911</v>
      </c>
      <c r="I231" cm="1">
        <f t="array" ref="I231">theta_call(D231,A231,E231,B231,F231,C231)</f>
        <v>-2.1653805878343673</v>
      </c>
      <c r="J231" cm="1">
        <f t="array" ref="J231">theta_put(D231,A231,E231,B231,F231,C231)</f>
        <v>-2.1178191166093314</v>
      </c>
      <c r="K231" cm="1">
        <f t="array" ref="K231">gamma_new(D231,A231,E231,B231,F231,C231)</f>
        <v>8.4326874401380626E-3</v>
      </c>
      <c r="L231" cm="1">
        <f t="array" ref="L231">vega_new(D231,A231,E231,B231,F231,C231)</f>
        <v>84.326874401380636</v>
      </c>
      <c r="M231" cm="1">
        <f t="array" ref="M231">rho_call(D231,A231,E231,B231,F231,C231)</f>
        <v>216.63757703673949</v>
      </c>
      <c r="N231" cm="1">
        <f t="array" ref="N231">rho_put(D231,A231,E231,B231,F231,C231)</f>
        <v>-258.97713521361754</v>
      </c>
    </row>
    <row r="232" spans="1:14" x14ac:dyDescent="0.3">
      <c r="A232">
        <v>100</v>
      </c>
      <c r="B232">
        <f t="shared" si="13"/>
        <v>0.01</v>
      </c>
      <c r="C232">
        <v>0.2</v>
      </c>
      <c r="D232">
        <v>105</v>
      </c>
      <c r="E232">
        <v>5</v>
      </c>
      <c r="F232">
        <v>0</v>
      </c>
      <c r="G232" cm="1">
        <f t="array" ref="G232">delta_call(D232,A232,E232,B232,F232,C232)</f>
        <v>0.67166244266164088</v>
      </c>
      <c r="H232" cm="1">
        <f t="array" ref="H232">delta_put(D232,A232,E232,B232,F232,C232)</f>
        <v>-0.32833755733835912</v>
      </c>
      <c r="I232" cm="1">
        <f t="array" ref="I232">theta_call(D232,A232,E232,B232,F232,C232)</f>
        <v>-2.2216061127607514</v>
      </c>
      <c r="J232" cm="1">
        <f t="array" ref="J232">theta_put(D232,A232,E232,B232,F232,C232)</f>
        <v>-2.1740446415357155</v>
      </c>
      <c r="K232" cm="1">
        <f t="array" ref="K232">gamma_new(D232,A232,E232,B232,F232,C232)</f>
        <v>7.6966219777363509E-3</v>
      </c>
      <c r="L232" cm="1">
        <f t="array" ref="L232">vega_new(D232,A232,E232,B232,F232,C232)</f>
        <v>84.855257304543272</v>
      </c>
      <c r="M232" cm="1">
        <f t="array" ref="M232">rho_call(D232,A232,E232,B232,F232,C232)</f>
        <v>237.29405021947213</v>
      </c>
      <c r="N232" cm="1">
        <f t="array" ref="N232">rho_put(D232,A232,E232,B232,F232,C232)</f>
        <v>-238.32066203088488</v>
      </c>
    </row>
    <row r="233" spans="1:14" x14ac:dyDescent="0.3">
      <c r="A233">
        <v>100</v>
      </c>
      <c r="B233">
        <f t="shared" si="13"/>
        <v>0.01</v>
      </c>
      <c r="C233">
        <v>0.2</v>
      </c>
      <c r="D233">
        <v>110</v>
      </c>
      <c r="E233">
        <v>5</v>
      </c>
      <c r="F233">
        <v>0</v>
      </c>
      <c r="G233" cm="1">
        <f t="array" ref="G233">delta_call(D233,A233,E233,B233,F233,C233)</f>
        <v>0.70833606363246282</v>
      </c>
      <c r="H233" cm="1">
        <f t="array" ref="H233">delta_put(D233,A233,E233,B233,F233,C233)</f>
        <v>-0.29166393636753718</v>
      </c>
      <c r="I233" cm="1">
        <f t="array" ref="I233">theta_call(D233,A233,E233,B233,F233,C233)</f>
        <v>-2.2564780018425803</v>
      </c>
      <c r="J233" cm="1">
        <f t="array" ref="J233">theta_put(D233,A233,E233,B233,F233,C233)</f>
        <v>-2.2089165306175444</v>
      </c>
      <c r="K233" cm="1">
        <f t="array" ref="K233">gamma_new(D233,A233,E233,B233,F233,C233)</f>
        <v>6.9769553505238452E-3</v>
      </c>
      <c r="L233" cm="1">
        <f t="array" ref="L233">vega_new(D233,A233,E233,B233,F233,C233)</f>
        <v>84.421159741338542</v>
      </c>
      <c r="M233" cm="1">
        <f t="array" ref="M233">rho_call(D233,A233,E233,B233,F233,C233)</f>
        <v>256.9986224415502</v>
      </c>
      <c r="N233" cm="1">
        <f t="array" ref="N233">rho_put(D233,A233,E233,B233,F233,C233)</f>
        <v>-218.61608980880681</v>
      </c>
    </row>
    <row r="234" spans="1:14" x14ac:dyDescent="0.3">
      <c r="A234">
        <v>100</v>
      </c>
      <c r="B234">
        <f t="shared" si="13"/>
        <v>0.01</v>
      </c>
      <c r="C234">
        <v>0.2</v>
      </c>
      <c r="D234">
        <v>115</v>
      </c>
      <c r="E234">
        <v>5</v>
      </c>
      <c r="F234">
        <v>0</v>
      </c>
      <c r="G234" cm="1">
        <f t="array" ref="G234">delta_call(D234,A234,E234,B234,F234,C234)</f>
        <v>0.74148404620256403</v>
      </c>
      <c r="H234" cm="1">
        <f t="array" ref="H234">delta_put(D234,A234,E234,B234,F234,C234)</f>
        <v>-0.25851595379743597</v>
      </c>
      <c r="I234" cm="1">
        <f t="array" ref="I234">theta_call(D234,A234,E234,B234,F234,C234)</f>
        <v>-2.2725208175366562</v>
      </c>
      <c r="J234" cm="1">
        <f t="array" ref="J234">theta_put(D234,A234,E234,B234,F234,C234)</f>
        <v>-2.2249593463116204</v>
      </c>
      <c r="K234" cm="1">
        <f t="array" ref="K234">gamma_new(D234,A234,E234,B234,F234,C234)</f>
        <v>6.2883493733863101E-3</v>
      </c>
      <c r="L234" cm="1">
        <f t="array" ref="L234">vega_new(D234,A234,E234,B234,F234,C234)</f>
        <v>83.163420463033972</v>
      </c>
      <c r="M234" cm="1">
        <f t="array" ref="M234">rho_call(D234,A234,E234,B234,F234,C234)</f>
        <v>275.63718801831254</v>
      </c>
      <c r="N234" cm="1">
        <f t="array" ref="N234">rho_put(D234,A234,E234,B234,F234,C234)</f>
        <v>-199.97752423204446</v>
      </c>
    </row>
    <row r="235" spans="1:14" x14ac:dyDescent="0.3">
      <c r="A235">
        <v>100</v>
      </c>
      <c r="B235">
        <f t="shared" si="13"/>
        <v>0.01</v>
      </c>
      <c r="C235">
        <v>0.2</v>
      </c>
      <c r="D235">
        <v>120</v>
      </c>
      <c r="E235">
        <v>5</v>
      </c>
      <c r="F235">
        <v>0</v>
      </c>
      <c r="G235" cm="1">
        <f t="array" ref="G235">delta_call(D235,A235,E235,B235,F235,C235)</f>
        <v>0.77128749032735988</v>
      </c>
      <c r="H235" cm="1">
        <f t="array" ref="H235">delta_put(D235,A235,E235,B235,F235,C235)</f>
        <v>-0.22871250967264012</v>
      </c>
      <c r="I235" cm="1">
        <f t="array" ref="I235">theta_call(D235,A235,E235,B235,F235,C235)</f>
        <v>-2.2723664855228907</v>
      </c>
      <c r="J235" cm="1">
        <f t="array" ref="J235">theta_put(D235,A235,E235,B235,F235,C235)</f>
        <v>-2.2248050142978548</v>
      </c>
      <c r="K235" cm="1">
        <f t="array" ref="K235">gamma_new(D235,A235,E235,B235,F235,C235)</f>
        <v>5.6403714114604637E-3</v>
      </c>
      <c r="L235" cm="1">
        <f t="array" ref="L235">vega_new(D235,A235,E235,B235,F235,C235)</f>
        <v>81.221348325030689</v>
      </c>
      <c r="M235" cm="1">
        <f t="array" ref="M235">rho_call(D235,A235,E235,B235,F235,C235)</f>
        <v>293.13996071778939</v>
      </c>
      <c r="N235" cm="1">
        <f t="array" ref="N235">rho_put(D235,A235,E235,B235,F235,C235)</f>
        <v>-182.47475153256761</v>
      </c>
    </row>
    <row r="236" spans="1:14" x14ac:dyDescent="0.3">
      <c r="A236">
        <v>100</v>
      </c>
      <c r="B236">
        <f t="shared" si="13"/>
        <v>0.01</v>
      </c>
      <c r="C236">
        <v>0.2</v>
      </c>
      <c r="D236">
        <v>125</v>
      </c>
      <c r="E236">
        <v>5</v>
      </c>
      <c r="F236">
        <v>0</v>
      </c>
      <c r="G236" cm="1">
        <f t="array" ref="G236">delta_call(D236,A236,E236,B236,F236,C236)</f>
        <v>0.79796496558691377</v>
      </c>
      <c r="H236" cm="1">
        <f t="array" ref="H236">delta_put(D236,A236,E236,B236,F236,C236)</f>
        <v>-0.20203503441308623</v>
      </c>
      <c r="I236" cm="1">
        <f t="array" ref="I236">theta_call(D236,A236,E236,B236,F236,C236)</f>
        <v>-2.2586104377834699</v>
      </c>
      <c r="J236" cm="1">
        <f t="array" ref="J236">theta_put(D236,A236,E236,B236,F236,C236)</f>
        <v>-2.2110489665584341</v>
      </c>
      <c r="K236" cm="1">
        <f t="array" ref="K236">gamma_new(D236,A236,E236,B236,F236,C236)</f>
        <v>5.0386172534840892E-3</v>
      </c>
      <c r="L236" cm="1">
        <f t="array" ref="L236">vega_new(D236,A236,E236,B236,F236,C236)</f>
        <v>78.728394585688903</v>
      </c>
      <c r="M236" cm="1">
        <f t="array" ref="M236">rho_call(D236,A236,E236,B236,F236,C236)</f>
        <v>309.47364560622196</v>
      </c>
      <c r="N236" cm="1">
        <f t="array" ref="N236">rho_put(D236,A236,E236,B236,F236,C236)</f>
        <v>-166.14106664413504</v>
      </c>
    </row>
    <row r="237" spans="1:14" x14ac:dyDescent="0.3">
      <c r="A237">
        <v>100</v>
      </c>
      <c r="B237">
        <f t="shared" si="13"/>
        <v>0.01</v>
      </c>
      <c r="C237">
        <v>0.2</v>
      </c>
      <c r="D237">
        <v>130</v>
      </c>
      <c r="E237">
        <v>5</v>
      </c>
      <c r="F237">
        <v>0</v>
      </c>
      <c r="G237" cm="1">
        <f t="array" ref="G237">delta_call(D237,A237,E237,B237,F237,C237)</f>
        <v>0.82175514850703979</v>
      </c>
      <c r="H237" cm="1">
        <f t="array" ref="H237">delta_put(D237,A237,E237,B237,F237,C237)</f>
        <v>-0.17824485149296021</v>
      </c>
      <c r="I237" cm="1">
        <f t="array" ref="I237">theta_call(D237,A237,E237,B237,F237,C237)</f>
        <v>-2.233712892040332</v>
      </c>
      <c r="J237" cm="1">
        <f t="array" ref="J237">theta_put(D237,A237,E237,B237,F237,C237)</f>
        <v>-2.1861514208152961</v>
      </c>
      <c r="K237" cm="1">
        <f t="array" ref="K237">gamma_new(D237,A237,E237,B237,F237,C237)</f>
        <v>4.4856819490140861E-3</v>
      </c>
      <c r="L237" cm="1">
        <f t="array" ref="L237">vega_new(D237,A237,E237,B237,F237,C237)</f>
        <v>75.808024938338079</v>
      </c>
      <c r="M237" cm="1">
        <f t="array" ref="M237">rho_call(D237,A237,E237,B237,F237,C237)</f>
        <v>324.63412741759055</v>
      </c>
      <c r="N237" cm="1">
        <f t="array" ref="N237">rho_put(D237,A237,E237,B237,F237,C237)</f>
        <v>-150.98058483276645</v>
      </c>
    </row>
    <row r="238" spans="1:14" x14ac:dyDescent="0.3">
      <c r="A238">
        <v>100</v>
      </c>
      <c r="B238">
        <f t="shared" si="13"/>
        <v>0.01</v>
      </c>
      <c r="C238">
        <v>0.2</v>
      </c>
      <c r="D238">
        <v>135</v>
      </c>
      <c r="E238">
        <v>5</v>
      </c>
      <c r="F238">
        <v>0</v>
      </c>
      <c r="G238" cm="1">
        <f t="array" ref="G238">delta_call(D238,A238,E238,B238,F238,C238)</f>
        <v>0.8429039016580514</v>
      </c>
      <c r="H238" cm="1">
        <f t="array" ref="H238">delta_put(D238,A238,E238,B238,F238,C238)</f>
        <v>-0.1570960983419486</v>
      </c>
      <c r="I238" cm="1">
        <f t="array" ref="I238">theta_call(D238,A238,E238,B238,F238,C238)</f>
        <v>-2.1999364597285593</v>
      </c>
      <c r="J238" cm="1">
        <f t="array" ref="J238">theta_put(D238,A238,E238,B238,F238,C238)</f>
        <v>-2.1523749885035235</v>
      </c>
      <c r="K238" cm="1">
        <f t="array" ref="K238">gamma_new(D238,A238,E238,B238,F238,C238)</f>
        <v>3.9819655859202495E-3</v>
      </c>
      <c r="L238" cm="1">
        <f t="array" ref="L238">vega_new(D238,A238,E238,B238,F238,C238)</f>
        <v>72.571322803396555</v>
      </c>
      <c r="M238" cm="1">
        <f t="array" ref="M238">rho_call(D238,A238,E238,B238,F238,C238)</f>
        <v>338.63992954318462</v>
      </c>
      <c r="N238" cm="1">
        <f t="array" ref="N238">rho_put(D238,A238,E238,B238,F238,C238)</f>
        <v>-136.97478270717238</v>
      </c>
    </row>
    <row r="239" spans="1:14" x14ac:dyDescent="0.3">
      <c r="A239">
        <v>100</v>
      </c>
      <c r="B239">
        <f t="shared" si="13"/>
        <v>0.01</v>
      </c>
      <c r="C239">
        <v>0.2</v>
      </c>
      <c r="D239">
        <v>140</v>
      </c>
      <c r="E239">
        <v>5</v>
      </c>
      <c r="F239">
        <v>0</v>
      </c>
      <c r="G239" cm="1">
        <f t="array" ref="G239">delta_call(D239,A239,E239,B239,F239,C239)</f>
        <v>0.86165498136593754</v>
      </c>
      <c r="H239" cm="1">
        <f t="array" ref="H239">delta_put(D239,A239,E239,B239,F239,C239)</f>
        <v>-0.13834501863406246</v>
      </c>
      <c r="I239" cm="1">
        <f t="array" ref="I239">theta_call(D239,A239,E239,B239,F239,C239)</f>
        <v>-2.1593117694847401</v>
      </c>
      <c r="J239" cm="1">
        <f t="array" ref="J239">theta_put(D239,A239,E239,B239,F239,C239)</f>
        <v>-2.1117502982597043</v>
      </c>
      <c r="K239" cm="1">
        <f t="array" ref="K239">gamma_new(D239,A239,E239,B239,F239,C239)</f>
        <v>3.5263212434632854E-3</v>
      </c>
      <c r="L239" cm="1">
        <f t="array" ref="L239">vega_new(D239,A239,E239,B239,F239,C239)</f>
        <v>69.115896371880396</v>
      </c>
      <c r="M239" cm="1">
        <f t="array" ref="M239">rho_call(D239,A239,E239,B239,F239,C239)</f>
        <v>351.52655093388364</v>
      </c>
      <c r="N239" cm="1">
        <f t="array" ref="N239">rho_put(D239,A239,E239,B239,F239,C239)</f>
        <v>-124.08816131647336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B56BD-39E6-4737-B8D5-03DAFB74A359}">
  <sheetPr codeName="Foglio3"/>
  <dimension ref="A1:AC289"/>
  <sheetViews>
    <sheetView topLeftCell="I241" workbookViewId="0">
      <selection activeCell="F127" sqref="F127:S127"/>
    </sheetView>
  </sheetViews>
  <sheetFormatPr defaultRowHeight="14.4" x14ac:dyDescent="0.3"/>
  <cols>
    <col min="6" max="19" width="12.6640625" bestFit="1" customWidth="1"/>
  </cols>
  <sheetData>
    <row r="1" spans="1:29" s="9" customFormat="1" x14ac:dyDescent="0.3">
      <c r="A1" s="8" t="s">
        <v>27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x14ac:dyDescent="0.3">
      <c r="A2" t="s">
        <v>13</v>
      </c>
      <c r="B2" t="s">
        <v>14</v>
      </c>
      <c r="C2" t="s">
        <v>15</v>
      </c>
      <c r="D2" t="s">
        <v>26</v>
      </c>
      <c r="F2" s="7">
        <v>0.1</v>
      </c>
      <c r="G2" s="7">
        <v>0.2</v>
      </c>
      <c r="H2" s="7">
        <v>0.3</v>
      </c>
      <c r="I2" s="7">
        <v>0.4</v>
      </c>
      <c r="J2" s="7">
        <v>0.5</v>
      </c>
      <c r="K2" s="7">
        <v>0.6</v>
      </c>
      <c r="L2" s="7">
        <v>0.7</v>
      </c>
      <c r="M2" s="7">
        <v>0.8</v>
      </c>
      <c r="N2" s="7">
        <v>0.9</v>
      </c>
      <c r="O2" s="7">
        <v>1</v>
      </c>
      <c r="P2" s="7">
        <v>2</v>
      </c>
      <c r="Q2" s="7">
        <v>3</v>
      </c>
      <c r="R2" s="7">
        <v>4</v>
      </c>
      <c r="S2" s="7">
        <v>5</v>
      </c>
    </row>
    <row r="3" spans="1:29" x14ac:dyDescent="0.3">
      <c r="A3">
        <v>100</v>
      </c>
      <c r="B3">
        <f>1/100</f>
        <v>0.01</v>
      </c>
      <c r="C3">
        <v>0.2</v>
      </c>
      <c r="D3">
        <v>0</v>
      </c>
      <c r="E3" s="5">
        <v>60</v>
      </c>
      <c r="F3" cm="1">
        <f t="array" ref="F3">delta_call(E3,A3,0.1,B3,D3,C3)</f>
        <v>4.8964030371399111E-16</v>
      </c>
      <c r="G3" cm="1">
        <f t="array" ref="G3">delta_call(E3,A3,0.2,B3,D3,C3)</f>
        <v>8.3013130785334355E-9</v>
      </c>
      <c r="H3" cm="1">
        <f t="array" ref="H3">delta_call(E3,A3,0.3,B3,D3,C3)</f>
        <v>2.3135653326617214E-6</v>
      </c>
      <c r="I3" cm="1">
        <f t="array" ref="I3">delta_call(E3,A3,0.4,B3,D3,C3)</f>
        <v>4.0139975424484934E-5</v>
      </c>
      <c r="J3" cm="1">
        <f t="array" ref="J3">delta_call(E3,A3,0.5,B3,D3,C3)</f>
        <v>2.2743341786876357E-4</v>
      </c>
      <c r="K3" cm="1">
        <f t="array" ref="K3">delta_call(E3,A3,0.6,B3,D3,C3)</f>
        <v>7.3339315349598864E-4</v>
      </c>
      <c r="L3" cm="1">
        <f t="array" ref="L3">delta_call(E3,A3,0.7,B3,D3,C3)</f>
        <v>1.7097704105366416E-3</v>
      </c>
      <c r="M3" cm="1">
        <f t="array" ref="M3">delta_call(E3,A3,0.8,B3,D3,C3)</f>
        <v>3.2499291224938613E-3</v>
      </c>
      <c r="N3" cm="1">
        <f t="array" ref="N3">delta_call(E3,A3,0.9,B3,D3,C3)</f>
        <v>5.3863786913071277E-3</v>
      </c>
      <c r="O3" cm="1">
        <f t="array" ref="O3">delta_call(E3,A3,1,B3,D3,C3)</f>
        <v>8.1055453543928818E-3</v>
      </c>
      <c r="P3" cm="1">
        <f t="array" ref="P3">delta_call(E3,A3,2,B3,D3,C3)</f>
        <v>5.5478177979400571E-2</v>
      </c>
      <c r="Q3" cm="1">
        <f t="array" ref="Q3">delta_call(E3,A3,3,B3,D3,C3)</f>
        <v>0.11221757852337162</v>
      </c>
      <c r="R3" cm="1">
        <f t="array" ref="R3">delta_call(E3,A3,4,B3,D3,C3)</f>
        <v>0.16426871972840887</v>
      </c>
      <c r="S3" cm="1">
        <f t="array" ref="S3">delta_call(E3,A3,5,B3,D3,C3)</f>
        <v>0.20988203686100165</v>
      </c>
    </row>
    <row r="4" spans="1:29" x14ac:dyDescent="0.3">
      <c r="A4">
        <v>100</v>
      </c>
      <c r="B4">
        <f t="shared" ref="B4:B19" si="0">1/100</f>
        <v>0.01</v>
      </c>
      <c r="C4">
        <v>0.2</v>
      </c>
      <c r="D4">
        <v>0</v>
      </c>
      <c r="E4" s="5">
        <v>65</v>
      </c>
      <c r="F4" cm="1">
        <f t="array" ref="F4">delta_call(E4,A4,0.1,B4,D4,C4)</f>
        <v>6.7189909908190016E-12</v>
      </c>
      <c r="G4" cm="1">
        <f t="array" ref="G4">delta_call(E4,A4,0.2,B4,D4,C4)</f>
        <v>1.0210267589266487E-6</v>
      </c>
      <c r="H4" cm="1">
        <f t="array" ref="H4">delta_call(E4,A4,0.3,B4,D4,C4)</f>
        <v>5.8978518150786922E-5</v>
      </c>
      <c r="I4" cm="1">
        <f t="array" ref="I4">delta_call(E4,A4,0.4,B4,D4,C4)</f>
        <v>4.6519881412379274E-4</v>
      </c>
      <c r="J4" cm="1">
        <f t="array" ref="J4">delta_call(E4,A4,0.5,B4,D4,C4)</f>
        <v>1.6409066155964737E-3</v>
      </c>
      <c r="K4" cm="1">
        <f t="array" ref="K4">delta_call(E4,A4,0.6,B4,D4,C4)</f>
        <v>3.8551173459696964E-3</v>
      </c>
      <c r="L4" cm="1">
        <f t="array" ref="L4">delta_call(E4,A4,0.7,B4,D4,C4)</f>
        <v>7.1642370961297339E-3</v>
      </c>
      <c r="M4" cm="1">
        <f t="array" ref="M4">delta_call(E4,A4,0.8,B4,D4,C4)</f>
        <v>1.1483425231958777E-2</v>
      </c>
      <c r="N4" cm="1">
        <f t="array" ref="N4">delta_call(E4,A4,0.9,B4,D4,C4)</f>
        <v>1.6663450654240821E-2</v>
      </c>
      <c r="O4" cm="1">
        <f t="array" ref="O4">delta_call(E4,A4,1,B4,D4,C4)</f>
        <v>2.2539605701555526E-2</v>
      </c>
      <c r="P4" cm="1">
        <f t="array" ref="P4">delta_call(E4,A4,2,B4,D4,C4)</f>
        <v>9.4943144684704661E-2</v>
      </c>
      <c r="Q4" cm="1">
        <f t="array" ref="Q4">delta_call(E4,A4,3,B4,D4,C4)</f>
        <v>0.16261786177644788</v>
      </c>
      <c r="R4" cm="1">
        <f t="array" ref="R4">delta_call(E4,A4,4,B4,D4,C4)</f>
        <v>0.21859198446496683</v>
      </c>
      <c r="S4" cm="1">
        <f t="array" ref="S4">delta_call(E4,A4,5,B4,D4,C4)</f>
        <v>0.26505120645503799</v>
      </c>
    </row>
    <row r="5" spans="1:29" x14ac:dyDescent="0.3">
      <c r="A5">
        <v>100</v>
      </c>
      <c r="B5">
        <f t="shared" si="0"/>
        <v>0.01</v>
      </c>
      <c r="C5">
        <v>0.2</v>
      </c>
      <c r="D5">
        <v>0</v>
      </c>
      <c r="E5" s="5">
        <v>70</v>
      </c>
      <c r="F5" cm="1">
        <f t="array" ref="F5">delta_call(E5,A5,0.1,B5,D5,C5)</f>
        <v>1.1217502453550677E-8</v>
      </c>
      <c r="G5" cm="1">
        <f t="array" ref="G5">delta_call(E5,A5,0.2,B5,D5,C5)</f>
        <v>4.4152463014191854E-5</v>
      </c>
      <c r="H5" cm="1">
        <f t="array" ref="H5">delta_call(E5,A5,0.3,B5,D5,C5)</f>
        <v>7.522257491842688E-4</v>
      </c>
      <c r="I5" cm="1">
        <f t="array" ref="I5">delta_call(E5,A5,0.4,B5,D5,C5)</f>
        <v>3.2160999955850558E-3</v>
      </c>
      <c r="J5" cm="1">
        <f t="array" ref="J5">delta_call(E5,A5,0.5,B5,D5,C5)</f>
        <v>7.8458863408448522E-3</v>
      </c>
      <c r="K5" cm="1">
        <f t="array" ref="K5">delta_call(E5,A5,0.6,B5,D5,C5)</f>
        <v>1.4402778602930108E-2</v>
      </c>
      <c r="L5" cm="1">
        <f t="array" ref="L5">delta_call(E5,A5,0.7,B5,D5,C5)</f>
        <v>2.242591118396205E-2</v>
      </c>
      <c r="M5" cm="1">
        <f t="array" ref="M5">delta_call(E5,A5,0.8,B5,D5,C5)</f>
        <v>3.1463320553836806E-2</v>
      </c>
      <c r="N5" cm="1">
        <f t="array" ref="N5">delta_call(E5,A5,0.9,B5,D5,C5)</f>
        <v>4.1145992558525323E-2</v>
      </c>
      <c r="O5" cm="1">
        <f t="array" ref="O5">delta_call(E5,A5,1,B5,D5,C5)</f>
        <v>5.1195105289887979E-2</v>
      </c>
      <c r="P5" cm="1">
        <f t="array" ref="P5">delta_call(E5,A5,2,B5,D5,C5)</f>
        <v>0.14711107776501314</v>
      </c>
      <c r="Q5" cm="1">
        <f t="array" ref="Q5">delta_call(E5,A5,3,B5,D5,C5)</f>
        <v>0.22070207540533249</v>
      </c>
      <c r="R5" cm="1">
        <f t="array" ref="R5">delta_call(E5,A5,4,B5,D5,C5)</f>
        <v>0.27702998118727484</v>
      </c>
      <c r="S5" cm="1">
        <f t="array" ref="S5">delta_call(E5,A5,5,B5,D5,C5)</f>
        <v>0.32199074177395015</v>
      </c>
    </row>
    <row r="6" spans="1:29" x14ac:dyDescent="0.3">
      <c r="A6">
        <v>100</v>
      </c>
      <c r="B6">
        <f t="shared" si="0"/>
        <v>0.01</v>
      </c>
      <c r="C6">
        <v>0.2</v>
      </c>
      <c r="D6">
        <v>0</v>
      </c>
      <c r="E6" s="5">
        <v>75</v>
      </c>
      <c r="F6" cm="1">
        <f t="array" ref="F6">delta_call(E6,A6,0.1,B6,D6,C6)</f>
        <v>3.3782456328086734E-6</v>
      </c>
      <c r="G6" cm="1">
        <f t="array" ref="G6">delta_call(E6,A6,0.2,B6,D6,C6)</f>
        <v>8.1830678243053191E-4</v>
      </c>
      <c r="H6" cm="1">
        <f t="array" ref="H6">delta_call(E6,A6,0.3,B6,D6,C6)</f>
        <v>5.4794346275411467E-3</v>
      </c>
      <c r="I6" cm="1">
        <f t="array" ref="I6">delta_call(E6,A6,0.4,B6,D6,C6)</f>
        <v>1.4648825269289092E-2</v>
      </c>
      <c r="J6" cm="1">
        <f t="array" ref="J6">delta_call(E6,A6,0.5,B6,D6,C6)</f>
        <v>2.6918022682862655E-2</v>
      </c>
      <c r="K6" cm="1">
        <f t="array" ref="K6">delta_call(E6,A6,0.6,B6,D6,C6)</f>
        <v>4.0860172111759581E-2</v>
      </c>
      <c r="L6" cm="1">
        <f t="array" ref="L6">delta_call(E6,A6,0.7,B6,D6,C6)</f>
        <v>5.5498237073536447E-2</v>
      </c>
      <c r="M6" cm="1">
        <f t="array" ref="M6">delta_call(E6,A6,0.8,B6,D6,C6)</f>
        <v>7.0237080583764377E-2</v>
      </c>
      <c r="N6" cm="1">
        <f t="array" ref="N6">delta_call(E6,A6,0.9,B6,D6,C6)</f>
        <v>8.4734011793984806E-2</v>
      </c>
      <c r="O6" cm="1">
        <f t="array" ref="O6">delta_call(E6,A6,1,B6,D6,C6)</f>
        <v>9.88015767617475E-2</v>
      </c>
      <c r="P6" cm="1">
        <f t="array" ref="P6">delta_call(E6,A6,2,B6,D6,C6)</f>
        <v>0.21041627797587964</v>
      </c>
      <c r="Q6" cm="1">
        <f t="array" ref="Q6">delta_call(E6,A6,3,B6,D6,C6)</f>
        <v>0.2841154119321706</v>
      </c>
      <c r="R6" cm="1">
        <f t="array" ref="R6">delta_call(E6,A6,4,B6,D6,C6)</f>
        <v>0.33753309294546507</v>
      </c>
      <c r="S6" cm="1">
        <f t="array" ref="S6">delta_call(E6,A6,5,B6,D6,C6)</f>
        <v>0.37909196897565967</v>
      </c>
    </row>
    <row r="7" spans="1:29" x14ac:dyDescent="0.3">
      <c r="A7">
        <v>100</v>
      </c>
      <c r="B7">
        <f t="shared" si="0"/>
        <v>0.01</v>
      </c>
      <c r="C7">
        <v>0.2</v>
      </c>
      <c r="D7">
        <v>0</v>
      </c>
      <c r="E7" s="5">
        <v>80</v>
      </c>
      <c r="F7" cm="1">
        <f t="array" ref="F7">delta_call(E7,A7,0.1,B7,D7,C7)</f>
        <v>2.4998248472572982E-4</v>
      </c>
      <c r="G7" cm="1">
        <f t="array" ref="G7">delta_call(E7,A7,0.2,B7,D7,C7)</f>
        <v>7.5966424381891306E-3</v>
      </c>
      <c r="H7" cm="1">
        <f t="array" ref="H7">delta_call(E7,A7,0.3,B7,D7,C7)</f>
        <v>2.5300139283739118E-2</v>
      </c>
      <c r="I7" cm="1">
        <f t="array" ref="I7">delta_call(E7,A7,0.4,B7,D7,C7)</f>
        <v>4.7535275559280651E-2</v>
      </c>
      <c r="J7" cm="1">
        <f t="array" ref="J7">delta_call(E7,A7,0.5,B7,D7,C7)</f>
        <v>7.0537829580775729E-2</v>
      </c>
      <c r="K7" cm="1">
        <f t="array" ref="K7">delta_call(E7,A7,0.6,B7,D7,C7)</f>
        <v>9.2718991154622718E-2</v>
      </c>
      <c r="L7" cm="1">
        <f t="array" ref="L7">delta_call(E7,A7,0.7,B7,D7,C7)</f>
        <v>0.11351617326502472</v>
      </c>
      <c r="M7" cm="1">
        <f t="array" ref="M7">delta_call(E7,A7,0.8,B7,D7,C7)</f>
        <v>0.13280133237005642</v>
      </c>
      <c r="N7" cm="1">
        <f t="array" ref="N7">delta_call(E7,A7,0.9,B7,D7,C7)</f>
        <v>0.1506224847545854</v>
      </c>
      <c r="O7" cm="1">
        <f t="array" ref="O7">delta_call(E7,A7,1,B7,D7,C7)</f>
        <v>0.16709271590694216</v>
      </c>
      <c r="P7" cm="1">
        <f t="array" ref="P7">delta_call(E7,A7,2,B7,D7,C7)</f>
        <v>0.2820374343620774</v>
      </c>
      <c r="Q7" cm="1">
        <f t="array" ref="Q7">delta_call(E7,A7,3,B7,D7,C7)</f>
        <v>0.35035866509647884</v>
      </c>
      <c r="R7" cm="1">
        <f t="array" ref="R7">delta_call(E7,A7,4,B7,D7,C7)</f>
        <v>0.39825791110296049</v>
      </c>
      <c r="S7" cm="1">
        <f t="array" ref="S7">delta_call(E7,A7,5,B7,D7,C7)</f>
        <v>0.4350411483736476</v>
      </c>
    </row>
    <row r="8" spans="1:29" x14ac:dyDescent="0.3">
      <c r="A8">
        <v>100</v>
      </c>
      <c r="B8">
        <f t="shared" si="0"/>
        <v>0.01</v>
      </c>
      <c r="C8">
        <v>0.2</v>
      </c>
      <c r="D8">
        <v>0</v>
      </c>
      <c r="E8" s="5">
        <v>85</v>
      </c>
      <c r="F8" cm="1">
        <f t="array" ref="F8">delta_call(E8,A8,0.1,B8,D8,C8)</f>
        <v>5.830908137902522E-3</v>
      </c>
      <c r="G8" cm="1">
        <f t="array" ref="G8">delta_call(E8,A8,0.2,B8,D8,C8)</f>
        <v>4.006477982445996E-2</v>
      </c>
      <c r="H8" cm="1">
        <f t="array" ref="H8">delta_call(E8,A8,0.3,B8,D8,C8)</f>
        <v>8.0542811303141587E-2</v>
      </c>
      <c r="I8" cm="1">
        <f t="array" ref="I8">delta_call(E8,A8,0.4,B8,D8,C8)</f>
        <v>0.11703172121234477</v>
      </c>
      <c r="J8" cm="1">
        <f t="array" ref="J8">delta_call(E8,A8,0.5,B8,D8,C8)</f>
        <v>0.14844720364554423</v>
      </c>
      <c r="K8" cm="1">
        <f t="array" ref="K8">delta_call(E8,A8,0.6,B8,D8,C8)</f>
        <v>0.17544466250951118</v>
      </c>
      <c r="L8" cm="1">
        <f t="array" ref="L8">delta_call(E8,A8,0.7,B8,D8,C8)</f>
        <v>0.19884963648426759</v>
      </c>
      <c r="M8" cm="1">
        <f t="array" ref="M8">delta_call(E8,A8,0.8,B8,D8,C8)</f>
        <v>0.21936358982447046</v>
      </c>
      <c r="N8" cm="1">
        <f t="array" ref="N8">delta_call(E8,A8,0.9,B8,D8,C8)</f>
        <v>0.23753708342668733</v>
      </c>
      <c r="O8" cm="1">
        <f t="array" ref="O8">delta_call(E8,A8,1,B8,D8,C8)</f>
        <v>0.2537950995737065</v>
      </c>
      <c r="P8" cm="1">
        <f t="array" ref="P8">delta_call(E8,A8,2,B8,D8,C8)</f>
        <v>0.35850447187481504</v>
      </c>
      <c r="Q8" cm="1">
        <f t="array" ref="Q8">delta_call(E8,A8,3,B8,D8,C8)</f>
        <v>0.41708980700977716</v>
      </c>
      <c r="R8" cm="1">
        <f t="array" ref="R8">delta_call(E8,A8,4,B8,D8,C8)</f>
        <v>0.45767322745215844</v>
      </c>
      <c r="S8" cm="1">
        <f t="array" ref="S8">delta_call(E8,A8,5,B8,D8,C8)</f>
        <v>0.48883379634600066</v>
      </c>
    </row>
    <row r="9" spans="1:29" x14ac:dyDescent="0.3">
      <c r="A9">
        <v>100</v>
      </c>
      <c r="B9">
        <f t="shared" si="0"/>
        <v>0.01</v>
      </c>
      <c r="C9">
        <v>0.2</v>
      </c>
      <c r="D9">
        <v>0</v>
      </c>
      <c r="E9" s="5">
        <v>90</v>
      </c>
      <c r="F9" cm="1">
        <f t="array" ref="F9">delta_call(E9,A9,0.1,B9,D9,C9)</f>
        <v>5.2781549996934837E-2</v>
      </c>
      <c r="G9" cm="1">
        <f t="array" ref="G9">delta_call(E9,A9,0.2,B9,D9,C9)</f>
        <v>0.13330906924780192</v>
      </c>
      <c r="H9" cm="1">
        <f t="array" ref="H9">delta_call(E9,A9,0.3,B9,D9,C9)</f>
        <v>0.18952524812777746</v>
      </c>
      <c r="I9" cm="1">
        <f t="array" ref="I9">delta_call(E9,A9,0.4,B9,D9,C9)</f>
        <v>0.23023301469857285</v>
      </c>
      <c r="J9" cm="1">
        <f t="array" ref="J9">delta_call(E9,A9,0.5,B9,D9,C9)</f>
        <v>0.26142924756390218</v>
      </c>
      <c r="K9" cm="1">
        <f t="array" ref="K9">delta_call(E9,A9,0.6,B9,D9,C9)</f>
        <v>0.28640779285454132</v>
      </c>
      <c r="L9" cm="1">
        <f t="array" ref="L9">delta_call(E9,A9,0.7,B9,D9,C9)</f>
        <v>0.30707780777053395</v>
      </c>
      <c r="M9" cm="1">
        <f t="array" ref="M9">delta_call(E9,A9,0.8,B9,D9,C9)</f>
        <v>0.32461969070784658</v>
      </c>
      <c r="N9" cm="1">
        <f t="array" ref="N9">delta_call(E9,A9,0.9,B9,D9,C9)</f>
        <v>0.3398047061837523</v>
      </c>
      <c r="O9" cm="1">
        <f t="array" ref="O9">delta_call(E9,A9,1,B9,D9,C9)</f>
        <v>0.35316016226972924</v>
      </c>
      <c r="P9" cm="1">
        <f t="array" ref="P9">delta_call(E9,A9,2,B9,D9,C9)</f>
        <v>0.43629337610345331</v>
      </c>
      <c r="Q9" cm="1">
        <f t="array" ref="Q9">delta_call(E9,A9,3,B9,D9,C9)</f>
        <v>0.48231590099564647</v>
      </c>
      <c r="R9" cm="1">
        <f t="array" ref="R9">delta_call(E9,A9,4,B9,D9,C9)</f>
        <v>0.51459751428423428</v>
      </c>
      <c r="S9" cm="1">
        <f t="array" ref="S9">delta_call(E9,A9,5,B9,D9,C9)</f>
        <v>0.53975516312316763</v>
      </c>
    </row>
    <row r="10" spans="1:29" x14ac:dyDescent="0.3">
      <c r="A10">
        <v>100</v>
      </c>
      <c r="B10">
        <f t="shared" si="0"/>
        <v>0.01</v>
      </c>
      <c r="C10">
        <v>0.2</v>
      </c>
      <c r="D10">
        <v>0</v>
      </c>
      <c r="E10" s="5">
        <v>95</v>
      </c>
      <c r="F10" cm="1">
        <f t="array" ref="F10">delta_call(E10,A10,0.1,B10,D10,C10)</f>
        <v>0.22255758462414449</v>
      </c>
      <c r="G10" cm="1">
        <f t="array" ref="G10">delta_call(E10,A10,0.2,B10,D10,C10)</f>
        <v>0.3062898934344146</v>
      </c>
      <c r="H10" cm="1">
        <f t="array" ref="H10">delta_call(E10,A10,0.3,B10,D10,C10)</f>
        <v>0.34971752968021519</v>
      </c>
      <c r="I10" cm="1">
        <f t="array" ref="I10">delta_call(E10,A10,0.4,B10,D10,C10)</f>
        <v>0.3780368656656477</v>
      </c>
      <c r="J10" cm="1">
        <f t="array" ref="J10">delta_call(E10,A10,0.5,B10,D10,C10)</f>
        <v>0.39873130138189328</v>
      </c>
      <c r="K10" cm="1">
        <f t="array" ref="K10">delta_call(E10,A10,0.6,B10,D10,C10)</f>
        <v>0.41491980008730484</v>
      </c>
      <c r="L10" cm="1">
        <f t="array" ref="L10">delta_call(E10,A10,0.7,B10,D10,C10)</f>
        <v>0.42816924322332078</v>
      </c>
      <c r="M10" cm="1">
        <f t="array" ref="M10">delta_call(E10,A10,0.8,B10,D10,C10)</f>
        <v>0.4393670542417723</v>
      </c>
      <c r="N10" cm="1">
        <f t="array" ref="N10">delta_call(E10,A10,0.9,B10,D10,C10)</f>
        <v>0.4490598842795181</v>
      </c>
      <c r="O10" cm="1">
        <f t="array" ref="O10">delta_call(E10,A10,1,B10,D10,C10)</f>
        <v>0.45760612784927152</v>
      </c>
      <c r="P10" cm="1">
        <f t="array" ref="P10">delta_call(E10,A10,2,B10,D10,C10)</f>
        <v>0.51227864232904818</v>
      </c>
      <c r="Q10" cm="1">
        <f t="array" ref="Q10">delta_call(E10,A10,3,B10,D10,C10)</f>
        <v>0.54448388447384266</v>
      </c>
      <c r="R10" cm="1">
        <f t="array" ref="R10">delta_call(E10,A10,4,B10,D10,C10)</f>
        <v>0.56818955220522305</v>
      </c>
      <c r="S10" cm="1">
        <f t="array" ref="S10">delta_call(E10,A10,5,B10,D10,C10)</f>
        <v>0.58734278687654107</v>
      </c>
    </row>
    <row r="11" spans="1:29" x14ac:dyDescent="0.3">
      <c r="A11">
        <v>100</v>
      </c>
      <c r="B11">
        <f t="shared" si="0"/>
        <v>0.01</v>
      </c>
      <c r="C11">
        <v>0.2</v>
      </c>
      <c r="D11">
        <v>0</v>
      </c>
      <c r="E11" s="5">
        <v>100</v>
      </c>
      <c r="F11" cm="1">
        <f t="array" ref="F11">delta_call(E11,A11,0.1,B11,D11,C11)</f>
        <v>0.51891639999929629</v>
      </c>
      <c r="G11" cm="1">
        <f t="array" ref="G11">delta_call(E11,A11,0.2,B11,D11,C11)</f>
        <v>0.5267418038869226</v>
      </c>
      <c r="H11" cm="1">
        <f t="array" ref="H11">delta_call(E11,A11,0.3,B11,D11,C11)</f>
        <v>0.53273961671267711</v>
      </c>
      <c r="I11" cm="1">
        <f t="array" ref="I11">delta_call(E11,A11,0.4,B11,D11,C11)</f>
        <v>0.53779029390666466</v>
      </c>
      <c r="J11" cm="1">
        <f t="array" ref="J11">delta_call(E11,A11,0.5,B11,D11,C11)</f>
        <v>0.54223501331161406</v>
      </c>
      <c r="K11" cm="1">
        <f t="array" ref="K11">delta_call(E11,A11,0.6,B11,D11,C11)</f>
        <v>0.54624882106468031</v>
      </c>
      <c r="L11" cm="1">
        <f t="array" ref="L11">delta_call(E11,A11,0.7,B11,D11,C11)</f>
        <v>0.54993574324296035</v>
      </c>
      <c r="M11" cm="1">
        <f t="array" ref="M11">delta_call(E11,A11,0.8,B11,D11,C11)</f>
        <v>0.55336358492889404</v>
      </c>
      <c r="N11" cm="1">
        <f t="array" ref="N11">delta_call(E11,A11,0.9,B11,D11,C11)</f>
        <v>0.55657946195545982</v>
      </c>
      <c r="O11" cm="1">
        <f t="array" ref="O11">delta_call(E11,A11,1,B11,D11,C11)</f>
        <v>0.5596176923702425</v>
      </c>
      <c r="P11" cm="1">
        <f t="array" ref="P11">delta_call(E11,A11,2,B11,D11,C11)</f>
        <v>0.58399798571368178</v>
      </c>
      <c r="Q11" cm="1">
        <f t="array" ref="Q11">delta_call(E11,A11,3,B11,D11,C11)</f>
        <v>0.60249391401788099</v>
      </c>
      <c r="R11" cm="1">
        <f t="array" ref="R11">delta_call(E11,A11,4,B11,D11,C11)</f>
        <v>0.61791142218895267</v>
      </c>
      <c r="S11" cm="1">
        <f t="array" ref="S11">delta_call(E11,A11,5,B11,D11,C11)</f>
        <v>0.63134216139179089</v>
      </c>
    </row>
    <row r="12" spans="1:29" x14ac:dyDescent="0.3">
      <c r="A12">
        <v>100</v>
      </c>
      <c r="B12">
        <f t="shared" si="0"/>
        <v>0.01</v>
      </c>
      <c r="C12">
        <v>0.2</v>
      </c>
      <c r="D12">
        <v>0</v>
      </c>
      <c r="E12" s="5">
        <v>105</v>
      </c>
      <c r="F12" cm="1">
        <f t="array" ref="F12">delta_call(E12,A12,0.1,B12,D12,C12)</f>
        <v>0.79357096026156482</v>
      </c>
      <c r="G12" cm="1">
        <f t="array" ref="G12">delta_call(E12,A12,0.2,B12,D12,C12)</f>
        <v>0.72992052908241489</v>
      </c>
      <c r="H12" cm="1">
        <f t="array" ref="H12">delta_call(E12,A12,0.3,B12,D12,C12)</f>
        <v>0.70109401201543453</v>
      </c>
      <c r="I12" cm="1">
        <f t="array" ref="I12">delta_call(E12,A12,0.4,B12,D12,C12)</f>
        <v>0.68459548536557624</v>
      </c>
      <c r="J12" cm="1">
        <f t="array" ref="J12">delta_call(E12,A12,0.5,B12,D12,C12)</f>
        <v>0.67402849627857031</v>
      </c>
      <c r="K12" cm="1">
        <f t="array" ref="K12">delta_call(E12,A12,0.6,B12,D12,C12)</f>
        <v>0.66681258720741177</v>
      </c>
      <c r="L12" cm="1">
        <f t="array" ref="L12">delta_call(E12,A12,0.7,B12,D12,C12)</f>
        <v>0.66168859212232867</v>
      </c>
      <c r="M12" cm="1">
        <f t="array" ref="M12">delta_call(E12,A12,0.8,B12,D12,C12)</f>
        <v>0.65796272969308234</v>
      </c>
      <c r="N12" cm="1">
        <f t="array" ref="N12">delta_call(E12,A12,0.9,B12,D12,C12)</f>
        <v>0.65521889020886737</v>
      </c>
      <c r="O12" cm="1">
        <f t="array" ref="O12">delta_call(E12,A12,1,B12,D12,C12)</f>
        <v>0.65319132580079731</v>
      </c>
      <c r="P12" cm="1">
        <f t="array" ref="P12">delta_call(E12,A12,2,B12,D12,C12)</f>
        <v>0.64974470477957968</v>
      </c>
      <c r="Q12" cm="1">
        <f t="array" ref="Q12">delta_call(E12,A12,3,B12,D12,C12)</f>
        <v>0.6556620776426314</v>
      </c>
      <c r="R12" cm="1">
        <f t="array" ref="R12">delta_call(E12,A12,4,B12,D12,C12)</f>
        <v>0.66347851713393957</v>
      </c>
      <c r="S12" cm="1">
        <f t="array" ref="S12">delta_call(E12,A12,5,B12,D12,C12)</f>
        <v>0.67166244266164088</v>
      </c>
    </row>
    <row r="13" spans="1:29" x14ac:dyDescent="0.3">
      <c r="A13">
        <v>100</v>
      </c>
      <c r="B13">
        <f t="shared" si="0"/>
        <v>0.01</v>
      </c>
      <c r="C13">
        <v>0.2</v>
      </c>
      <c r="D13">
        <v>0</v>
      </c>
      <c r="E13" s="5">
        <v>110</v>
      </c>
      <c r="F13" cm="1">
        <f t="array" ref="F13">delta_call(E13,A13,0.1,B13,D13,C13)</f>
        <v>0.93995791805464912</v>
      </c>
      <c r="G13" cm="1">
        <f t="array" ref="G13">delta_call(E13,A13,0.2,B13,D13,C13)</f>
        <v>0.87132614165736733</v>
      </c>
      <c r="H13" cm="1">
        <f t="array" ref="H13">delta_call(E13,A13,0.3,B13,D13,C13)</f>
        <v>0.82950660741686155</v>
      </c>
      <c r="I13" cm="1">
        <f t="array" ref="I13">delta_call(E13,A13,0.4,B13,D13,C13)</f>
        <v>0.80188165059672933</v>
      </c>
      <c r="J13" cm="1">
        <f t="array" ref="J13">delta_call(E13,A13,0.5,B13,D13,C13)</f>
        <v>0.78230772963384732</v>
      </c>
      <c r="K13" cm="1">
        <f t="array" ref="K13">delta_call(E13,A13,0.6,B13,D13,C13)</f>
        <v>0.76773686176629652</v>
      </c>
      <c r="L13" cm="1">
        <f t="array" ref="L13">delta_call(E13,A13,0.7,B13,D13,C13)</f>
        <v>0.7564993813863905</v>
      </c>
      <c r="M13" cm="1">
        <f t="array" ref="M13">delta_call(E13,A13,0.8,B13,D13,C13)</f>
        <v>0.74760249342748353</v>
      </c>
      <c r="N13" cm="1">
        <f t="array" ref="N13">delta_call(E13,A13,0.9,B13,D13,C13)</f>
        <v>0.74041691025313783</v>
      </c>
      <c r="O13" cm="1">
        <f t="array" ref="O13">delta_call(E13,A13,1,B13,D13,C13)</f>
        <v>0.73452316868917078</v>
      </c>
      <c r="P13" cm="1">
        <f t="array" ref="P13">delta_call(E13,A13,2,B13,D13,C13)</f>
        <v>0.7085330993545631</v>
      </c>
      <c r="Q13" cm="1">
        <f t="array" ref="Q13">delta_call(E13,A13,3,B13,D13,C13)</f>
        <v>0.70365585138940701</v>
      </c>
      <c r="R13" cm="1">
        <f t="array" ref="R13">delta_call(E13,A13,4,B13,D13,C13)</f>
        <v>0.70480655105134737</v>
      </c>
      <c r="S13" cm="1">
        <f t="array" ref="S13">delta_call(E13,A13,5,B13,D13,C13)</f>
        <v>0.70833606363246282</v>
      </c>
    </row>
    <row r="14" spans="1:29" x14ac:dyDescent="0.3">
      <c r="A14">
        <v>100</v>
      </c>
      <c r="B14">
        <f t="shared" si="0"/>
        <v>0.01</v>
      </c>
      <c r="C14">
        <v>0.2</v>
      </c>
      <c r="D14">
        <v>0</v>
      </c>
      <c r="E14" s="5">
        <v>115</v>
      </c>
      <c r="F14" cm="1">
        <f t="array" ref="F14">delta_call(E14,A14,0.1,B14,D14,C14)</f>
        <v>0.98800422406854482</v>
      </c>
      <c r="G14" cm="1">
        <f t="array" ref="G14">delta_call(E14,A14,0.2,B14,D14,C14)</f>
        <v>0.94841416414843493</v>
      </c>
      <c r="H14" cm="1">
        <f t="array" ref="H14">delta_call(E14,A14,0.3,B14,D14,C14)</f>
        <v>0.91276887593354383</v>
      </c>
      <c r="I14" cm="1">
        <f t="array" ref="I14">delta_call(E14,A14,0.4,B14,D14,C14)</f>
        <v>0.88488828305391432</v>
      </c>
      <c r="J14" cm="1">
        <f t="array" ref="J14">delta_call(E14,A14,0.5,B14,D14,C14)</f>
        <v>0.8630953437034381</v>
      </c>
      <c r="K14" cm="1">
        <f t="array" ref="K14">delta_call(E14,A14,0.6,B14,D14,C14)</f>
        <v>0.84574392541104015</v>
      </c>
      <c r="L14" cm="1">
        <f t="array" ref="L14">delta_call(E14,A14,0.7,B14,D14,C14)</f>
        <v>0.83165762889347106</v>
      </c>
      <c r="M14" cm="1">
        <f t="array" ref="M14">delta_call(E14,A14,0.8,B14,D14,C14)</f>
        <v>0.82002413987768763</v>
      </c>
      <c r="N14" cm="1">
        <f t="array" ref="N14">delta_call(E14,A14,0.9,B14,D14,C14)</f>
        <v>0.81027566906216286</v>
      </c>
      <c r="O14" cm="1">
        <f t="array" ref="O14">delta_call(E14,A14,1,B14,D14,C14)</f>
        <v>0.80200640740621953</v>
      </c>
      <c r="P14" cm="1">
        <f t="array" ref="P14">delta_call(E14,A14,2,B14,D14,C14)</f>
        <v>0.75998835998968672</v>
      </c>
      <c r="Q14" cm="1">
        <f t="array" ref="Q14">delta_call(E14,A14,3,B14,D14,C14)</f>
        <v>0.74641976679143052</v>
      </c>
      <c r="R14" cm="1">
        <f t="array" ref="R14">delta_call(E14,A14,4,B14,D14,C14)</f>
        <v>0.74196163694002004</v>
      </c>
      <c r="S14" cm="1">
        <f t="array" ref="S14">delta_call(E14,A14,5,B14,D14,C14)</f>
        <v>0.74148404620256403</v>
      </c>
    </row>
    <row r="15" spans="1:29" x14ac:dyDescent="0.3">
      <c r="A15">
        <v>100</v>
      </c>
      <c r="B15">
        <f t="shared" si="0"/>
        <v>0.01</v>
      </c>
      <c r="C15">
        <v>0.2</v>
      </c>
      <c r="D15">
        <v>0</v>
      </c>
      <c r="E15" s="5">
        <v>120</v>
      </c>
      <c r="F15" cm="1">
        <f t="array" ref="F15">delta_call(E15,A15,0.1,B15,D15,C15)</f>
        <v>0.99830623193923973</v>
      </c>
      <c r="G15" cm="1">
        <f t="array" ref="G15">delta_call(E15,A15,0.2,B15,D15,C15)</f>
        <v>0.9823760534317052</v>
      </c>
      <c r="H15" cm="1">
        <f t="array" ref="H15">delta_call(E15,A15,0.3,B15,D15,C15)</f>
        <v>0.95963958476134859</v>
      </c>
      <c r="I15" cm="1">
        <f t="array" ref="I15">delta_call(E15,A15,0.4,B15,D15,C15)</f>
        <v>0.93776106845399343</v>
      </c>
      <c r="J15" cm="1">
        <f t="array" ref="J15">delta_call(E15,A15,0.5,B15,D15,C15)</f>
        <v>0.91853340172068842</v>
      </c>
      <c r="K15" cm="1">
        <f t="array" ref="K15">delta_call(E15,A15,0.6,B15,D15,C15)</f>
        <v>0.90200659044195874</v>
      </c>
      <c r="L15" cm="1">
        <f t="array" ref="L15">delta_call(E15,A15,0.7,B15,D15,C15)</f>
        <v>0.88783196322373703</v>
      </c>
      <c r="M15" cm="1">
        <f t="array" ref="M15">delta_call(E15,A15,0.8,B15,D15,C15)</f>
        <v>0.87562125149536263</v>
      </c>
      <c r="N15" cm="1">
        <f t="array" ref="N15">delta_call(E15,A15,0.9,B15,D15,C15)</f>
        <v>0.86503450040480123</v>
      </c>
      <c r="O15" cm="1">
        <f t="array" ref="O15">delta_call(E15,A15,1,B15,D15,C15)</f>
        <v>0.85579311074329822</v>
      </c>
      <c r="P15" cm="1">
        <f t="array" ref="P15">delta_call(E15,A15,2,B15,D15,C15)</f>
        <v>0.80420462073819765</v>
      </c>
      <c r="Q15" cm="1">
        <f t="array" ref="Q15">delta_call(E15,A15,3,B15,D15,C15)</f>
        <v>0.78410275921225248</v>
      </c>
      <c r="R15" cm="1">
        <f t="array" ref="R15">delta_call(E15,A15,4,B15,D15,C15)</f>
        <v>0.77511660853638908</v>
      </c>
      <c r="S15" cm="1">
        <f t="array" ref="S15">delta_call(E15,A15,5,B15,D15,C15)</f>
        <v>0.77128749032735988</v>
      </c>
    </row>
    <row r="16" spans="1:29" x14ac:dyDescent="0.3">
      <c r="A16">
        <v>100</v>
      </c>
      <c r="B16">
        <f t="shared" si="0"/>
        <v>0.01</v>
      </c>
      <c r="C16">
        <v>0.2</v>
      </c>
      <c r="D16">
        <v>0</v>
      </c>
      <c r="E16" s="5">
        <v>125</v>
      </c>
      <c r="F16" cm="1">
        <f t="array" ref="F16">delta_call(E16,A16,0.1,B16,D16,C16)</f>
        <v>0.99982531626414572</v>
      </c>
      <c r="G16" cm="1">
        <f t="array" ref="G16">delta_call(E16,A16,0.2,B16,D16,C16)</f>
        <v>0.99479497737862488</v>
      </c>
      <c r="H16" cm="1">
        <f t="array" ref="H16">delta_call(E16,A16,0.3,B16,D16,C16)</f>
        <v>0.98296199066116863</v>
      </c>
      <c r="I16" cm="1">
        <f t="array" ref="I16">delta_call(E16,A16,0.4,B16,D16,C16)</f>
        <v>0.96848451708238714</v>
      </c>
      <c r="J16" cm="1">
        <f t="array" ref="J16">delta_call(E16,A16,0.5,B16,D16,C16)</f>
        <v>0.95390232385199913</v>
      </c>
      <c r="K16" cm="1">
        <f t="array" ref="K16">delta_call(E16,A16,0.6,B16,D16,C16)</f>
        <v>0.9402142801511969</v>
      </c>
      <c r="L16" cm="1">
        <f t="array" ref="L16">delta_call(E16,A16,0.7,B16,D16,C16)</f>
        <v>0.92772250848626392</v>
      </c>
      <c r="M16" cm="1">
        <f t="array" ref="M16">delta_call(E16,A16,0.8,B16,D16,C16)</f>
        <v>0.91644879859772543</v>
      </c>
      <c r="N16" cm="1">
        <f t="array" ref="N16">delta_call(E16,A16,0.9,B16,D16,C16)</f>
        <v>0.90631047116941144</v>
      </c>
      <c r="O16" cm="1">
        <f t="array" ref="O16">delta_call(E16,A16,1,B16,D16,C16)</f>
        <v>0.89719292559733332</v>
      </c>
      <c r="P16" cm="1">
        <f t="array" ref="P16">delta_call(E16,A16,2,B16,D16,C16)</f>
        <v>0.84160197553171501</v>
      </c>
      <c r="Q16" cm="1">
        <f t="array" ref="Q16">delta_call(E16,A16,3,B16,D16,C16)</f>
        <v>0.81699370064357868</v>
      </c>
      <c r="R16" cm="1">
        <f t="array" ref="R16">delta_call(E16,A16,4,B16,D16,C16)</f>
        <v>0.80451480332788361</v>
      </c>
      <c r="S16" cm="1">
        <f t="array" ref="S16">delta_call(E16,A16,5,B16,D16,C16)</f>
        <v>0.79796496558691377</v>
      </c>
    </row>
    <row r="17" spans="1:19" x14ac:dyDescent="0.3">
      <c r="A17">
        <v>100</v>
      </c>
      <c r="B17">
        <f t="shared" si="0"/>
        <v>0.01</v>
      </c>
      <c r="C17">
        <v>0.2</v>
      </c>
      <c r="D17">
        <v>0</v>
      </c>
      <c r="E17" s="5">
        <v>130</v>
      </c>
      <c r="F17" cm="1">
        <f t="array" ref="F17">delta_call(E17,A17,0.1,B17,D17,C17)</f>
        <v>0.99998640314018139</v>
      </c>
      <c r="G17" cm="1">
        <f t="array" ref="G17">delta_call(E17,A17,0.2,B17,D17,C17)</f>
        <v>0.99865188998007925</v>
      </c>
      <c r="H17" cm="1">
        <f t="array" ref="H17">delta_call(E17,A17,0.3,B17,D17,C17)</f>
        <v>0.99337921785148087</v>
      </c>
      <c r="I17" cm="1">
        <f t="array" ref="I17">delta_call(E17,A17,0.4,B17,D17,C17)</f>
        <v>0.98496017489321974</v>
      </c>
      <c r="J17" cm="1">
        <f t="array" ref="J17">delta_call(E17,A17,0.5,B17,D17,C17)</f>
        <v>0.97507573833647321</v>
      </c>
      <c r="K17" cm="1">
        <f t="array" ref="K17">delta_call(E17,A17,0.6,B17,D17,C17)</f>
        <v>0.96483221684018183</v>
      </c>
      <c r="L17" cm="1">
        <f t="array" ref="L17">delta_call(E17,A17,0.7,B17,D17,C17)</f>
        <v>0.95481273623086027</v>
      </c>
      <c r="M17" cm="1">
        <f t="array" ref="M17">delta_call(E17,A17,0.8,B17,D17,C17)</f>
        <v>0.9452921469955603</v>
      </c>
      <c r="N17" cm="1">
        <f t="array" ref="N17">delta_call(E17,A17,0.9,B17,D17,C17)</f>
        <v>0.93638087415065951</v>
      </c>
      <c r="O17" cm="1">
        <f t="array" ref="O17">delta_call(E17,A17,1,B17,D17,C17)</f>
        <v>0.92810491023994279</v>
      </c>
      <c r="P17" cm="1">
        <f t="array" ref="P17">delta_call(E17,A17,2,B17,D17,C17)</f>
        <v>0.87280055331254425</v>
      </c>
      <c r="Q17" cm="1">
        <f t="array" ref="Q17">delta_call(E17,A17,3,B17,D17,C17)</f>
        <v>0.84546800175065795</v>
      </c>
      <c r="R17" cm="1">
        <f t="array" ref="R17">delta_call(E17,A17,4,B17,D17,C17)</f>
        <v>0.83044131386615572</v>
      </c>
      <c r="S17" cm="1">
        <f t="array" ref="S17">delta_call(E17,A17,5,B17,D17,C17)</f>
        <v>0.82175514850703979</v>
      </c>
    </row>
    <row r="18" spans="1:19" x14ac:dyDescent="0.3">
      <c r="A18">
        <v>100</v>
      </c>
      <c r="B18">
        <f t="shared" si="0"/>
        <v>0.01</v>
      </c>
      <c r="C18">
        <v>0.2</v>
      </c>
      <c r="D18">
        <v>0</v>
      </c>
      <c r="E18" s="5">
        <v>135</v>
      </c>
      <c r="F18" cm="1">
        <f t="array" ref="F18">delta_call(E18,A18,0.1,B18,D18,C18)</f>
        <v>0.99999917643923686</v>
      </c>
      <c r="G18" cm="1">
        <f t="array" ref="G18">delta_call(E18,A18,0.2,B18,D18,C18)</f>
        <v>0.99968959215435294</v>
      </c>
      <c r="H18" cm="1">
        <f t="array" ref="H18">delta_call(E18,A18,0.3,B18,D18,C18)</f>
        <v>0.99761170131759624</v>
      </c>
      <c r="I18" cm="1">
        <f t="array" ref="I18">delta_call(E18,A18,0.4,B18,D18,C18)</f>
        <v>0.99319515409537595</v>
      </c>
      <c r="J18" cm="1">
        <f t="array" ref="J18">delta_call(E18,A18,0.5,B18,D18,C18)</f>
        <v>0.987063941065492</v>
      </c>
      <c r="K18" cm="1">
        <f t="array" ref="K18">delta_call(E18,A18,0.6,B18,D18,C18)</f>
        <v>0.97998098357938546</v>
      </c>
      <c r="L18" cm="1">
        <f t="array" ref="L18">delta_call(E18,A18,0.7,B18,D18,C18)</f>
        <v>0.97250574341060869</v>
      </c>
      <c r="M18" cm="1">
        <f t="array" ref="M18">delta_call(E18,A18,0.8,B18,D18,C18)</f>
        <v>0.9649914282191755</v>
      </c>
      <c r="N18" cm="1">
        <f t="array" ref="N18">delta_call(E18,A18,0.9,B18,D18,C18)</f>
        <v>0.95764540824748623</v>
      </c>
      <c r="O18" cm="1">
        <f t="array" ref="O18">delta_call(E18,A18,1,B18,D18,C18)</f>
        <v>0.95058198959185258</v>
      </c>
      <c r="P18" cm="1">
        <f t="array" ref="P18">delta_call(E18,A18,2,B18,D18,C18)</f>
        <v>0.89851971842195577</v>
      </c>
      <c r="Q18" cm="1">
        <f t="array" ref="Q18">delta_call(E18,A18,3,B18,D18,C18)</f>
        <v>0.86994580030636615</v>
      </c>
      <c r="R18" cm="1">
        <f t="array" ref="R18">delta_call(E18,A18,4,B18,D18,C18)</f>
        <v>0.85320104521339801</v>
      </c>
      <c r="S18" cm="1">
        <f t="array" ref="S18">delta_call(E18,A18,5,B18,D18,C18)</f>
        <v>0.8429039016580514</v>
      </c>
    </row>
    <row r="19" spans="1:19" x14ac:dyDescent="0.3">
      <c r="A19">
        <v>100</v>
      </c>
      <c r="B19">
        <f t="shared" si="0"/>
        <v>0.01</v>
      </c>
      <c r="C19">
        <v>0.2</v>
      </c>
      <c r="D19">
        <v>0</v>
      </c>
      <c r="E19" s="5">
        <v>140</v>
      </c>
      <c r="F19" cm="1">
        <f t="array" ref="F19">delta_call(E19,A19,0.1,B19,D19,C19)</f>
        <v>0.99999996008829672</v>
      </c>
      <c r="G19" cm="1">
        <f t="array" ref="G19">delta_call(E19,A19,0.2,B19,D19,C19)</f>
        <v>0.99993565599706147</v>
      </c>
      <c r="H19" cm="1">
        <f t="array" ref="H19">delta_call(E19,A19,0.3,B19,D19,C19)</f>
        <v>0.99919396953371908</v>
      </c>
      <c r="I19" cm="1">
        <f t="array" ref="I19">delta_call(E19,A19,0.4,B19,D19,C19)</f>
        <v>0.99706463005532564</v>
      </c>
      <c r="J19" cm="1">
        <f t="array" ref="J19">delta_call(E19,A19,0.5,B19,D19,C19)</f>
        <v>0.9935275944696309</v>
      </c>
      <c r="K19" cm="1">
        <f t="array" ref="K19">delta_call(E19,A19,0.6,B19,D19,C19)</f>
        <v>0.98893439681623385</v>
      </c>
      <c r="L19" cm="1">
        <f t="array" ref="L19">delta_call(E19,A19,0.7,B19,D19,C19)</f>
        <v>0.98367272820713014</v>
      </c>
      <c r="M19" cm="1">
        <f t="array" ref="M19">delta_call(E19,A19,0.8,B19,D19,C19)</f>
        <v>0.97805296953813903</v>
      </c>
      <c r="N19" cm="1">
        <f t="array" ref="N19">delta_call(E19,A19,0.9,B19,D19,C19)</f>
        <v>0.97229624527713165</v>
      </c>
      <c r="O19" cm="1">
        <f t="array" ref="O19">delta_call(E19,A19,1,B19,D19,C19)</f>
        <v>0.96655118639654458</v>
      </c>
      <c r="P19" cm="1">
        <f t="array" ref="P19">delta_call(E19,A19,2,B19,D19,C19)</f>
        <v>0.91950370400292614</v>
      </c>
      <c r="Q19" cm="1">
        <f t="array" ref="Q19">delta_call(E19,A19,3,B19,D19,C19)</f>
        <v>0.89086087651205026</v>
      </c>
      <c r="R19" cm="1">
        <f t="array" ref="R19">delta_call(E19,A19,4,B19,D19,C19)</f>
        <v>0.87310261037867953</v>
      </c>
      <c r="S19" cm="1">
        <f t="array" ref="S19">delta_call(E19,A19,5,B19,D19,C19)</f>
        <v>0.86165498136593754</v>
      </c>
    </row>
    <row r="21" spans="1:19" x14ac:dyDescent="0.3">
      <c r="A21" t="s">
        <v>13</v>
      </c>
      <c r="B21" t="s">
        <v>14</v>
      </c>
      <c r="C21" t="s">
        <v>15</v>
      </c>
      <c r="D21" t="s">
        <v>26</v>
      </c>
      <c r="F21" s="7">
        <v>0.1</v>
      </c>
      <c r="G21" s="7">
        <v>0.2</v>
      </c>
      <c r="H21" s="7">
        <v>0.3</v>
      </c>
      <c r="I21" s="7">
        <v>0.4</v>
      </c>
      <c r="J21" s="7">
        <v>0.5</v>
      </c>
      <c r="K21" s="7">
        <v>0.6</v>
      </c>
      <c r="L21" s="7">
        <v>0.7</v>
      </c>
      <c r="M21" s="7">
        <v>0.8</v>
      </c>
      <c r="N21" s="7">
        <v>0.9</v>
      </c>
      <c r="O21" s="7">
        <v>1</v>
      </c>
      <c r="P21" s="7">
        <v>2</v>
      </c>
      <c r="Q21" s="7">
        <v>3</v>
      </c>
      <c r="R21" s="7">
        <v>4</v>
      </c>
      <c r="S21" s="7">
        <v>5</v>
      </c>
    </row>
    <row r="22" spans="1:19" x14ac:dyDescent="0.3">
      <c r="A22">
        <v>100</v>
      </c>
      <c r="B22">
        <f>1/100</f>
        <v>0.01</v>
      </c>
      <c r="C22">
        <v>0.05</v>
      </c>
      <c r="D22">
        <v>0</v>
      </c>
      <c r="E22" s="5">
        <v>60</v>
      </c>
      <c r="F22" cm="1">
        <f t="array" ref="F22">delta_call(E22,A22,0.1,B22,D22,C22)</f>
        <v>2.7372611994809412E-228</v>
      </c>
      <c r="G22" cm="1">
        <f t="array" ref="G22">delta_call(E22,A22,0.2,B22,D22,C22)</f>
        <v>8.1902820174346134E-115</v>
      </c>
      <c r="H22" cm="1">
        <f t="array" ref="H22">delta_call(E22,A22,0.3,B22,D22,C22)</f>
        <v>5.972120960422795E-77</v>
      </c>
      <c r="I22" cm="1">
        <f t="array" ref="I22">delta_call(E22,A22,0.4,B22,D22,C22)</f>
        <v>5.3175491897566477E-58</v>
      </c>
      <c r="J22" cm="1">
        <f t="array" ref="J22">delta_call(E22,A22,0.5,B22,D22,C22)</f>
        <v>1.277062362017509E-46</v>
      </c>
      <c r="K22" cm="1">
        <f t="array" ref="K22">delta_call(E22,A22,0.6,B22,D22,C22)</f>
        <v>5.0155034842789398E-39</v>
      </c>
      <c r="L22" cm="1">
        <f t="array" ref="L22">delta_call(E22,A22,0.7,B22,D22,C22)</f>
        <v>1.3480598973761545E-33</v>
      </c>
      <c r="M22" cm="1">
        <f t="array" ref="M22">delta_call(E22,A22,0.8,B22,D22,C22)</f>
        <v>1.6051199119236356E-29</v>
      </c>
      <c r="N22" cm="1">
        <f t="array" ref="N22">delta_call(E22,A22,0.9,B22,D22,C22)</f>
        <v>2.3904164804359087E-26</v>
      </c>
      <c r="O22" cm="1">
        <f t="array" ref="O22">delta_call(E22,A22,1,B22,D22,C22)</f>
        <v>8.3014418638275393E-24</v>
      </c>
      <c r="P22" cm="1">
        <f t="array" ref="P22">delta_call(E22,A22,2,B22,D22,C22)</f>
        <v>2.4931259545159182E-12</v>
      </c>
      <c r="Q22" cm="1">
        <f t="array" ref="Q22">delta_call(E22,A22,3,B22,D22,C22)</f>
        <v>1.8064939025971066E-8</v>
      </c>
      <c r="R22" cm="1">
        <f t="array" ref="R22">delta_call(E22,A22,4,B22,D22,C22)</f>
        <v>1.5944956166935844E-6</v>
      </c>
      <c r="S22" cm="1">
        <f t="array" ref="S22">delta_call(E22,A22,5,B22,D22,C22)</f>
        <v>2.3929062648690307E-5</v>
      </c>
    </row>
    <row r="23" spans="1:19" x14ac:dyDescent="0.3">
      <c r="A23">
        <v>100</v>
      </c>
      <c r="B23">
        <f t="shared" ref="B23:B38" si="1">1/100</f>
        <v>0.01</v>
      </c>
      <c r="C23">
        <v>0.05</v>
      </c>
      <c r="D23">
        <v>0</v>
      </c>
      <c r="E23" s="5">
        <v>65</v>
      </c>
      <c r="F23" cm="1">
        <f t="array" ref="F23">delta_call(E23,A23,0.1,B23,D23,C23)</f>
        <v>6.5993643403355037E-163</v>
      </c>
      <c r="G23" cm="1">
        <f t="array" ref="G23">delta_call(E23,A23,0.2,B23,D23,C23)</f>
        <v>3.6576138888253611E-82</v>
      </c>
      <c r="H23" cm="1">
        <f t="array" ref="H23">delta_call(E23,A23,0.3,B23,D23,C23)</f>
        <v>3.2754563731460695E-55</v>
      </c>
      <c r="I23" cm="1">
        <f t="array" ref="I23">delta_call(E23,A23,0.4,B23,D23,C23)</f>
        <v>1.0220731523919236E-41</v>
      </c>
      <c r="J23" cm="1">
        <f t="array" ref="J23">delta_call(E23,A23,0.5,B23,D23,C23)</f>
        <v>1.3084683120232562E-33</v>
      </c>
      <c r="K23" cm="1">
        <f t="array" ref="K23">delta_call(E23,A23,0.6,B23,D23,C23)</f>
        <v>3.3784938655283381E-28</v>
      </c>
      <c r="L23" cm="1">
        <f t="array" ref="L23">delta_call(E23,A23,0.7,B23,D23,C23)</f>
        <v>2.5086952002318079E-24</v>
      </c>
      <c r="M23" cm="1">
        <f t="array" ref="M23">delta_call(E23,A23,0.8,B23,D23,C23)</f>
        <v>2.0241691357535165E-21</v>
      </c>
      <c r="N23" cm="1">
        <f t="array" ref="N23">delta_call(E23,A23,0.9,B23,D23,C23)</f>
        <v>3.7153002940879218E-19</v>
      </c>
      <c r="O23" cm="1">
        <f t="array" ref="O23">delta_call(E23,A23,1,B23,D23,C23)</f>
        <v>2.4171371314848683E-17</v>
      </c>
      <c r="P23" cm="1">
        <f t="array" ref="P23">delta_call(E23,A23,2,B23,D23,C23)</f>
        <v>3.8707471358265481E-9</v>
      </c>
      <c r="Q23" cm="1">
        <f t="array" ref="Q23">delta_call(E23,A23,3,B23,D23,C23)</f>
        <v>2.2749216395115086E-6</v>
      </c>
      <c r="R23" cm="1">
        <f t="array" ref="R23">delta_call(E23,A23,4,B23,D23,C23)</f>
        <v>5.7199280321904821E-5</v>
      </c>
      <c r="S23" cm="1">
        <f t="array" ref="S23">delta_call(E23,A23,5,B23,D23,C23)</f>
        <v>4.0416832820281383E-4</v>
      </c>
    </row>
    <row r="24" spans="1:19" x14ac:dyDescent="0.3">
      <c r="A24">
        <v>100</v>
      </c>
      <c r="B24">
        <f t="shared" si="1"/>
        <v>0.01</v>
      </c>
      <c r="C24">
        <v>0.05</v>
      </c>
      <c r="D24">
        <v>0</v>
      </c>
      <c r="E24" s="5">
        <v>70</v>
      </c>
      <c r="F24" cm="1">
        <f t="array" ref="F24">delta_call(E24,A24,0.1,B24,D24,C24)</f>
        <v>2.7847648196726985E-112</v>
      </c>
      <c r="G24" cm="1">
        <f t="array" ref="G24">delta_call(E24,A24,0.2,B24,D24,C24)</f>
        <v>6.9882965666833139E-57</v>
      </c>
      <c r="H24" cm="1">
        <f t="array" ref="H24">delta_call(E24,A24,0.3,B24,D24,C24)</f>
        <v>2.2304269635784912E-38</v>
      </c>
      <c r="I24" cm="1">
        <f t="array" ref="I24">delta_call(E24,A24,0.4,B24,D24,C24)</f>
        <v>4.1548521194767605E-29</v>
      </c>
      <c r="J24" cm="1">
        <f t="array" ref="J24">delta_call(E24,A24,0.5,B24,D24,C24)</f>
        <v>1.5538198510187872E-23</v>
      </c>
      <c r="K24" cm="1">
        <f t="array" ref="K24">delta_call(E24,A24,0.6,B24,D24,C24)</f>
        <v>8.1983821402823137E-20</v>
      </c>
      <c r="L24" cm="1">
        <f t="array" ref="L24">delta_call(E24,A24,0.7,B24,D24,C24)</f>
        <v>3.7806445496917786E-17</v>
      </c>
      <c r="M24" cm="1">
        <f t="array" ref="M24">delta_call(E24,A24,0.8,B24,D24,C24)</f>
        <v>3.7948432977961011E-15</v>
      </c>
      <c r="N24" cm="1">
        <f t="array" ref="N24">delta_call(E24,A24,0.9,B24,D24,C24)</f>
        <v>1.3769382490805929E-13</v>
      </c>
      <c r="O24" cm="1">
        <f t="array" ref="O24">delta_call(E24,A24,1,B24,D24,C24)</f>
        <v>2.4490443034698E-12</v>
      </c>
      <c r="P24" cm="1">
        <f t="array" ref="P24">delta_call(E24,A24,2,B24,D24,C24)</f>
        <v>1.1452248035051856E-6</v>
      </c>
      <c r="Q24" cm="1">
        <f t="array" ref="Q24">delta_call(E24,A24,3,B24,D24,C24)</f>
        <v>9.6190752651606593E-5</v>
      </c>
      <c r="R24" cm="1">
        <f t="array" ref="R24">delta_call(E24,A24,4,B24,D24,C24)</f>
        <v>9.1428456811440135E-4</v>
      </c>
      <c r="S24" cm="1">
        <f t="array" ref="S24">delta_call(E24,A24,5,B24,D24,C24)</f>
        <v>3.6039585896636178E-3</v>
      </c>
    </row>
    <row r="25" spans="1:19" x14ac:dyDescent="0.3">
      <c r="A25">
        <v>100</v>
      </c>
      <c r="B25">
        <f t="shared" si="1"/>
        <v>0.01</v>
      </c>
      <c r="C25">
        <v>0.05</v>
      </c>
      <c r="D25">
        <v>0</v>
      </c>
      <c r="E25" s="5">
        <v>75</v>
      </c>
      <c r="F25" cm="1">
        <f t="array" ref="F25">delta_call(E25,A25,0.1,B25,D25,C25)</f>
        <v>1.0404286248480753E-73</v>
      </c>
      <c r="G25" cm="1">
        <f t="array" ref="G25">delta_call(E25,A25,0.2,B25,D25,C25)</f>
        <v>1.2872346138313245E-37</v>
      </c>
      <c r="H25" cm="1">
        <f t="array" ref="H25">delta_call(E25,A25,0.3,B25,D25,C25)</f>
        <v>1.5062003876925081E-25</v>
      </c>
      <c r="I25" cm="1">
        <f t="array" ref="I25">delta_call(E25,A25,0.4,B25,D25,C25)</f>
        <v>1.6986255720667482E-19</v>
      </c>
      <c r="J25" cm="1">
        <f t="array" ref="J25">delta_call(E25,A25,0.5,B25,D25,C25)</f>
        <v>7.4495078851635179E-16</v>
      </c>
      <c r="K25" cm="1">
        <f t="array" ref="K25">delta_call(E25,A25,0.6,B25,D25,C25)</f>
        <v>2.0286641184193698E-13</v>
      </c>
      <c r="L25" cm="1">
        <f t="array" ref="L25">delta_call(E25,A25,0.7,B25,D25,C25)</f>
        <v>1.1260522409817751E-11</v>
      </c>
      <c r="M25" cm="1">
        <f t="array" ref="M25">delta_call(E25,A25,0.8,B25,D25,C25)</f>
        <v>2.3096464603363575E-10</v>
      </c>
      <c r="N25" cm="1">
        <f t="array" ref="N25">delta_call(E25,A25,0.9,B25,D25,C25)</f>
        <v>2.4370144841640087E-9</v>
      </c>
      <c r="O25" cm="1">
        <f t="array" ref="O25">delta_call(E25,A25,1,B25,D25,C25)</f>
        <v>1.6136008103825152E-8</v>
      </c>
      <c r="P25" cm="1">
        <f t="array" ref="P25">delta_call(E25,A25,2,B25,D25,C25)</f>
        <v>8.8332406649593482E-5</v>
      </c>
      <c r="Q25" cm="1">
        <f t="array" ref="Q25">delta_call(E25,A25,3,B25,D25,C25)</f>
        <v>1.6830934402108455E-3</v>
      </c>
      <c r="R25" cm="1">
        <f t="array" ref="R25">delta_call(E25,A25,4,B25,D25,C25)</f>
        <v>7.6158902561765133E-3</v>
      </c>
      <c r="S25" cm="1">
        <f t="array" ref="S25">delta_call(E25,A25,5,B25,D25,C25)</f>
        <v>1.9226575622006935E-2</v>
      </c>
    </row>
    <row r="26" spans="1:19" x14ac:dyDescent="0.3">
      <c r="A26">
        <v>100</v>
      </c>
      <c r="B26">
        <f t="shared" si="1"/>
        <v>0.01</v>
      </c>
      <c r="C26">
        <v>0.05</v>
      </c>
      <c r="D26">
        <v>0</v>
      </c>
      <c r="E26" s="5">
        <v>80</v>
      </c>
      <c r="F26" cm="1">
        <f t="array" ref="F26">delta_call(E26,A26,0.1,B26,D26,C26)</f>
        <v>4.3313396156151041E-45</v>
      </c>
      <c r="G26" cm="1">
        <f t="array" ref="G26">delta_call(E26,A26,0.2,B26,D26,C26)</f>
        <v>2.5758605861917426E-23</v>
      </c>
      <c r="H26" cm="1">
        <f t="array" ref="H26">delta_call(E26,A26,0.3,B26,D26,C26)</f>
        <v>5.0840412868023293E-16</v>
      </c>
      <c r="I26" cm="1">
        <f t="array" ref="I26">delta_call(E26,A26,0.4,B26,D26,C26)</f>
        <v>2.3539461757859681E-12</v>
      </c>
      <c r="J26" cm="1">
        <f t="array" ref="J26">delta_call(E26,A26,0.5,B26,D26,C26)</f>
        <v>3.8170690486470643E-10</v>
      </c>
      <c r="K26" cm="1">
        <f t="array" ref="K26">delta_call(E26,A26,0.6,B26,D26,C26)</f>
        <v>1.1534179525057225E-8</v>
      </c>
      <c r="L26" cm="1">
        <f t="array" ref="L26">delta_call(E26,A26,0.7,B26,D26,C26)</f>
        <v>1.3311875426994588E-7</v>
      </c>
      <c r="M26" cm="1">
        <f t="array" ref="M26">delta_call(E26,A26,0.8,B26,D26,C26)</f>
        <v>8.4060086366252122E-7</v>
      </c>
      <c r="N26" cm="1">
        <f t="array" ref="N26">delta_call(E26,A26,0.9,B26,D26,C26)</f>
        <v>3.5473851276060648E-6</v>
      </c>
      <c r="O26" cm="1">
        <f t="array" ref="O26">delta_call(E26,A26,1,B26,D26,C26)</f>
        <v>1.1282466239244101E-5</v>
      </c>
      <c r="P26" cm="1">
        <f t="array" ref="P26">delta_call(E26,A26,2,B26,D26,C26)</f>
        <v>2.2732157059208715E-3</v>
      </c>
      <c r="Q26" cm="1">
        <f t="array" ref="Q26">delta_call(E26,A26,3,B26,D26,C26)</f>
        <v>1.4373877236313269E-2</v>
      </c>
      <c r="R26" cm="1">
        <f t="array" ref="R26">delta_call(E26,A26,4,B26,D26,C26)</f>
        <v>3.7420665487091699E-2</v>
      </c>
      <c r="S26" cm="1">
        <f t="array" ref="S26">delta_call(E26,A26,5,B26,D26,C26)</f>
        <v>6.7752458640840257E-2</v>
      </c>
    </row>
    <row r="27" spans="1:19" x14ac:dyDescent="0.3">
      <c r="A27">
        <v>100</v>
      </c>
      <c r="B27">
        <f t="shared" si="1"/>
        <v>0.01</v>
      </c>
      <c r="C27">
        <v>0.05</v>
      </c>
      <c r="D27">
        <v>0</v>
      </c>
      <c r="E27" s="5">
        <v>85</v>
      </c>
      <c r="F27" cm="1">
        <f t="array" ref="F27">delta_call(E27,A27,0.1,B27,D27,C27)</f>
        <v>9.1815180581362575E-25</v>
      </c>
      <c r="G27" cm="1">
        <f t="array" ref="G27">delta_call(E27,A27,0.2,B27,D27,C27)</f>
        <v>3.8205336062112562E-13</v>
      </c>
      <c r="H27" cm="1">
        <f t="array" ref="H27">delta_call(E27,A27,0.3,B27,D27,C27)</f>
        <v>3.1029117353354229E-9</v>
      </c>
      <c r="I27" cm="1">
        <f t="array" ref="I27">delta_call(E27,A27,0.4,B27,D27,C27)</f>
        <v>2.9114940797298593E-7</v>
      </c>
      <c r="J27" cm="1">
        <f t="array" ref="J27">delta_call(E27,A27,0.5,B27,D27,C27)</f>
        <v>4.5477298152321564E-6</v>
      </c>
      <c r="K27" cm="1">
        <f t="array" ref="K27">delta_call(E27,A27,0.6,B27,D27,C27)</f>
        <v>2.8860814657643429E-5</v>
      </c>
      <c r="L27" cm="1">
        <f t="array" ref="L27">delta_call(E27,A27,0.7,B27,D27,C27)</f>
        <v>1.0921139892888408E-4</v>
      </c>
      <c r="M27" cm="1">
        <f t="array" ref="M27">delta_call(E27,A27,0.8,B27,D27,C27)</f>
        <v>2.9870492824258458E-4</v>
      </c>
      <c r="N27" cm="1">
        <f t="array" ref="N27">delta_call(E27,A27,0.9,B27,D27,C27)</f>
        <v>6.5736223302577867E-4</v>
      </c>
      <c r="O27" cm="1">
        <f t="array" ref="O27">delta_call(E27,A27,1,B27,D27,C27)</f>
        <v>1.2416103963112843E-3</v>
      </c>
      <c r="P27" cm="1">
        <f t="array" ref="P27">delta_call(E27,A27,2,B27,D27,C27)</f>
        <v>2.3842400671346822E-2</v>
      </c>
      <c r="Q27" cm="1">
        <f t="array" ref="Q27">delta_call(E27,A27,3,B27,D27,C27)</f>
        <v>6.8521203553902801E-2</v>
      </c>
      <c r="R27" cm="1">
        <f t="array" ref="R27">delta_call(E27,A27,4,B27,D27,C27)</f>
        <v>0.11995949603877151</v>
      </c>
      <c r="S27" cm="1">
        <f t="array" ref="S27">delta_call(E27,A27,5,B27,D27,C27)</f>
        <v>0.17092958378259557</v>
      </c>
    </row>
    <row r="28" spans="1:19" x14ac:dyDescent="0.3">
      <c r="A28">
        <v>100</v>
      </c>
      <c r="B28">
        <f t="shared" si="1"/>
        <v>0.01</v>
      </c>
      <c r="C28">
        <v>0.05</v>
      </c>
      <c r="D28">
        <v>0</v>
      </c>
      <c r="E28" s="5">
        <v>90</v>
      </c>
      <c r="F28" cm="1">
        <f t="array" ref="F28">delta_call(E28,A28,0.1,B28,D28,C28)</f>
        <v>2.1633845029987181E-11</v>
      </c>
      <c r="G28" cm="1">
        <f t="array" ref="G28">delta_call(E28,A28,0.2,B28,D28,C28)</f>
        <v>2.0013468567857179E-6</v>
      </c>
      <c r="H28" cm="1">
        <f t="array" ref="H28">delta_call(E28,A28,0.3,B28,D28,C28)</f>
        <v>9.8051486444414724E-5</v>
      </c>
      <c r="I28" cm="1">
        <f t="array" ref="I28">delta_call(E28,A28,0.4,B28,D28,C28)</f>
        <v>7.1262144826417587E-4</v>
      </c>
      <c r="J28" cm="1">
        <f t="array" ref="J28">delta_call(E28,A28,0.5,B28,D28,C28)</f>
        <v>2.3941102915395981E-3</v>
      </c>
      <c r="K28" cm="1">
        <f t="array" ref="K28">delta_call(E28,A28,0.6,B28,D28,C28)</f>
        <v>5.446502782428436E-3</v>
      </c>
      <c r="L28" cm="1">
        <f t="array" ref="L28">delta_call(E28,A28,0.7,B28,D28,C28)</f>
        <v>9.8938420423891529E-3</v>
      </c>
      <c r="M28" cm="1">
        <f t="array" ref="M28">delta_call(E28,A28,0.8,B28,D28,C28)</f>
        <v>1.5593182233513319E-2</v>
      </c>
      <c r="N28" cm="1">
        <f t="array" ref="N28">delta_call(E28,A28,0.9,B28,D28,C28)</f>
        <v>2.2335412936725696E-2</v>
      </c>
      <c r="O28" cm="1">
        <f t="array" ref="O28">delta_call(E28,A28,1,B28,D28,C28)</f>
        <v>2.990373296922123E-2</v>
      </c>
      <c r="P28" cm="1">
        <f t="array" ref="P28">delta_call(E28,A28,2,B28,D28,C28)</f>
        <v>0.12063373189490967</v>
      </c>
      <c r="Q28" cm="1">
        <f t="array" ref="Q28">delta_call(E28,A28,3,B28,D28,C28)</f>
        <v>0.20415055342200186</v>
      </c>
      <c r="R28" cm="1">
        <f t="array" ref="R28">delta_call(E28,A28,4,B28,D28,C28)</f>
        <v>0.27305309183411713</v>
      </c>
      <c r="S28" cm="1">
        <f t="array" ref="S28">delta_call(E28,A28,5,B28,D28,C28)</f>
        <v>0.33023737197832043</v>
      </c>
    </row>
    <row r="29" spans="1:19" x14ac:dyDescent="0.3">
      <c r="A29">
        <v>100</v>
      </c>
      <c r="B29">
        <f t="shared" si="1"/>
        <v>0.01</v>
      </c>
      <c r="C29">
        <v>0.05</v>
      </c>
      <c r="D29">
        <v>0</v>
      </c>
      <c r="E29" s="5">
        <v>95</v>
      </c>
      <c r="F29" cm="1">
        <f t="array" ref="F29">delta_call(E29,A29,0.1,B29,D29,C29)</f>
        <v>7.5456653050280566E-4</v>
      </c>
      <c r="G29" cm="1">
        <f t="array" ref="G29">delta_call(E29,A29,0.2,B29,D29,C29)</f>
        <v>1.4143504981578929E-2</v>
      </c>
      <c r="H29" cm="1">
        <f t="array" ref="H29">delta_call(E29,A29,0.3,B29,D29,C29)</f>
        <v>4.0082568000292799E-2</v>
      </c>
      <c r="I29" cm="1">
        <f t="array" ref="I29">delta_call(E29,A29,0.4,B29,D29,C29)</f>
        <v>6.9472138144277648E-2</v>
      </c>
      <c r="J29" cm="1">
        <f t="array" ref="J29">delta_call(E29,A29,0.5,B29,D29,C29)</f>
        <v>9.8231494302977521E-2</v>
      </c>
      <c r="K29" cm="1">
        <f t="array" ref="K29">delta_call(E29,A29,0.6,B29,D29,C29)</f>
        <v>0.12505074282541714</v>
      </c>
      <c r="L29" cm="1">
        <f t="array" ref="L29">delta_call(E29,A29,0.7,B29,D29,C29)</f>
        <v>0.14965929563304667</v>
      </c>
      <c r="M29" cm="1">
        <f t="array" ref="M29">delta_call(E29,A29,0.8,B29,D29,C29)</f>
        <v>0.17214907343060049</v>
      </c>
      <c r="N29" cm="1">
        <f t="array" ref="N29">delta_call(E29,A29,0.9,B29,D29,C29)</f>
        <v>0.19272348530140995</v>
      </c>
      <c r="O29" cm="1">
        <f t="array" ref="O29">delta_call(E29,A29,1,B29,D29,C29)</f>
        <v>0.21160464510740087</v>
      </c>
      <c r="P29" cm="1">
        <f t="array" ref="P29">delta_call(E29,A29,2,B29,D29,C29)</f>
        <v>0.34193103760672588</v>
      </c>
      <c r="Q29" cm="1">
        <f t="array" ref="Q29">delta_call(E29,A29,3,B29,D29,C29)</f>
        <v>0.41973458731592983</v>
      </c>
      <c r="R29" cm="1">
        <f t="array" ref="R29">delta_call(E29,A29,4,B29,D29,C29)</f>
        <v>0.47490995070516628</v>
      </c>
      <c r="S29" cm="1">
        <f t="array" ref="S29">delta_call(E29,A29,5,B29,D29,C29)</f>
        <v>0.51768096381841744</v>
      </c>
    </row>
    <row r="30" spans="1:19" x14ac:dyDescent="0.3">
      <c r="A30">
        <v>100</v>
      </c>
      <c r="B30">
        <f t="shared" si="1"/>
        <v>0.01</v>
      </c>
      <c r="C30">
        <v>0.05</v>
      </c>
      <c r="D30">
        <v>0</v>
      </c>
      <c r="E30" s="5">
        <v>100</v>
      </c>
      <c r="F30" cm="1">
        <f t="array" ref="F30">delta_call(E30,A30,0.1,B30,D30,C30)</f>
        <v>0.52836130900185174</v>
      </c>
      <c r="G30" cm="1">
        <f t="array" ref="G30">delta_call(E30,A30,0.2,B30,D30,C30)</f>
        <v>0.54007515440860199</v>
      </c>
      <c r="H30" cm="1">
        <f t="array" ref="H30">delta_call(E30,A30,0.3,B30,D30,C30)</f>
        <v>0.54904051427844991</v>
      </c>
      <c r="I30" cm="1">
        <f t="array" ref="I30">delta_call(E30,A30,0.4,B30,D30,C30)</f>
        <v>0.55657946195545971</v>
      </c>
      <c r="J30" cm="1">
        <f t="array" ref="J30">delta_call(E30,A30,0.5,B30,D30,C30)</f>
        <v>0.56320457211528641</v>
      </c>
      <c r="K30" cm="1">
        <f t="array" ref="K30">delta_call(E30,A30,0.6,B30,D30,C30)</f>
        <v>0.56917896198055484</v>
      </c>
      <c r="L30" cm="1">
        <f t="array" ref="L30">delta_call(E30,A30,0.7,B30,D30,C30)</f>
        <v>0.57465907506793834</v>
      </c>
      <c r="M30" cm="1">
        <f t="array" ref="M30">delta_call(E30,A30,0.8,B30,D30,C30)</f>
        <v>0.57974693392650745</v>
      </c>
      <c r="N30" cm="1">
        <f t="array" ref="N30">delta_call(E30,A30,0.9,B30,D30,C30)</f>
        <v>0.58451346694099504</v>
      </c>
      <c r="O30" cm="1">
        <f t="array" ref="O30">delta_call(E30,A30,1,B30,D30,C30)</f>
        <v>0.58901036286872965</v>
      </c>
      <c r="P30" cm="1">
        <f t="array" ref="P30">delta_call(E30,A30,2,B30,D30,C30)</f>
        <v>0.62483264466500543</v>
      </c>
      <c r="Q30" cm="1">
        <f t="array" ref="Q30">delta_call(E30,A30,3,B30,D30,C30)</f>
        <v>0.65162502884545082</v>
      </c>
      <c r="R30" cm="1">
        <f t="array" ref="R30">delta_call(E30,A30,4,B30,D30,C30)</f>
        <v>0.67364477971207992</v>
      </c>
      <c r="S30" cm="1">
        <f t="array" ref="S30">delta_call(E30,A30,5,B30,D30,C30)</f>
        <v>0.6925583930714827</v>
      </c>
    </row>
    <row r="31" spans="1:19" x14ac:dyDescent="0.3">
      <c r="A31">
        <v>100</v>
      </c>
      <c r="B31">
        <f t="shared" si="1"/>
        <v>0.01</v>
      </c>
      <c r="C31">
        <v>0.05</v>
      </c>
      <c r="D31">
        <v>0</v>
      </c>
      <c r="E31" s="5">
        <v>105</v>
      </c>
      <c r="F31" cm="1">
        <f t="array" ref="F31">delta_call(E31,A31,0.1,B31,D31,C31)</f>
        <v>0.99920275317662521</v>
      </c>
      <c r="G31" cm="1">
        <f t="array" ref="G31">delta_call(E31,A31,0.2,B31,D31,C31)</f>
        <v>0.98877260304276526</v>
      </c>
      <c r="H31" cm="1">
        <f t="array" ref="H31">delta_call(E31,A31,0.3,B31,D31,C31)</f>
        <v>0.97159712400187559</v>
      </c>
      <c r="I31" cm="1">
        <f t="array" ref="I31">delta_call(E31,A31,0.4,B31,D31,C31)</f>
        <v>0.95402336086086736</v>
      </c>
      <c r="J31" cm="1">
        <f t="array" ref="J31">delta_call(E31,A31,0.5,B31,D31,C31)</f>
        <v>0.93810923527972578</v>
      </c>
      <c r="K31" cm="1">
        <f t="array" ref="K31">delta_call(E31,A31,0.6,B31,D31,C31)</f>
        <v>0.92421970029170719</v>
      </c>
      <c r="L31" cm="1">
        <f t="array" ref="L31">delta_call(E31,A31,0.7,B31,D31,C31)</f>
        <v>0.91222055081627429</v>
      </c>
      <c r="M31" cm="1">
        <f t="array" ref="M31">delta_call(E31,A31,0.8,B31,D31,C31)</f>
        <v>0.9018607895069084</v>
      </c>
      <c r="N31" cm="1">
        <f t="array" ref="N31">delta_call(E31,A31,0.9,B31,D31,C31)</f>
        <v>0.89288923014673127</v>
      </c>
      <c r="O31" cm="1">
        <f t="array" ref="O31">delta_call(E31,A31,1,B31,D31,C31)</f>
        <v>0.88508624103716704</v>
      </c>
      <c r="P31" cm="1">
        <f t="array" ref="P31">delta_call(E31,A31,2,B31,D31,C31)</f>
        <v>0.8433196119840275</v>
      </c>
      <c r="Q31" cm="1">
        <f t="array" ref="Q31">delta_call(E31,A31,3,B31,D31,C31)</f>
        <v>0.82972819951931209</v>
      </c>
      <c r="R31" cm="1">
        <f t="array" ref="R31">delta_call(E31,A31,4,B31,D31,C31)</f>
        <v>0.82585252027970268</v>
      </c>
      <c r="S31" cm="1">
        <f t="array" ref="S31">delta_call(E31,A31,5,B31,D31,C31)</f>
        <v>0.82626495267175226</v>
      </c>
    </row>
    <row r="32" spans="1:19" x14ac:dyDescent="0.3">
      <c r="A32">
        <v>100</v>
      </c>
      <c r="B32">
        <f t="shared" si="1"/>
        <v>0.01</v>
      </c>
      <c r="C32">
        <v>0.05</v>
      </c>
      <c r="D32">
        <v>0</v>
      </c>
      <c r="E32" s="5">
        <v>110</v>
      </c>
      <c r="F32" cm="1">
        <f t="array" ref="F32">delta_call(E32,A32,0.1,B32,D32,C32)</f>
        <v>0.99999999946665097</v>
      </c>
      <c r="G32" cm="1">
        <f t="array" ref="G32">delta_call(E32,A32,0.2,B32,D32,C32)</f>
        <v>0.99999358615320744</v>
      </c>
      <c r="H32" cm="1">
        <f t="array" ref="H32">delta_call(E32,A32,0.3,B32,D32,C32)</f>
        <v>0.99984300347511301</v>
      </c>
      <c r="I32" cm="1">
        <f t="array" ref="I32">delta_call(E32,A32,0.4,B32,D32,C32)</f>
        <v>0.99920100944181667</v>
      </c>
      <c r="J32" cm="1">
        <f t="array" ref="J32">delta_call(E32,A32,0.5,B32,D32,C32)</f>
        <v>0.99784733183292618</v>
      </c>
      <c r="K32" cm="1">
        <f t="array" ref="K32">delta_call(E32,A32,0.6,B32,D32,C32)</f>
        <v>0.99579539732471112</v>
      </c>
      <c r="L32" cm="1">
        <f t="array" ref="L32">delta_call(E32,A32,0.7,B32,D32,C32)</f>
        <v>0.99317982212385825</v>
      </c>
      <c r="M32" cm="1">
        <f t="array" ref="M32">delta_call(E32,A32,0.8,B32,D32,C32)</f>
        <v>0.99016139358503918</v>
      </c>
      <c r="N32" cm="1">
        <f t="array" ref="N32">delta_call(E32,A32,0.9,B32,D32,C32)</f>
        <v>0.98688430161007179</v>
      </c>
      <c r="O32" cm="1">
        <f t="array" ref="O32">delta_call(E32,A32,1,B32,D32,C32)</f>
        <v>0.98346381355380319</v>
      </c>
      <c r="P32" cm="1">
        <f t="array" ref="P32">delta_call(E32,A32,2,B32,D32,C32)</f>
        <v>0.95215201011943384</v>
      </c>
      <c r="Q32" cm="1">
        <f t="array" ref="Q32">delta_call(E32,A32,3,B32,D32,C32)</f>
        <v>0.93192187204147803</v>
      </c>
      <c r="R32" cm="1">
        <f t="array" ref="R32">delta_call(E32,A32,4,B32,D32,C32)</f>
        <v>0.91970675745652553</v>
      </c>
      <c r="S32" cm="1">
        <f t="array" ref="S32">delta_call(E32,A32,5,B32,D32,C32)</f>
        <v>0.91238604125034095</v>
      </c>
    </row>
    <row r="33" spans="1:19" x14ac:dyDescent="0.3">
      <c r="A33">
        <v>100</v>
      </c>
      <c r="B33">
        <f t="shared" si="1"/>
        <v>0.01</v>
      </c>
      <c r="C33">
        <v>0.05</v>
      </c>
      <c r="D33">
        <v>0</v>
      </c>
      <c r="E33" s="5">
        <v>115</v>
      </c>
      <c r="F33" cm="1">
        <f t="array" ref="F33">delta_call(E33,A33,0.1,B33,D33,C33)</f>
        <v>1</v>
      </c>
      <c r="G33" cm="1">
        <f t="array" ref="G33">delta_call(E33,A33,0.2,B33,D33,C33)</f>
        <v>0.99999999989301724</v>
      </c>
      <c r="H33" cm="1">
        <f t="array" ref="H33">delta_call(E33,A33,0.3,B33,D33,C33)</f>
        <v>0.99999991368260444</v>
      </c>
      <c r="I33" cm="1">
        <f t="array" ref="I33">delta_call(E33,A33,0.4,B33,D33,C33)</f>
        <v>0.99999746612316398</v>
      </c>
      <c r="J33" cm="1">
        <f t="array" ref="J33">delta_call(E33,A33,0.5,B33,D33,C33)</f>
        <v>0.99998040159115298</v>
      </c>
      <c r="K33" cm="1">
        <f t="array" ref="K33">delta_call(E33,A33,0.6,B33,D33,C33)</f>
        <v>0.99992250102787705</v>
      </c>
      <c r="L33" cm="1">
        <f t="array" ref="L33">delta_call(E33,A33,0.7,B33,D33,C33)</f>
        <v>0.99979158938598267</v>
      </c>
      <c r="M33" cm="1">
        <f t="array" ref="M33">delta_call(E33,A33,0.8,B33,D33,C33)</f>
        <v>0.99956015075205285</v>
      </c>
      <c r="N33" cm="1">
        <f t="array" ref="N33">delta_call(E33,A33,0.9,B33,D33,C33)</f>
        <v>0.99921086779639845</v>
      </c>
      <c r="O33" cm="1">
        <f t="array" ref="O33">delta_call(E33,A33,1,B33,D33,C33)</f>
        <v>0.99873712290517369</v>
      </c>
      <c r="P33" cm="1">
        <f t="array" ref="P33">delta_call(E33,A33,2,B33,D33,C33)</f>
        <v>0.98912571013143469</v>
      </c>
      <c r="Q33" cm="1">
        <f t="array" ref="Q33">delta_call(E33,A33,3,B33,D33,C33)</f>
        <v>0.9774404993445992</v>
      </c>
      <c r="R33" cm="1">
        <f t="array" ref="R33">delta_call(E33,A33,4,B33,D33,C33)</f>
        <v>0.96767129111176242</v>
      </c>
      <c r="S33" cm="1">
        <f t="array" ref="S33">delta_call(E33,A33,5,B33,D33,C33)</f>
        <v>0.96021479519873576</v>
      </c>
    </row>
    <row r="34" spans="1:19" x14ac:dyDescent="0.3">
      <c r="A34">
        <v>100</v>
      </c>
      <c r="B34">
        <f t="shared" si="1"/>
        <v>0.01</v>
      </c>
      <c r="C34">
        <v>0.05</v>
      </c>
      <c r="D34">
        <v>0</v>
      </c>
      <c r="E34" s="5">
        <v>120</v>
      </c>
      <c r="F34" cm="1">
        <f t="array" ref="F34">delta_call(E34,A34,0.1,B34,D34,C34)</f>
        <v>1</v>
      </c>
      <c r="G34" cm="1">
        <f t="array" ref="G34">delta_call(E34,A34,0.2,B34,D34,C34)</f>
        <v>0.99999999999999989</v>
      </c>
      <c r="H34" cm="1">
        <f t="array" ref="H34">delta_call(E34,A34,0.3,B34,D34,C34)</f>
        <v>0.99999999999401945</v>
      </c>
      <c r="I34" cm="1">
        <f t="array" ref="I34">delta_call(E34,A34,0.4,B34,D34,C34)</f>
        <v>0.99999999826663921</v>
      </c>
      <c r="J34" cm="1">
        <f t="array" ref="J34">delta_call(E34,A34,0.5,B34,D34,C34)</f>
        <v>0.99999994694343552</v>
      </c>
      <c r="K34" cm="1">
        <f t="array" ref="K34">delta_call(E34,A34,0.6,B34,D34,C34)</f>
        <v>0.99999947440838299</v>
      </c>
      <c r="L34" cm="1">
        <f t="array" ref="L34">delta_call(E34,A34,0.7,B34,D34,C34)</f>
        <v>0.9999972736033107</v>
      </c>
      <c r="M34" cm="1">
        <f t="array" ref="M34">delta_call(E34,A34,0.8,B34,D34,C34)</f>
        <v>0.99999057438900363</v>
      </c>
      <c r="N34" cm="1">
        <f t="array" ref="N34">delta_call(E34,A34,0.9,B34,D34,C34)</f>
        <v>0.99997516024645405</v>
      </c>
      <c r="O34" cm="1">
        <f t="array" ref="O34">delta_call(E34,A34,1,B34,D34,C34)</f>
        <v>0.99994590088697366</v>
      </c>
      <c r="P34" cm="1">
        <f t="array" ref="P34">delta_call(E34,A34,2,B34,D34,C34)</f>
        <v>0.99811393359429523</v>
      </c>
      <c r="Q34" cm="1">
        <f t="array" ref="Q34">delta_call(E34,A34,3,B34,D34,C34)</f>
        <v>0.99370177838692031</v>
      </c>
      <c r="R34" cm="1">
        <f t="array" ref="R34">delta_call(E34,A34,4,B34,D34,C34)</f>
        <v>0.98849340370177485</v>
      </c>
      <c r="S34" cm="1">
        <f t="array" ref="S34">delta_call(E34,A34,5,B34,D34,C34)</f>
        <v>0.98357242315619375</v>
      </c>
    </row>
    <row r="35" spans="1:19" x14ac:dyDescent="0.3">
      <c r="A35">
        <v>100</v>
      </c>
      <c r="B35">
        <f t="shared" si="1"/>
        <v>0.01</v>
      </c>
      <c r="C35">
        <v>0.05</v>
      </c>
      <c r="D35">
        <v>0</v>
      </c>
      <c r="E35" s="5">
        <v>125</v>
      </c>
      <c r="F35" cm="1">
        <f t="array" ref="F35">delta_call(E35,A35,0.1,B35,D35,C35)</f>
        <v>1</v>
      </c>
      <c r="G35" cm="1">
        <f t="array" ref="G35">delta_call(E35,A35,0.2,B35,D35,C35)</f>
        <v>1</v>
      </c>
      <c r="H35" cm="1">
        <f t="array" ref="H35">delta_call(E35,A35,0.3,B35,D35,C35)</f>
        <v>0.99999999999999989</v>
      </c>
      <c r="I35" cm="1">
        <f t="array" ref="I35">delta_call(E35,A35,0.4,B35,D35,C35)</f>
        <v>0.99999999999969613</v>
      </c>
      <c r="J35" cm="1">
        <f t="array" ref="J35">delta_call(E35,A35,0.5,B35,D35,C35)</f>
        <v>0.99999999995117717</v>
      </c>
      <c r="K35" cm="1">
        <f t="array" ref="K35">delta_call(E35,A35,0.6,B35,D35,C35)</f>
        <v>0.99999999853815102</v>
      </c>
      <c r="L35" cm="1">
        <f t="array" ref="L35">delta_call(E35,A35,0.7,B35,D35,C35)</f>
        <v>0.99999998327995909</v>
      </c>
      <c r="M35" cm="1">
        <f t="array" ref="M35">delta_call(E35,A35,0.8,B35,D35,C35)</f>
        <v>0.99999989535303313</v>
      </c>
      <c r="N35" cm="1">
        <f t="array" ref="N35">delta_call(E35,A35,0.9,B35,D35,C35)</f>
        <v>0.99999956223859732</v>
      </c>
      <c r="O35" cm="1">
        <f t="array" ref="O35">delta_call(E35,A35,1,B35,D35,C35)</f>
        <v>0.99999861969050008</v>
      </c>
      <c r="P35" cm="1">
        <f t="array" ref="P35">delta_call(E35,A35,2,B35,D35,C35)</f>
        <v>0.99974354725487879</v>
      </c>
      <c r="Q35" cm="1">
        <f t="array" ref="Q35">delta_call(E35,A35,3,B35,D35,C35)</f>
        <v>0.99849321936174029</v>
      </c>
      <c r="R35" cm="1">
        <f t="array" ref="R35">delta_call(E35,A35,4,B35,D35,C35)</f>
        <v>0.99633464790514792</v>
      </c>
      <c r="S35" cm="1">
        <f t="array" ref="S35">delta_call(E35,A35,5,B35,D35,C35)</f>
        <v>0.9937722905272045</v>
      </c>
    </row>
    <row r="36" spans="1:19" x14ac:dyDescent="0.3">
      <c r="A36">
        <v>100</v>
      </c>
      <c r="B36">
        <f t="shared" si="1"/>
        <v>0.01</v>
      </c>
      <c r="C36">
        <v>0.05</v>
      </c>
      <c r="D36">
        <v>0</v>
      </c>
      <c r="E36" s="5">
        <v>130</v>
      </c>
      <c r="F36" cm="1">
        <f t="array" ref="F36">delta_call(E36,A36,0.1,B36,D36,C36)</f>
        <v>1</v>
      </c>
      <c r="G36" cm="1">
        <f t="array" ref="G36">delta_call(E36,A36,0.2,B36,D36,C36)</f>
        <v>1</v>
      </c>
      <c r="H36" cm="1">
        <f t="array" ref="H36">delta_call(E36,A36,0.3,B36,D36,C36)</f>
        <v>1</v>
      </c>
      <c r="I36" cm="1">
        <f t="array" ref="I36">delta_call(E36,A36,0.4,B36,D36,C36)</f>
        <v>1</v>
      </c>
      <c r="J36" cm="1">
        <f t="array" ref="J36">delta_call(E36,A36,0.5,B36,D36,C36)</f>
        <v>0.99999999999998268</v>
      </c>
      <c r="K36" cm="1">
        <f t="array" ref="K36">delta_call(E36,A36,0.6,B36,D36,C36)</f>
        <v>0.99999999999815403</v>
      </c>
      <c r="L36" cm="1">
        <f t="array" ref="L36">delta_call(E36,A36,0.7,B36,D36,C36)</f>
        <v>0.99999999994763256</v>
      </c>
      <c r="M36" cm="1">
        <f t="array" ref="M36">delta_call(E36,A36,0.8,B36,D36,C36)</f>
        <v>0.99999999935198958</v>
      </c>
      <c r="N36" cm="1">
        <f t="array" ref="N36">delta_call(E36,A36,0.9,B36,D36,C36)</f>
        <v>0.99999999539247697</v>
      </c>
      <c r="O36" cm="1">
        <f t="array" ref="O36">delta_call(E36,A36,1,B36,D36,C36)</f>
        <v>0.99999997778655669</v>
      </c>
      <c r="P36" cm="1">
        <f t="array" ref="P36">delta_call(E36,A36,2,B36,D36,C36)</f>
        <v>0.99997194369841946</v>
      </c>
      <c r="Q36" cm="1">
        <f t="array" ref="Q36">delta_call(E36,A36,3,B36,D36,C36)</f>
        <v>0.99968601036528271</v>
      </c>
      <c r="R36" cm="1">
        <f t="array" ref="R36">delta_call(E36,A36,4,B36,D36,C36)</f>
        <v>0.99894268716503409</v>
      </c>
      <c r="S36" cm="1">
        <f t="array" ref="S36">delta_call(E36,A36,5,B36,D36,C36)</f>
        <v>0.99781247528007733</v>
      </c>
    </row>
    <row r="37" spans="1:19" x14ac:dyDescent="0.3">
      <c r="A37">
        <v>100</v>
      </c>
      <c r="B37">
        <f t="shared" si="1"/>
        <v>0.01</v>
      </c>
      <c r="C37">
        <v>0.05</v>
      </c>
      <c r="D37">
        <v>0</v>
      </c>
      <c r="E37" s="5">
        <v>135</v>
      </c>
      <c r="F37" cm="1">
        <f t="array" ref="F37">delta_call(E37,A37,0.1,B37,D37,C37)</f>
        <v>1</v>
      </c>
      <c r="G37" cm="1">
        <f t="array" ref="G37">delta_call(E37,A37,0.2,B37,D37,C37)</f>
        <v>1</v>
      </c>
      <c r="H37" cm="1">
        <f t="array" ref="H37">delta_call(E37,A37,0.3,B37,D37,C37)</f>
        <v>1</v>
      </c>
      <c r="I37" cm="1">
        <f t="array" ref="I37">delta_call(E37,A37,0.4,B37,D37,C37)</f>
        <v>1</v>
      </c>
      <c r="J37" cm="1">
        <f t="array" ref="J37">delta_call(E37,A37,0.5,B37,D37,C37)</f>
        <v>1</v>
      </c>
      <c r="K37" cm="1">
        <f t="array" ref="K37">delta_call(E37,A37,0.6,B37,D37,C37)</f>
        <v>0.99999999999999889</v>
      </c>
      <c r="L37" cm="1">
        <f t="array" ref="L37">delta_call(E37,A37,0.7,B37,D37,C37)</f>
        <v>0.99999999999990952</v>
      </c>
      <c r="M37" cm="1">
        <f t="array" ref="M37">delta_call(E37,A37,0.8,B37,D37,C37)</f>
        <v>0.99999999999760714</v>
      </c>
      <c r="N37" cm="1">
        <f t="array" ref="N37">delta_call(E37,A37,0.9,B37,D37,C37)</f>
        <v>0.99999999996928457</v>
      </c>
      <c r="O37" cm="1">
        <f t="array" ref="O37">delta_call(E37,A37,1,B37,D37,C37)</f>
        <v>0.99999999976241372</v>
      </c>
      <c r="P37" cm="1">
        <f t="array" ref="P37">delta_call(E37,A37,2,B37,D37,C37)</f>
        <v>0.99999747040161946</v>
      </c>
      <c r="Q37" cm="1">
        <f t="array" ref="Q37">delta_call(E37,A37,3,B37,D37,C37)</f>
        <v>0.99994214009939286</v>
      </c>
      <c r="R37" cm="1">
        <f t="array" ref="R37">delta_call(E37,A37,4,B37,D37,C37)</f>
        <v>0.99972079072987197</v>
      </c>
      <c r="S37" cm="1">
        <f t="array" ref="S37">delta_call(E37,A37,5,B37,D37,C37)</f>
        <v>0.99928204168011003</v>
      </c>
    </row>
    <row r="38" spans="1:19" x14ac:dyDescent="0.3">
      <c r="A38">
        <v>100</v>
      </c>
      <c r="B38">
        <f t="shared" si="1"/>
        <v>0.01</v>
      </c>
      <c r="C38">
        <v>0.05</v>
      </c>
      <c r="D38">
        <v>0</v>
      </c>
      <c r="E38" s="5">
        <v>140</v>
      </c>
      <c r="F38" cm="1">
        <f t="array" ref="F38">delta_call(E38,A38,0.1,B38,D38,C38)</f>
        <v>1</v>
      </c>
      <c r="G38" cm="1">
        <f t="array" ref="G38">delta_call(E38,A38,0.2,B38,D38,C38)</f>
        <v>1</v>
      </c>
      <c r="H38" cm="1">
        <f t="array" ref="H38">delta_call(E38,A38,0.3,B38,D38,C38)</f>
        <v>1</v>
      </c>
      <c r="I38" cm="1">
        <f t="array" ref="I38">delta_call(E38,A38,0.4,B38,D38,C38)</f>
        <v>1</v>
      </c>
      <c r="J38" cm="1">
        <f t="array" ref="J38">delta_call(E38,A38,0.5,B38,D38,C38)</f>
        <v>1</v>
      </c>
      <c r="K38" cm="1">
        <f t="array" ref="K38">delta_call(E38,A38,0.6,B38,D38,C38)</f>
        <v>1</v>
      </c>
      <c r="L38" cm="1">
        <f t="array" ref="L38">delta_call(E38,A38,0.7,B38,D38,C38)</f>
        <v>0.99999999999999989</v>
      </c>
      <c r="M38" cm="1">
        <f t="array" ref="M38">delta_call(E38,A38,0.8,B38,D38,C38)</f>
        <v>0.99999999999999445</v>
      </c>
      <c r="N38" cm="1">
        <f t="array" ref="N38">delta_call(E38,A38,0.9,B38,D38,C38)</f>
        <v>0.99999999999986333</v>
      </c>
      <c r="O38" cm="1">
        <f t="array" ref="O38">delta_call(E38,A38,1,B38,D38,C38)</f>
        <v>0.99999999999823019</v>
      </c>
      <c r="P38" cm="1">
        <f t="array" ref="P38">delta_call(E38,A38,2,B38,D38,C38)</f>
        <v>0.99999980791011267</v>
      </c>
      <c r="Q38" cm="1">
        <f t="array" ref="Q38">delta_call(E38,A38,3,B38,D38,C38)</f>
        <v>0.99999044134034476</v>
      </c>
      <c r="R38" cm="1">
        <f t="array" ref="R38">delta_call(E38,A38,4,B38,D38,C38)</f>
        <v>0.99993183193784485</v>
      </c>
      <c r="S38" cm="1">
        <f t="array" ref="S38">delta_call(E38,A38,5,B38,D38,C38)</f>
        <v>0.99977813959038175</v>
      </c>
    </row>
    <row r="40" spans="1:19" x14ac:dyDescent="0.3">
      <c r="A40" t="s">
        <v>13</v>
      </c>
      <c r="B40" t="s">
        <v>14</v>
      </c>
      <c r="C40" t="s">
        <v>15</v>
      </c>
      <c r="D40" t="s">
        <v>26</v>
      </c>
      <c r="F40" s="7">
        <v>0.1</v>
      </c>
      <c r="G40" s="7">
        <v>0.2</v>
      </c>
      <c r="H40" s="7">
        <v>0.3</v>
      </c>
      <c r="I40" s="7">
        <v>0.4</v>
      </c>
      <c r="J40" s="7">
        <v>0.5</v>
      </c>
      <c r="K40" s="7">
        <v>0.6</v>
      </c>
      <c r="L40" s="7">
        <v>0.7</v>
      </c>
      <c r="M40" s="7">
        <v>0.8</v>
      </c>
      <c r="N40" s="7">
        <v>0.9</v>
      </c>
      <c r="O40" s="7">
        <v>1</v>
      </c>
      <c r="P40" s="7">
        <v>2</v>
      </c>
      <c r="Q40" s="7">
        <v>3</v>
      </c>
      <c r="R40" s="7">
        <v>4</v>
      </c>
      <c r="S40" s="7">
        <v>5</v>
      </c>
    </row>
    <row r="41" spans="1:19" x14ac:dyDescent="0.3">
      <c r="A41">
        <v>100</v>
      </c>
      <c r="B41">
        <f>1/100</f>
        <v>0.01</v>
      </c>
      <c r="C41">
        <v>0.7</v>
      </c>
      <c r="D41">
        <v>0</v>
      </c>
      <c r="E41" s="5">
        <v>60</v>
      </c>
      <c r="F41" cm="1">
        <f t="array" ref="F41">delta_call(E41,A41,0.1,B41,D41,C41)</f>
        <v>1.4172516410180346E-2</v>
      </c>
      <c r="G41" cm="1">
        <f t="array" ref="G41">delta_call(E41,A41,0.2,B41,D41,C41)</f>
        <v>7.0935508437462005E-2</v>
      </c>
      <c r="H41" cm="1">
        <f t="array" ref="H41">delta_call(E41,A41,0.3,B41,D41,C41)</f>
        <v>0.12864718412716486</v>
      </c>
      <c r="I41" cm="1">
        <f t="array" ref="I41">delta_call(E41,A41,0.4,B41,D41,C41)</f>
        <v>0.17788820766333283</v>
      </c>
      <c r="J41" cm="1">
        <f t="array" ref="J41">delta_call(E41,A41,0.5,B41,D41,C41)</f>
        <v>0.21933688252774508</v>
      </c>
      <c r="K41" cm="1">
        <f t="array" ref="K41">delta_call(E41,A41,0.6,B41,D41,C41)</f>
        <v>0.25464942429368886</v>
      </c>
      <c r="L41" cm="1">
        <f t="array" ref="L41">delta_call(E41,A41,0.7,B41,D41,C41)</f>
        <v>0.28520905037576461</v>
      </c>
      <c r="M41" cm="1">
        <f t="array" ref="M41">delta_call(E41,A41,0.8,B41,D41,C41)</f>
        <v>0.31204598583849896</v>
      </c>
      <c r="N41" cm="1">
        <f t="array" ref="N41">delta_call(E41,A41,0.9,B41,D41,C41)</f>
        <v>0.33591666677495491</v>
      </c>
      <c r="O41" cm="1">
        <f t="array" ref="O41">delta_call(E41,A41,1,B41,D41,C41)</f>
        <v>0.35738209829658441</v>
      </c>
      <c r="P41" cm="1">
        <f t="array" ref="P41">delta_call(E41,A41,2,B41,D41,C41)</f>
        <v>0.49966727980378467</v>
      </c>
      <c r="Q41" cm="1">
        <f t="array" ref="Q41">delta_call(E41,A41,3,B41,D41,C41)</f>
        <v>0.58302547291909579</v>
      </c>
      <c r="R41" cm="1">
        <f t="array" ref="R41">delta_call(E41,A41,4,B41,D41,C41)</f>
        <v>0.64195747834153349</v>
      </c>
      <c r="S41" cm="1">
        <f t="array" ref="S41">delta_call(E41,A41,5,B41,D41,C41)</f>
        <v>0.68730054692506171</v>
      </c>
    </row>
    <row r="42" spans="1:19" x14ac:dyDescent="0.3">
      <c r="A42">
        <v>100</v>
      </c>
      <c r="B42">
        <f t="shared" ref="B42:B57" si="2">1/100</f>
        <v>0.01</v>
      </c>
      <c r="C42">
        <v>0.7</v>
      </c>
      <c r="D42">
        <v>0</v>
      </c>
      <c r="E42" s="5">
        <v>65</v>
      </c>
      <c r="F42" cm="1">
        <f t="array" ref="F42">delta_call(E42,A42,0.1,B42,D42,C42)</f>
        <v>3.3559109528038859E-2</v>
      </c>
      <c r="G42" cm="1">
        <f t="array" ref="G42">delta_call(E42,A42,0.2,B42,D42,C42)</f>
        <v>0.1125320287981192</v>
      </c>
      <c r="H42" cm="1">
        <f t="array" ref="H42">delta_call(E42,A42,0.3,B42,D42,C42)</f>
        <v>0.17773231759931055</v>
      </c>
      <c r="I42" cm="1">
        <f t="array" ref="I42">delta_call(E42,A42,0.4,B42,D42,C42)</f>
        <v>0.22884834624947173</v>
      </c>
      <c r="J42" cm="1">
        <f t="array" ref="J42">delta_call(E42,A42,0.5,B42,D42,C42)</f>
        <v>0.27002941906017608</v>
      </c>
      <c r="K42" cm="1">
        <f t="array" ref="K42">delta_call(E42,A42,0.6,B42,D42,C42)</f>
        <v>0.30421743238116761</v>
      </c>
      <c r="L42" cm="1">
        <f t="array" ref="L42">delta_call(E42,A42,0.7,B42,D42,C42)</f>
        <v>0.33331949096800972</v>
      </c>
      <c r="M42" cm="1">
        <f t="array" ref="M42">delta_call(E42,A42,0.8,B42,D42,C42)</f>
        <v>0.35859541431469411</v>
      </c>
      <c r="N42" cm="1">
        <f t="array" ref="N42">delta_call(E42,A42,0.9,B42,D42,C42)</f>
        <v>0.38090637910375635</v>
      </c>
      <c r="O42" cm="1">
        <f t="array" ref="O42">delta_call(E42,A42,1,B42,D42,C42)</f>
        <v>0.40086126530492783</v>
      </c>
      <c r="P42" cm="1">
        <f t="array" ref="P42">delta_call(E42,A42,2,B42,D42,C42)</f>
        <v>0.53188985779067388</v>
      </c>
      <c r="Q42" cm="1">
        <f t="array" ref="Q42">delta_call(E42,A42,3,B42,D42,C42)</f>
        <v>0.60859446958381602</v>
      </c>
      <c r="R42" cm="1">
        <f t="array" ref="R42">delta_call(E42,A42,4,B42,D42,C42)</f>
        <v>0.66307475466289512</v>
      </c>
      <c r="S42" cm="1">
        <f t="array" ref="S42">delta_call(E42,A42,5,B42,D42,C42)</f>
        <v>0.7051774889132375</v>
      </c>
    </row>
    <row r="43" spans="1:19" x14ac:dyDescent="0.3">
      <c r="A43">
        <v>100</v>
      </c>
      <c r="B43">
        <f t="shared" si="2"/>
        <v>0.01</v>
      </c>
      <c r="C43">
        <v>0.7</v>
      </c>
      <c r="D43">
        <v>0</v>
      </c>
      <c r="E43" s="5">
        <v>70</v>
      </c>
      <c r="F43" cm="1">
        <f t="array" ref="F43">delta_call(E43,A43,0.1,B43,D43,C43)</f>
        <v>6.7314333689320854E-2</v>
      </c>
      <c r="G43" cm="1">
        <f t="array" ref="G43">delta_call(E43,A43,0.2,B43,D43,C43)</f>
        <v>0.16442254250486507</v>
      </c>
      <c r="H43" cm="1">
        <f t="array" ref="H43">delta_call(E43,A43,0.3,B43,D43,C43)</f>
        <v>0.23246500816982485</v>
      </c>
      <c r="I43" cm="1">
        <f t="array" ref="I43">delta_call(E43,A43,0.4,B43,D43,C43)</f>
        <v>0.2825604188958426</v>
      </c>
      <c r="J43" cm="1">
        <f t="array" ref="J43">delta_call(E43,A43,0.5,B43,D43,C43)</f>
        <v>0.321680998869812</v>
      </c>
      <c r="K43" cm="1">
        <f t="array" ref="K43">delta_call(E43,A43,0.6,B43,D43,C43)</f>
        <v>0.35359481222504729</v>
      </c>
      <c r="L43" cm="1">
        <f t="array" ref="L43">delta_call(E43,A43,0.7,B43,D43,C43)</f>
        <v>0.38047699350816261</v>
      </c>
      <c r="M43" cm="1">
        <f t="array" ref="M43">delta_call(E43,A43,0.8,B43,D43,C43)</f>
        <v>0.40367306765236</v>
      </c>
      <c r="N43" cm="1">
        <f t="array" ref="N43">delta_call(E43,A43,0.9,B43,D43,C43)</f>
        <v>0.42406461171571108</v>
      </c>
      <c r="O43" cm="1">
        <f t="array" ref="O43">delta_call(E43,A43,1,B43,D43,C43)</f>
        <v>0.44225677670824065</v>
      </c>
      <c r="P43" cm="1">
        <f t="array" ref="P43">delta_call(E43,A43,2,B43,D43,C43)</f>
        <v>0.56154270782051552</v>
      </c>
      <c r="Q43" cm="1">
        <f t="array" ref="Q43">delta_call(E43,A43,3,B43,D43,C43)</f>
        <v>0.6318589374193645</v>
      </c>
      <c r="R43" cm="1">
        <f t="array" ref="R43">delta_call(E43,A43,4,B43,D43,C43)</f>
        <v>0.68218002050056525</v>
      </c>
      <c r="S43" cm="1">
        <f t="array" ref="S43">delta_call(E43,A43,5,B43,D43,C43)</f>
        <v>0.72129617267842749</v>
      </c>
    </row>
    <row r="44" spans="1:19" x14ac:dyDescent="0.3">
      <c r="A44">
        <v>100</v>
      </c>
      <c r="B44">
        <f t="shared" si="2"/>
        <v>0.01</v>
      </c>
      <c r="C44">
        <v>0.7</v>
      </c>
      <c r="D44">
        <v>0</v>
      </c>
      <c r="E44" s="5">
        <v>75</v>
      </c>
      <c r="F44" cm="1">
        <f t="array" ref="F44">delta_call(E44,A44,0.1,B44,D44,C44)</f>
        <v>0.11812384444557725</v>
      </c>
      <c r="G44" cm="1">
        <f t="array" ref="G44">delta_call(E44,A44,0.2,B44,D44,C44)</f>
        <v>0.22480866569935679</v>
      </c>
      <c r="H44" cm="1">
        <f t="array" ref="H44">delta_call(E44,A44,0.3,B44,D44,C44)</f>
        <v>0.29088345804427962</v>
      </c>
      <c r="I44" cm="1">
        <f t="array" ref="I44">delta_call(E44,A44,0.4,B44,D44,C44)</f>
        <v>0.33745714429181278</v>
      </c>
      <c r="J44" cm="1">
        <f t="array" ref="J44">delta_call(E44,A44,0.5,B44,D44,C44)</f>
        <v>0.37311413811757654</v>
      </c>
      <c r="K44" cm="1">
        <f t="array" ref="K44">delta_call(E44,A44,0.6,B44,D44,C44)</f>
        <v>0.40191588858029148</v>
      </c>
      <c r="L44" cm="1">
        <f t="array" ref="L44">delta_call(E44,A44,0.7,B44,D44,C44)</f>
        <v>0.42605572393834901</v>
      </c>
      <c r="M44" cm="1">
        <f t="array" ref="M44">delta_call(E44,A44,0.8,B44,D44,C44)</f>
        <v>0.4468371862263481</v>
      </c>
      <c r="N44" cm="1">
        <f t="array" ref="N44">delta_call(E44,A44,0.9,B44,D44,C44)</f>
        <v>0.46509202722548021</v>
      </c>
      <c r="O44" cm="1">
        <f t="array" ref="O44">delta_call(E44,A44,1,B44,D44,C44)</f>
        <v>0.48138067829969228</v>
      </c>
      <c r="P44" cm="1">
        <f t="array" ref="P44">delta_call(E44,A44,2,B44,D44,C44)</f>
        <v>0.58884505024731815</v>
      </c>
      <c r="Q44" cm="1">
        <f t="array" ref="Q44">delta_call(E44,A44,3,B44,D44,C44)</f>
        <v>0.65309326207328378</v>
      </c>
      <c r="R44" cm="1">
        <f t="array" ref="R44">delta_call(E44,A44,4,B44,D44,C44)</f>
        <v>0.6995421817462979</v>
      </c>
      <c r="S44" cm="1">
        <f t="array" ref="S44">delta_call(E44,A44,5,B44,D44,C44)</f>
        <v>0.73590594061231929</v>
      </c>
    </row>
    <row r="45" spans="1:19" x14ac:dyDescent="0.3">
      <c r="A45">
        <v>100</v>
      </c>
      <c r="B45">
        <f t="shared" si="2"/>
        <v>0.01</v>
      </c>
      <c r="C45">
        <v>0.7</v>
      </c>
      <c r="D45">
        <v>0</v>
      </c>
      <c r="E45" s="5">
        <v>80</v>
      </c>
      <c r="F45" cm="1">
        <f t="array" ref="F45">delta_call(E45,A45,0.1,B45,D45,C45)</f>
        <v>0.1859653914835159</v>
      </c>
      <c r="G45" cm="1">
        <f t="array" ref="G45">delta_call(E45,A45,0.2,B45,D45,C45)</f>
        <v>0.29119658735199461</v>
      </c>
      <c r="H45" cm="1">
        <f t="array" ref="H45">delta_call(E45,A45,0.3,B45,D45,C45)</f>
        <v>0.35105412667393221</v>
      </c>
      <c r="I45" cm="1">
        <f t="array" ref="I45">delta_call(E45,A45,0.4,B45,D45,C45)</f>
        <v>0.39218241716757007</v>
      </c>
      <c r="J45" cm="1">
        <f t="array" ref="J45">delta_call(E45,A45,0.5,B45,D45,C45)</f>
        <v>0.42338975390145228</v>
      </c>
      <c r="K45" cm="1">
        <f t="array" ref="K45">delta_call(E45,A45,0.6,B45,D45,C45)</f>
        <v>0.44853473955530426</v>
      </c>
      <c r="L45" cm="1">
        <f t="array" ref="L45">delta_call(E45,A45,0.7,B45,D45,C45)</f>
        <v>0.46961905238935342</v>
      </c>
      <c r="M45" cm="1">
        <f t="array" ref="M45">delta_call(E45,A45,0.8,B45,D45,C45)</f>
        <v>0.48780387480181481</v>
      </c>
      <c r="N45" cm="1">
        <f t="array" ref="N45">delta_call(E45,A45,0.9,B45,D45,C45)</f>
        <v>0.50381855178670831</v>
      </c>
      <c r="O45" cm="1">
        <f t="array" ref="O45">delta_call(E45,A45,1,B45,D45,C45)</f>
        <v>0.51814928396600646</v>
      </c>
      <c r="P45" cm="1">
        <f t="array" ref="P45">delta_call(E45,A45,2,B45,D45,C45)</f>
        <v>0.61400342998708823</v>
      </c>
      <c r="Q45" cm="1">
        <f t="array" ref="Q45">delta_call(E45,A45,3,B45,D45,C45)</f>
        <v>0.67253202402158774</v>
      </c>
      <c r="R45" cm="1">
        <f t="array" ref="R45">delta_call(E45,A45,4,B45,D45,C45)</f>
        <v>0.71538408216511395</v>
      </c>
      <c r="S45" cm="1">
        <f t="array" ref="S45">delta_call(E45,A45,5,B45,D45,C45)</f>
        <v>0.74921020009772776</v>
      </c>
    </row>
    <row r="46" spans="1:19" x14ac:dyDescent="0.3">
      <c r="A46">
        <v>100</v>
      </c>
      <c r="B46">
        <f t="shared" si="2"/>
        <v>0.01</v>
      </c>
      <c r="C46">
        <v>0.7</v>
      </c>
      <c r="D46">
        <v>0</v>
      </c>
      <c r="E46" s="5">
        <v>85</v>
      </c>
      <c r="F46" cm="1">
        <f t="array" ref="F46">delta_call(E46,A46,0.1,B46,D46,C46)</f>
        <v>0.26796199105356833</v>
      </c>
      <c r="G46" cm="1">
        <f t="array" ref="G46">delta_call(E46,A46,0.2,B46,D46,C46)</f>
        <v>0.36083260847207799</v>
      </c>
      <c r="H46" cm="1">
        <f t="array" ref="H46">delta_call(E46,A46,0.3,B46,D46,C46)</f>
        <v>0.41124061917525218</v>
      </c>
      <c r="I46" cm="1">
        <f t="array" ref="I46">delta_call(E46,A46,0.4,B46,D46,C46)</f>
        <v>0.44563462571633894</v>
      </c>
      <c r="J46" cm="1">
        <f t="array" ref="J46">delta_call(E46,A46,0.5,B46,D46,C46)</f>
        <v>0.47179879232314509</v>
      </c>
      <c r="K46" cm="1">
        <f t="array" ref="K46">delta_call(E46,A46,0.6,B46,D46,C46)</f>
        <v>0.49299670850426114</v>
      </c>
      <c r="L46" cm="1">
        <f t="array" ref="L46">delta_call(E46,A46,0.7,B46,D46,C46)</f>
        <v>0.51088466283087386</v>
      </c>
      <c r="M46" cm="1">
        <f t="array" ref="M46">delta_call(E46,A46,0.8,B46,D46,C46)</f>
        <v>0.52641188266539407</v>
      </c>
      <c r="N46" cm="1">
        <f t="array" ref="N46">delta_call(E46,A46,0.9,B46,D46,C46)</f>
        <v>0.54017047621406833</v>
      </c>
      <c r="O46" cm="1">
        <f t="array" ref="O46">delta_call(E46,A46,1,B46,D46,C46)</f>
        <v>0.55255365650027488</v>
      </c>
      <c r="P46" cm="1">
        <f t="array" ref="P46">delta_call(E46,A46,2,B46,D46,C46)</f>
        <v>0.6372091595946372</v>
      </c>
      <c r="Q46" cm="1">
        <f t="array" ref="Q46">delta_call(E46,A46,3,B46,D46,C46)</f>
        <v>0.69037656533296965</v>
      </c>
      <c r="R46" cm="1">
        <f t="array" ref="R46">delta_call(E46,A46,4,B46,D46,C46)</f>
        <v>0.7298920294417196</v>
      </c>
      <c r="S46" cm="1">
        <f t="array" ref="S46">delta_call(E46,A46,5,B46,D46,C46)</f>
        <v>0.76137672276598822</v>
      </c>
    </row>
    <row r="47" spans="1:19" x14ac:dyDescent="0.3">
      <c r="A47">
        <v>100</v>
      </c>
      <c r="B47">
        <f t="shared" si="2"/>
        <v>0.01</v>
      </c>
      <c r="C47">
        <v>0.7</v>
      </c>
      <c r="D47">
        <v>0</v>
      </c>
      <c r="E47" s="5">
        <v>90</v>
      </c>
      <c r="F47" cm="1">
        <f t="array" ref="F47">delta_call(E47,A47,0.1,B47,D47,C47)</f>
        <v>0.35913456099157326</v>
      </c>
      <c r="G47" cm="1">
        <f t="array" ref="G47">delta_call(E47,A47,0.2,B47,D47,C47)</f>
        <v>0.43107093630704646</v>
      </c>
      <c r="H47" cm="1">
        <f t="array" ref="H47">delta_call(E47,A47,0.3,B47,D47,C47)</f>
        <v>0.46999832462453128</v>
      </c>
      <c r="I47" cm="1">
        <f t="array" ref="I47">delta_call(E47,A47,0.4,B47,D47,C47)</f>
        <v>0.49697180538425573</v>
      </c>
      <c r="J47" cm="1">
        <f t="array" ref="J47">delta_call(E47,A47,0.5,B47,D47,C47)</f>
        <v>0.51783814678047568</v>
      </c>
      <c r="K47" cm="1">
        <f t="array" ref="K47">delta_call(E47,A47,0.6,B47,D47,C47)</f>
        <v>0.53500620140217281</v>
      </c>
      <c r="L47" cm="1">
        <f t="array" ref="L47">delta_call(E47,A47,0.7,B47,D47,C47)</f>
        <v>0.54969208348053678</v>
      </c>
      <c r="M47" cm="1">
        <f t="array" ref="M47">delta_call(E47,A47,0.8,B47,D47,C47)</f>
        <v>0.56259277523297513</v>
      </c>
      <c r="N47" cm="1">
        <f t="array" ref="N47">delta_call(E47,A47,0.9,B47,D47,C47)</f>
        <v>0.57414420495373475</v>
      </c>
      <c r="O47" cm="1">
        <f t="array" ref="O47">delta_call(E47,A47,1,B47,D47,C47)</f>
        <v>0.58463705945188194</v>
      </c>
      <c r="P47" cm="1">
        <f t="array" ref="P47">delta_call(E47,A47,2,B47,D47,C47)</f>
        <v>0.65863755277469005</v>
      </c>
      <c r="Q47" cm="1">
        <f t="array" ref="Q47">delta_call(E47,A47,3,B47,D47,C47)</f>
        <v>0.70680041566732965</v>
      </c>
      <c r="R47" cm="1">
        <f t="array" ref="R47">delta_call(E47,A47,4,B47,D47,C47)</f>
        <v>0.74322303904194742</v>
      </c>
      <c r="S47" cm="1">
        <f t="array" ref="S47">delta_call(E47,A47,5,B47,D47,C47)</f>
        <v>0.77254525218634607</v>
      </c>
    </row>
    <row r="48" spans="1:19" x14ac:dyDescent="0.3">
      <c r="A48">
        <v>100</v>
      </c>
      <c r="B48">
        <f t="shared" si="2"/>
        <v>0.01</v>
      </c>
      <c r="C48">
        <v>0.7</v>
      </c>
      <c r="D48">
        <v>0</v>
      </c>
      <c r="E48" s="5">
        <v>95</v>
      </c>
      <c r="F48" cm="1">
        <f t="array" ref="F48">delta_call(E48,A48,0.1,B48,D48,C48)</f>
        <v>0.45361933589765296</v>
      </c>
      <c r="G48" cm="1">
        <f t="array" ref="G48">delta_call(E48,A48,0.2,B48,D48,C48)</f>
        <v>0.49962623320470795</v>
      </c>
      <c r="H48" cm="1">
        <f t="array" ref="H48">delta_call(E48,A48,0.3,B48,D48,C48)</f>
        <v>0.52620925760538406</v>
      </c>
      <c r="I48" cm="1">
        <f t="array" ref="I48">delta_call(E48,A48,0.4,B48,D48,C48)</f>
        <v>0.54559305860541252</v>
      </c>
      <c r="J48" cm="1">
        <f t="array" ref="J48">delta_call(E48,A48,0.5,B48,D48,C48)</f>
        <v>0.5611796760669332</v>
      </c>
      <c r="K48" cm="1">
        <f t="array" ref="K48">delta_call(E48,A48,0.6,B48,D48,C48)</f>
        <v>0.5743952509735476</v>
      </c>
      <c r="L48" cm="1">
        <f t="array" ref="L48">delta_call(E48,A48,0.7,B48,D48,C48)</f>
        <v>0.58597436652795953</v>
      </c>
      <c r="M48" cm="1">
        <f t="array" ref="M48">delta_call(E48,A48,0.8,B48,D48,C48)</f>
        <v>0.59634657750086872</v>
      </c>
      <c r="N48" cm="1">
        <f t="array" ref="N48">delta_call(E48,A48,0.9,B48,D48,C48)</f>
        <v>0.60578578711469899</v>
      </c>
      <c r="O48" cm="1">
        <f t="array" ref="O48">delta_call(E48,A48,1,B48,D48,C48)</f>
        <v>0.61447800345493631</v>
      </c>
      <c r="P48" cm="1">
        <f t="array" ref="P48">delta_call(E48,A48,2,B48,D48,C48)</f>
        <v>0.67844816971783284</v>
      </c>
      <c r="Q48" cm="1">
        <f t="array" ref="Q48">delta_call(E48,A48,3,B48,D48,C48)</f>
        <v>0.72195375863049216</v>
      </c>
      <c r="R48" cm="1">
        <f t="array" ref="R48">delta_call(E48,A48,4,B48,D48,C48)</f>
        <v>0.75551041059640589</v>
      </c>
      <c r="S48" cm="1">
        <f t="array" ref="S48">delta_call(E48,A48,5,B48,D48,C48)</f>
        <v>0.78283321551332852</v>
      </c>
    </row>
    <row r="49" spans="1:29" x14ac:dyDescent="0.3">
      <c r="A49">
        <v>100</v>
      </c>
      <c r="B49">
        <f t="shared" si="2"/>
        <v>0.01</v>
      </c>
      <c r="C49">
        <v>0.7</v>
      </c>
      <c r="D49">
        <v>0</v>
      </c>
      <c r="E49" s="5">
        <v>100</v>
      </c>
      <c r="F49" cm="1">
        <f t="array" ref="F49">delta_call(E49,A49,0.1,B49,D49,C49)</f>
        <v>0.54585561384545689</v>
      </c>
      <c r="G49" cm="1">
        <f t="array" ref="G49">delta_call(E49,A49,0.2,B49,D49,C49)</f>
        <v>0.56470673879186362</v>
      </c>
      <c r="H49" cm="1">
        <f t="array" ref="H49">delta_call(E49,A49,0.3,B49,D49,C49)</f>
        <v>0.57907493425142031</v>
      </c>
      <c r="I49" cm="1">
        <f t="array" ref="I49">delta_call(E49,A49,0.4,B49,D49,C49)</f>
        <v>0.59110738863242962</v>
      </c>
      <c r="J49" cm="1">
        <f t="array" ref="J49">delta_call(E49,A49,0.5,B49,D49,C49)</f>
        <v>0.60163790095388769</v>
      </c>
      <c r="K49" cm="1">
        <f t="array" ref="K49">delta_call(E49,A49,0.6,B49,D49,C49)</f>
        <v>0.61109514525127495</v>
      </c>
      <c r="L49" cm="1">
        <f t="array" ref="L49">delta_call(E49,A49,0.7,B49,D49,C49)</f>
        <v>0.61973439752340798</v>
      </c>
      <c r="M49" cm="1">
        <f t="array" ref="M49">delta_call(E49,A49,0.8,B49,D49,C49)</f>
        <v>0.62772239348139713</v>
      </c>
      <c r="N49" cm="1">
        <f t="array" ref="N49">delta_call(E49,A49,0.9,B49,D49,C49)</f>
        <v>0.63517523512884178</v>
      </c>
      <c r="O49" cm="1">
        <f t="array" ref="O49">delta_call(E49,A49,1,B49,D49,C49)</f>
        <v>0.64217766678243815</v>
      </c>
      <c r="P49" cm="1">
        <f t="array" ref="P49">delta_call(E49,A49,2,B49,D49,C49)</f>
        <v>0.69678560886041863</v>
      </c>
      <c r="Q49" cm="1">
        <f t="array" ref="Q49">delta_call(E49,A49,3,B49,D49,C49)</f>
        <v>0.73596710701216672</v>
      </c>
      <c r="R49" cm="1">
        <f t="array" ref="R49">delta_call(E49,A49,4,B49,D49,C49)</f>
        <v>0.76686806952157416</v>
      </c>
      <c r="S49" cm="1">
        <f t="array" ref="S49">delta_call(E49,A49,5,B49,D49,C49)</f>
        <v>0.79234007445176513</v>
      </c>
    </row>
    <row r="50" spans="1:29" x14ac:dyDescent="0.3">
      <c r="A50">
        <v>100</v>
      </c>
      <c r="B50">
        <f t="shared" si="2"/>
        <v>0.01</v>
      </c>
      <c r="C50">
        <v>0.7</v>
      </c>
      <c r="D50">
        <v>0</v>
      </c>
      <c r="E50" s="5">
        <v>105</v>
      </c>
      <c r="F50" cm="1">
        <f t="array" ref="F50">delta_call(E50,A50,0.1,B50,D50,C50)</f>
        <v>0.63141703841497787</v>
      </c>
      <c r="G50" cm="1">
        <f t="array" ref="G50">delta_call(E50,A50,0.2,B50,D50,C50)</f>
        <v>0.62504877206411635</v>
      </c>
      <c r="H50" cm="1">
        <f t="array" ref="H50">delta_call(E50,A50,0.3,B50,D50,C50)</f>
        <v>0.62808366519773406</v>
      </c>
      <c r="I50" cm="1">
        <f t="array" ref="I50">delta_call(E50,A50,0.4,B50,D50,C50)</f>
        <v>0.63329773410491152</v>
      </c>
      <c r="J50" cm="1">
        <f t="array" ref="J50">delta_call(E50,A50,0.5,B50,D50,C50)</f>
        <v>0.63913959561652933</v>
      </c>
      <c r="K50" cm="1">
        <f t="array" ref="K50">delta_call(E50,A50,0.6,B50,D50,C50)</f>
        <v>0.64511206379533692</v>
      </c>
      <c r="L50" cm="1">
        <f t="array" ref="L50">delta_call(E50,A50,0.7,B50,D50,C50)</f>
        <v>0.65102565762250897</v>
      </c>
      <c r="M50" cm="1">
        <f t="array" ref="M50">delta_call(E50,A50,0.8,B50,D50,C50)</f>
        <v>0.65680328975301583</v>
      </c>
      <c r="N50" cm="1">
        <f t="array" ref="N50">delta_call(E50,A50,0.9,B50,D50,C50)</f>
        <v>0.66241468835976747</v>
      </c>
      <c r="O50" cm="1">
        <f t="array" ref="O50">delta_call(E50,A50,1,B50,D50,C50)</f>
        <v>0.66785067767399031</v>
      </c>
      <c r="P50" cm="1">
        <f t="array" ref="P50">delta_call(E50,A50,2,B50,D50,C50)</f>
        <v>0.71378056715326965</v>
      </c>
      <c r="Q50" cm="1">
        <f t="array" ref="Q50">delta_call(E50,A50,3,B50,D50,C50)</f>
        <v>0.74895433211441109</v>
      </c>
      <c r="R50" cm="1">
        <f t="array" ref="R50">delta_call(E50,A50,4,B50,D50,C50)</f>
        <v>0.77739398277903193</v>
      </c>
      <c r="S50" cm="1">
        <f t="array" ref="S50">delta_call(E50,A50,5,B50,D50,C50)</f>
        <v>0.80115068334423711</v>
      </c>
    </row>
    <row r="51" spans="1:29" x14ac:dyDescent="0.3">
      <c r="A51">
        <v>100</v>
      </c>
      <c r="B51">
        <f t="shared" si="2"/>
        <v>0.01</v>
      </c>
      <c r="C51">
        <v>0.7</v>
      </c>
      <c r="D51">
        <v>0</v>
      </c>
      <c r="E51" s="5">
        <v>110</v>
      </c>
      <c r="F51" cm="1">
        <f t="array" ref="F51">delta_call(E51,A51,0.1,B51,D51,C51)</f>
        <v>0.70738617541136284</v>
      </c>
      <c r="G51" cm="1">
        <f t="array" ref="G51">delta_call(E51,A51,0.2,B51,D51,C51)</f>
        <v>0.67988266828011779</v>
      </c>
      <c r="H51" cm="1">
        <f t="array" ref="H51">delta_call(E51,A51,0.3,B51,D51,C51)</f>
        <v>0.67296517526548816</v>
      </c>
      <c r="I51" cm="1">
        <f t="array" ref="I51">delta_call(E51,A51,0.4,B51,D51,C51)</f>
        <v>0.672085167212777</v>
      </c>
      <c r="J51" cm="1">
        <f t="array" ref="J51">delta_call(E51,A51,0.5,B51,D51,C51)</f>
        <v>0.67369688864311938</v>
      </c>
      <c r="K51" cm="1">
        <f t="array" ref="K51">delta_call(E51,A51,0.6,B51,D51,C51)</f>
        <v>0.67650687721627234</v>
      </c>
      <c r="L51" cm="1">
        <f t="array" ref="L51">delta_call(E51,A51,0.7,B51,D51,C51)</f>
        <v>0.67993695623565675</v>
      </c>
      <c r="M51" cm="1">
        <f t="array" ref="M51">delta_call(E51,A51,0.8,B51,D51,C51)</f>
        <v>0.68369470115929454</v>
      </c>
      <c r="N51" cm="1">
        <f t="array" ref="N51">delta_call(E51,A51,0.9,B51,D51,C51)</f>
        <v>0.68761960179194803</v>
      </c>
      <c r="O51" cm="1">
        <f t="array" ref="O51">delta_call(E51,A51,1,B51,D51,C51)</f>
        <v>0.69161844906555525</v>
      </c>
      <c r="P51" cm="1">
        <f t="array" ref="P51">delta_call(E51,A51,2,B51,D51,C51)</f>
        <v>0.72955100423928509</v>
      </c>
      <c r="Q51" cm="1">
        <f t="array" ref="Q51">delta_call(E51,A51,3,B51,D51,C51)</f>
        <v>0.76101516779628531</v>
      </c>
      <c r="R51" cm="1">
        <f t="array" ref="R51">delta_call(E51,A51,4,B51,D51,C51)</f>
        <v>0.78717287225100696</v>
      </c>
      <c r="S51" cm="1">
        <f t="array" ref="S51">delta_call(E51,A51,5,B51,D51,C51)</f>
        <v>0.80933791181024928</v>
      </c>
    </row>
    <row r="52" spans="1:29" x14ac:dyDescent="0.3">
      <c r="A52">
        <v>100</v>
      </c>
      <c r="B52">
        <f t="shared" si="2"/>
        <v>0.01</v>
      </c>
      <c r="C52">
        <v>0.7</v>
      </c>
      <c r="D52">
        <v>0</v>
      </c>
      <c r="E52" s="5">
        <v>115</v>
      </c>
      <c r="F52" cm="1">
        <f t="array" ref="F52">delta_call(E52,A52,0.1,B52,D52,C52)</f>
        <v>0.77234063908041684</v>
      </c>
      <c r="G52" cm="1">
        <f t="array" ref="G52">delta_call(E52,A52,0.2,B52,D52,C52)</f>
        <v>0.7288592883032331</v>
      </c>
      <c r="H52" cm="1">
        <f t="array" ref="H52">delta_call(E52,A52,0.3,B52,D52,C52)</f>
        <v>0.71364163958884608</v>
      </c>
      <c r="I52" cm="1">
        <f t="array" ref="I52">delta_call(E52,A52,0.4,B52,D52,C52)</f>
        <v>0.70749609503159783</v>
      </c>
      <c r="J52" cm="1">
        <f t="array" ref="J52">delta_call(E52,A52,0.5,B52,D52,C52)</f>
        <v>0.70538447103211022</v>
      </c>
      <c r="K52" cm="1">
        <f t="array" ref="K52">delta_call(E52,A52,0.6,B52,D52,C52)</f>
        <v>0.70537884480412938</v>
      </c>
      <c r="L52" cm="1">
        <f t="array" ref="L52">delta_call(E52,A52,0.7,B52,D52,C52)</f>
        <v>0.70658054538267168</v>
      </c>
      <c r="M52" cm="1">
        <f t="array" ref="M52">delta_call(E52,A52,0.8,B52,D52,C52)</f>
        <v>0.70851567436419238</v>
      </c>
      <c r="N52" cm="1">
        <f t="array" ref="N52">delta_call(E52,A52,0.9,B52,D52,C52)</f>
        <v>0.71091227981604554</v>
      </c>
      <c r="O52" cm="1">
        <f t="array" ref="O52">delta_call(E52,A52,1,B52,D52,C52)</f>
        <v>0.71360443329123679</v>
      </c>
      <c r="P52" cm="1">
        <f t="array" ref="P52">delta_call(E52,A52,2,B52,D52,C52)</f>
        <v>0.74420331487260982</v>
      </c>
      <c r="Q52" cm="1">
        <f t="array" ref="Q52">delta_call(E52,A52,3,B52,D52,C52)</f>
        <v>0.77223728760298416</v>
      </c>
      <c r="R52" cm="1">
        <f t="array" ref="R52">delta_call(E52,A52,4,B52,D52,C52)</f>
        <v>0.7962783894600749</v>
      </c>
      <c r="S52" cm="1">
        <f t="array" ref="S52">delta_call(E52,A52,5,B52,D52,C52)</f>
        <v>0.81696471516303903</v>
      </c>
    </row>
    <row r="53" spans="1:29" x14ac:dyDescent="0.3">
      <c r="A53">
        <v>100</v>
      </c>
      <c r="B53">
        <f t="shared" si="2"/>
        <v>0.01</v>
      </c>
      <c r="C53">
        <v>0.7</v>
      </c>
      <c r="D53">
        <v>0</v>
      </c>
      <c r="E53" s="5">
        <v>120</v>
      </c>
      <c r="F53" cm="1">
        <f t="array" ref="F53">delta_call(E53,A53,0.1,B53,D53,C53)</f>
        <v>0.8260940886049889</v>
      </c>
      <c r="G53" cm="1">
        <f t="array" ref="G53">delta_call(E53,A53,0.2,B53,D53,C53)</f>
        <v>0.77196036189099149</v>
      </c>
      <c r="H53" cm="1">
        <f t="array" ref="H53">delta_call(E53,A53,0.3,B53,D53,C53)</f>
        <v>0.7501808822458087</v>
      </c>
      <c r="I53" cm="1">
        <f t="array" ref="I53">delta_call(E53,A53,0.4,B53,D53,C53)</f>
        <v>0.7396338302507065</v>
      </c>
      <c r="J53" cm="1">
        <f t="array" ref="J53">delta_call(E53,A53,0.5,B53,D53,C53)</f>
        <v>0.73432090607919753</v>
      </c>
      <c r="K53" cm="1">
        <f t="array" ref="K53">delta_call(E53,A53,0.6,B53,D53,C53)</f>
        <v>0.73185275046920395</v>
      </c>
      <c r="L53" cm="1">
        <f t="array" ref="L53">delta_call(E53,A53,0.7,B53,D53,C53)</f>
        <v>0.73108302725633179</v>
      </c>
      <c r="M53" cm="1">
        <f t="array" ref="M53">delta_call(E53,A53,0.8,B53,D53,C53)</f>
        <v>0.73139235710021644</v>
      </c>
      <c r="N53" cm="1">
        <f t="array" ref="N53">delta_call(E53,A53,0.9,B53,D53,C53)</f>
        <v>0.7324172073740054</v>
      </c>
      <c r="O53" cm="1">
        <f t="array" ref="O53">delta_call(E53,A53,1,B53,D53,C53)</f>
        <v>0.73393080986586512</v>
      </c>
      <c r="P53" cm="1">
        <f t="array" ref="P53">delta_call(E53,A53,2,B53,D53,C53)</f>
        <v>0.75783345596437779</v>
      </c>
      <c r="Q53" cm="1">
        <f t="array" ref="Q53">delta_call(E53,A53,3,B53,D53,C53)</f>
        <v>0.78269803446273256</v>
      </c>
      <c r="R53" cm="1">
        <f t="array" ref="R53">delta_call(E53,A53,4,B53,D53,C53)</f>
        <v>0.80477487301189554</v>
      </c>
      <c r="S53" cm="1">
        <f t="array" ref="S53">delta_call(E53,A53,5,B53,D53,C53)</f>
        <v>0.82408578501725216</v>
      </c>
    </row>
    <row r="54" spans="1:29" x14ac:dyDescent="0.3">
      <c r="A54">
        <v>100</v>
      </c>
      <c r="B54">
        <f t="shared" si="2"/>
        <v>0.01</v>
      </c>
      <c r="C54">
        <v>0.7</v>
      </c>
      <c r="D54">
        <v>0</v>
      </c>
      <c r="E54" s="5">
        <v>125</v>
      </c>
      <c r="F54" cm="1">
        <f t="array" ref="F54">delta_call(E54,A54,0.1,B54,D54,C54)</f>
        <v>0.86933583419939142</v>
      </c>
      <c r="G54" cm="1">
        <f t="array" ref="G54">delta_call(E54,A54,0.2,B54,D54,C54)</f>
        <v>0.80940871602154718</v>
      </c>
      <c r="H54" cm="1">
        <f t="array" ref="H54">delta_call(E54,A54,0.3,B54,D54,C54)</f>
        <v>0.78275490547576931</v>
      </c>
      <c r="I54" cm="1">
        <f t="array" ref="I54">delta_call(E54,A54,0.4,B54,D54,C54)</f>
        <v>0.76865494609360596</v>
      </c>
      <c r="J54" cm="1">
        <f t="array" ref="J54">delta_call(E54,A54,0.5,B54,D54,C54)</f>
        <v>0.76065371150372196</v>
      </c>
      <c r="K54" cm="1">
        <f t="array" ref="K54">delta_call(E54,A54,0.6,B54,D54,C54)</f>
        <v>0.7560689553717419</v>
      </c>
      <c r="L54" cm="1">
        <f t="array" ref="L54">delta_call(E54,A54,0.7,B54,D54,C54)</f>
        <v>0.75357851829619338</v>
      </c>
      <c r="M54" cm="1">
        <f t="array" ref="M54">delta_call(E54,A54,0.8,B54,D54,C54)</f>
        <v>0.7524532399392565</v>
      </c>
      <c r="N54" cm="1">
        <f t="array" ref="N54">delta_call(E54,A54,0.9,B54,D54,C54)</f>
        <v>0.75225774567297665</v>
      </c>
      <c r="O54" cm="1">
        <f t="array" ref="O54">delta_call(E54,A54,1,B54,D54,C54)</f>
        <v>0.75271623527977438</v>
      </c>
      <c r="P54" cm="1">
        <f t="array" ref="P54">delta_call(E54,A54,2,B54,D54,C54)</f>
        <v>0.77052800025181467</v>
      </c>
      <c r="Q54" cm="1">
        <f t="array" ref="Q54">delta_call(E54,A54,3,B54,D54,C54)</f>
        <v>0.79246586692120768</v>
      </c>
      <c r="R54" cm="1">
        <f t="array" ref="R54">delta_call(E54,A54,4,B54,D54,C54)</f>
        <v>0.81271877974551821</v>
      </c>
      <c r="S54" cm="1">
        <f t="array" ref="S54">delta_call(E54,A54,5,B54,D54,C54)</f>
        <v>0.83074887711782752</v>
      </c>
    </row>
    <row r="55" spans="1:29" x14ac:dyDescent="0.3">
      <c r="A55">
        <v>100</v>
      </c>
      <c r="B55">
        <f t="shared" si="2"/>
        <v>0.01</v>
      </c>
      <c r="C55">
        <v>0.7</v>
      </c>
      <c r="D55">
        <v>0</v>
      </c>
      <c r="E55" s="5">
        <v>130</v>
      </c>
      <c r="F55" cm="1">
        <f t="array" ref="F55">delta_call(E55,A55,0.1,B55,D55,C55)</f>
        <v>0.90327458595468857</v>
      </c>
      <c r="G55" cm="1">
        <f t="array" ref="G55">delta_call(E55,A55,0.2,B55,D55,C55)</f>
        <v>0.84158790703365249</v>
      </c>
      <c r="H55" cm="1">
        <f t="array" ref="H55">delta_call(E55,A55,0.3,B55,D55,C55)</f>
        <v>0.8116051076221501</v>
      </c>
      <c r="I55" cm="1">
        <f t="array" ref="I55">delta_call(E55,A55,0.4,B55,D55,C55)</f>
        <v>0.79475026293851692</v>
      </c>
      <c r="J55" cm="1">
        <f t="array" ref="J55">delta_call(E55,A55,0.5,B55,D55,C55)</f>
        <v>0.78454773656443111</v>
      </c>
      <c r="K55" cm="1">
        <f t="array" ref="K55">delta_call(E55,A55,0.6,B55,D55,C55)</f>
        <v>0.77817585684142265</v>
      </c>
      <c r="L55" cm="1">
        <f t="array" ref="L55">delta_call(E55,A55,0.7,B55,D55,C55)</f>
        <v>0.77420360528828991</v>
      </c>
      <c r="M55" cm="1">
        <f t="array" ref="M55">delta_call(E55,A55,0.8,B55,D55,C55)</f>
        <v>0.77182575006944854</v>
      </c>
      <c r="N55" cm="1">
        <f t="array" ref="N55">delta_call(E55,A55,0.9,B55,D55,C55)</f>
        <v>0.77055385505677942</v>
      </c>
      <c r="O55" cm="1">
        <f t="array" ref="O55">delta_call(E55,A55,1,B55,D55,C55)</f>
        <v>0.77007437405223877</v>
      </c>
      <c r="P55" cm="1">
        <f t="array" ref="P55">delta_call(E55,A55,2,B55,D55,C55)</f>
        <v>0.78236510406859472</v>
      </c>
      <c r="Q55" cm="1">
        <f t="array" ref="Q55">delta_call(E55,A55,3,B55,D55,C55)</f>
        <v>0.80160157335349169</v>
      </c>
      <c r="R55" cm="1">
        <f t="array" ref="R55">delta_call(E55,A55,4,B55,D55,C55)</f>
        <v>0.8201598585014156</v>
      </c>
      <c r="S55" cm="1">
        <f t="array" ref="S55">delta_call(E55,A55,5,B55,D55,C55)</f>
        <v>0.83699588840228512</v>
      </c>
    </row>
    <row r="56" spans="1:29" x14ac:dyDescent="0.3">
      <c r="A56">
        <v>100</v>
      </c>
      <c r="B56">
        <f t="shared" si="2"/>
        <v>0.01</v>
      </c>
      <c r="C56">
        <v>0.7</v>
      </c>
      <c r="D56">
        <v>0</v>
      </c>
      <c r="E56" s="5">
        <v>135</v>
      </c>
      <c r="F56" cm="1">
        <f t="array" ref="F56">delta_call(E56,A56,0.1,B56,D56,C56)</f>
        <v>0.92934519380490699</v>
      </c>
      <c r="G56" cm="1">
        <f t="array" ref="G56">delta_call(E56,A56,0.2,B56,D56,C56)</f>
        <v>0.86897574395340138</v>
      </c>
      <c r="H56" cm="1">
        <f t="array" ref="H56">delta_call(E56,A56,0.3,B56,D56,C56)</f>
        <v>0.83701438276219309</v>
      </c>
      <c r="I56" cm="1">
        <f t="array" ref="I56">delta_call(E56,A56,0.4,B56,D56,C56)</f>
        <v>0.81813001175600686</v>
      </c>
      <c r="J56" cm="1">
        <f t="array" ref="J56">delta_call(E56,A56,0.5,B56,D56,C56)</f>
        <v>0.80617631602806172</v>
      </c>
      <c r="K56" cm="1">
        <f t="array" ref="K56">delta_call(E56,A56,0.6,B56,D56,C56)</f>
        <v>0.7983242907074537</v>
      </c>
      <c r="L56" cm="1">
        <f t="array" ref="L56">delta_call(E56,A56,0.7,B56,D56,C56)</f>
        <v>0.793093704771202</v>
      </c>
      <c r="M56" cm="1">
        <f t="array" ref="M56">delta_call(E56,A56,0.8,B56,D56,C56)</f>
        <v>0.78963387748143288</v>
      </c>
      <c r="N56" cm="1">
        <f t="array" ref="N56">delta_call(E56,A56,0.9,B56,D56,C56)</f>
        <v>0.78742058455166597</v>
      </c>
      <c r="O56" cm="1">
        <f t="array" ref="O56">delta_call(E56,A56,1,B56,D56,C56)</f>
        <v>0.78611299979359384</v>
      </c>
      <c r="P56" cm="1">
        <f t="array" ref="P56">delta_call(E56,A56,2,B56,D56,C56)</f>
        <v>0.79341538590277572</v>
      </c>
      <c r="Q56" cm="1">
        <f t="array" ref="Q56">delta_call(E56,A56,3,B56,D56,C56)</f>
        <v>0.81015929556138455</v>
      </c>
      <c r="R56" cm="1">
        <f t="array" ref="R56">delta_call(E56,A56,4,B56,D56,C56)</f>
        <v>0.82714211920576752</v>
      </c>
      <c r="S56" cm="1">
        <f t="array" ref="S56">delta_call(E56,A56,5,B56,D56,C56)</f>
        <v>0.84286373736926712</v>
      </c>
    </row>
    <row r="57" spans="1:29" x14ac:dyDescent="0.3">
      <c r="A57">
        <v>100</v>
      </c>
      <c r="B57">
        <f t="shared" si="2"/>
        <v>0.01</v>
      </c>
      <c r="C57">
        <v>0.7</v>
      </c>
      <c r="D57">
        <v>0</v>
      </c>
      <c r="E57" s="5">
        <v>140</v>
      </c>
      <c r="F57" cm="1">
        <f t="array" ref="F57">delta_call(E57,A57,0.1,B57,D57,C57)</f>
        <v>0.94899893826884729</v>
      </c>
      <c r="G57" cm="1">
        <f t="array" ref="G57">delta_call(E57,A57,0.2,B57,D57,C57)</f>
        <v>0.89209276809616722</v>
      </c>
      <c r="H57" cm="1">
        <f t="array" ref="H57">delta_call(E57,A57,0.3,B57,D57,C57)</f>
        <v>0.85928561710516971</v>
      </c>
      <c r="I57" cm="1">
        <f t="array" ref="I57">delta_call(E57,A57,0.4,B57,D57,C57)</f>
        <v>0.83901258946928348</v>
      </c>
      <c r="J57" cm="1">
        <f t="array" ref="J57">delta_call(E57,A57,0.5,B57,D57,C57)</f>
        <v>0.82571470200408847</v>
      </c>
      <c r="K57" cm="1">
        <f t="array" ref="K57">delta_call(E57,A57,0.6,B57,D57,C57)</f>
        <v>0.81666347623119862</v>
      </c>
      <c r="L57" cm="1">
        <f t="array" ref="L57">delta_call(E57,A57,0.7,B57,D57,C57)</f>
        <v>0.81038050790030036</v>
      </c>
      <c r="M57" cm="1">
        <f t="array" ref="M57">delta_call(E57,A57,0.8,B57,D57,C57)</f>
        <v>0.80599658182211043</v>
      </c>
      <c r="N57" cm="1">
        <f t="array" ref="N57">delta_call(E57,A57,0.9,B57,D57,C57)</f>
        <v>0.80296712850810281</v>
      </c>
      <c r="O57" cm="1">
        <f t="array" ref="O57">delta_call(E57,A57,1,B57,D57,C57)</f>
        <v>0.80093350804530894</v>
      </c>
      <c r="P57" cm="1">
        <f t="array" ref="P57">delta_call(E57,A57,2,B57,D57,C57)</f>
        <v>0.8037427177462273</v>
      </c>
      <c r="Q57" cm="1">
        <f t="array" ref="Q57">delta_call(E57,A57,3,B57,D57,C57)</f>
        <v>0.81818739516295202</v>
      </c>
      <c r="R57" cm="1">
        <f t="array" ref="R57">delta_call(E57,A57,4,B57,D57,C57)</f>
        <v>0.83370463793805771</v>
      </c>
      <c r="S57" cm="1">
        <f t="array" ref="S57">delta_call(E57,A57,5,B57,D57,C57)</f>
        <v>0.84838508879572783</v>
      </c>
    </row>
    <row r="59" spans="1:29" x14ac:dyDescent="0.3">
      <c r="A59" s="1" t="s">
        <v>28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3">
      <c r="A60" t="s">
        <v>13</v>
      </c>
      <c r="B60" t="s">
        <v>14</v>
      </c>
      <c r="C60" t="s">
        <v>15</v>
      </c>
      <c r="D60" t="s">
        <v>26</v>
      </c>
      <c r="F60" s="7">
        <v>0.1</v>
      </c>
      <c r="G60" s="7">
        <v>0.2</v>
      </c>
      <c r="H60" s="7">
        <v>0.3</v>
      </c>
      <c r="I60" s="7">
        <v>0.4</v>
      </c>
      <c r="J60" s="7">
        <v>0.5</v>
      </c>
      <c r="K60" s="7">
        <v>0.6</v>
      </c>
      <c r="L60" s="7">
        <v>0.7</v>
      </c>
      <c r="M60" s="7">
        <v>0.8</v>
      </c>
      <c r="N60" s="7">
        <v>0.9</v>
      </c>
      <c r="O60" s="7">
        <v>1</v>
      </c>
      <c r="P60" s="7">
        <v>2</v>
      </c>
      <c r="Q60" s="7">
        <v>3</v>
      </c>
      <c r="R60" s="7">
        <v>4</v>
      </c>
      <c r="S60" s="7">
        <v>5</v>
      </c>
    </row>
    <row r="61" spans="1:29" x14ac:dyDescent="0.3">
      <c r="A61">
        <v>100</v>
      </c>
      <c r="B61">
        <f>1/100</f>
        <v>0.01</v>
      </c>
      <c r="C61">
        <v>0.2</v>
      </c>
      <c r="D61">
        <v>0</v>
      </c>
      <c r="E61" s="5">
        <v>60</v>
      </c>
      <c r="F61" cm="1">
        <f t="array" ref="F61">theta_call(E61,A61,0.1,B61,D61,C61)</f>
        <v>-7.6011344785671907E-14</v>
      </c>
      <c r="G61" cm="1">
        <f t="array" ref="G61">theta_call(E61,A61,0.2,B61,D61,C61)</f>
        <v>-6.5218741008161125E-7</v>
      </c>
      <c r="H61" cm="1">
        <f t="array" ref="H61">theta_call(E61,A61,0.3,B61,D61,C61)</f>
        <v>-1.225666714091842E-4</v>
      </c>
      <c r="I61" cm="1">
        <f t="array" ref="I61">theta_call(E61,A61,0.4,B61,D61,C61)</f>
        <v>-1.6122344242869328E-3</v>
      </c>
      <c r="J61" cm="1">
        <f t="array" ref="J61">theta_call(E61,A61,0.5,B61,D61,C61)</f>
        <v>-7.3836207386308644E-3</v>
      </c>
      <c r="K61" cm="1">
        <f t="array" ref="K61">theta_call(E61,A61,0.6,B61,D61,C61)</f>
        <v>-2.0037571229271821E-2</v>
      </c>
      <c r="L61" cm="1">
        <f t="array" ref="L61">theta_call(E61,A61,0.7,B61,D61,C61)</f>
        <v>-4.0419861122540202E-2</v>
      </c>
      <c r="M61" cm="1">
        <f t="array" ref="M61">theta_call(E61,A61,0.8,B61,D61,C61)</f>
        <v>-6.7838014498347629E-2</v>
      </c>
      <c r="N61" cm="1">
        <f t="array" ref="N61">theta_call(E61,A61,0.9,B61,D61,C61)</f>
        <v>-0.10081636241456597</v>
      </c>
      <c r="O61" cm="1">
        <f t="array" ref="O61">theta_call(E61,A61,1,B61,D61,C61)</f>
        <v>-0.13769308130728006</v>
      </c>
      <c r="P61" cm="1">
        <f t="array" ref="P61">theta_call(E61,A61,2,B61,D61,C61)</f>
        <v>-0.5060845567929223</v>
      </c>
      <c r="Q61" cm="1">
        <f t="array" ref="Q61">theta_call(E61,A61,3,B61,D61,C61)</f>
        <v>-0.72179014018593524</v>
      </c>
      <c r="R61" cm="1">
        <f t="array" ref="R61">theta_call(E61,A61,4,B61,D61,C61)</f>
        <v>-0.83024309118510431</v>
      </c>
      <c r="S61" cm="1">
        <f t="array" ref="S61">theta_call(E61,A61,5,B61,D61,C61)</f>
        <v>-0.88336183913193833</v>
      </c>
    </row>
    <row r="62" spans="1:29" x14ac:dyDescent="0.3">
      <c r="A62">
        <v>100</v>
      </c>
      <c r="B62">
        <f t="shared" ref="B62:B77" si="3">1/100</f>
        <v>0.01</v>
      </c>
      <c r="C62">
        <v>0.2</v>
      </c>
      <c r="D62">
        <v>0</v>
      </c>
      <c r="E62" s="5">
        <v>65</v>
      </c>
      <c r="F62" cm="1">
        <f t="array" ref="F62">theta_call(E62,A62,0.1,B62,D62,C62)</f>
        <v>-9.5808504409308486E-10</v>
      </c>
      <c r="G62" cm="1">
        <f t="array" ref="G62">theta_call(E62,A62,0.2,B62,D62,C62)</f>
        <v>-7.402820900407707E-5</v>
      </c>
      <c r="H62" cm="1">
        <f t="array" ref="H62">theta_call(E62,A62,0.3,B62,D62,C62)</f>
        <v>-2.8954601420058683E-3</v>
      </c>
      <c r="I62" cm="1">
        <f t="array" ref="I62">theta_call(E62,A62,0.4,B62,D62,C62)</f>
        <v>-1.7379404099481105E-2</v>
      </c>
      <c r="J62" cm="1">
        <f t="array" ref="J62">theta_call(E62,A62,0.5,B62,D62,C62)</f>
        <v>-4.9717006137903044E-2</v>
      </c>
      <c r="K62" cm="1">
        <f t="array" ref="K62">theta_call(E62,A62,0.6,B62,D62,C62)</f>
        <v>-9.8602311983782845E-2</v>
      </c>
      <c r="L62" cm="1">
        <f t="array" ref="L62">theta_call(E62,A62,0.7,B62,D62,C62)</f>
        <v>-0.15900012062368155</v>
      </c>
      <c r="M62" cm="1">
        <f t="array" ref="M62">theta_call(E62,A62,0.8,B62,D62,C62)</f>
        <v>-0.22562098296553099</v>
      </c>
      <c r="N62" cm="1">
        <f t="array" ref="N62">theta_call(E62,A62,0.9,B62,D62,C62)</f>
        <v>-0.29428447747740477</v>
      </c>
      <c r="O62" cm="1">
        <f t="array" ref="O62">theta_call(E62,A62,1,B62,D62,C62)</f>
        <v>-0.36210528452670065</v>
      </c>
      <c r="P62" cm="1">
        <f t="array" ref="P62">theta_call(E62,A62,2,B62,D62,C62)</f>
        <v>-0.83311529139803653</v>
      </c>
      <c r="Q62" cm="1">
        <f t="array" ref="Q62">theta_call(E62,A62,3,B62,D62,C62)</f>
        <v>-1.0173372746412945</v>
      </c>
      <c r="R62" cm="1">
        <f t="array" ref="R62">theta_call(E62,A62,4,B62,D62,C62)</f>
        <v>-1.0832471600868347</v>
      </c>
      <c r="S62" cm="1">
        <f t="array" ref="S62">theta_call(E62,A62,5,B62,D62,C62)</f>
        <v>-1.1006372554079169</v>
      </c>
    </row>
    <row r="63" spans="1:29" x14ac:dyDescent="0.3">
      <c r="A63">
        <v>100</v>
      </c>
      <c r="B63">
        <f t="shared" si="3"/>
        <v>0.01</v>
      </c>
      <c r="C63">
        <v>0.2</v>
      </c>
      <c r="D63">
        <v>0</v>
      </c>
      <c r="E63" s="5">
        <v>70</v>
      </c>
      <c r="F63" cm="1">
        <f t="array" ref="F63">theta_call(E63,A63,0.1,B63,D63,C63)</f>
        <v>-1.4382918682304679E-6</v>
      </c>
      <c r="G63" cm="1">
        <f t="array" ref="G63">theta_call(E63,A63,0.2,B63,D63,C63)</f>
        <v>-2.8984741257135319E-3</v>
      </c>
      <c r="H63" cm="1">
        <f t="array" ref="H63">theta_call(E63,A63,0.3,B63,D63,C63)</f>
        <v>-3.3634354347343208E-2</v>
      </c>
      <c r="I63" cm="1">
        <f t="array" ref="I63">theta_call(E63,A63,0.4,B63,D63,C63)</f>
        <v>-0.10999262544386665</v>
      </c>
      <c r="J63" cm="1">
        <f t="array" ref="J63">theta_call(E63,A63,0.5,B63,D63,C63)</f>
        <v>-0.21861098627588463</v>
      </c>
      <c r="K63" cm="1">
        <f t="array" ref="K63">theta_call(E63,A63,0.6,B63,D63,C63)</f>
        <v>-0.34015092439054084</v>
      </c>
      <c r="L63" cm="1">
        <f t="array" ref="L63">theta_call(E63,A63,0.7,B63,D63,C63)</f>
        <v>-0.46126801345955099</v>
      </c>
      <c r="M63" cm="1">
        <f t="array" ref="M63">theta_call(E63,A63,0.8,B63,D63,C63)</f>
        <v>-0.57484224329898426</v>
      </c>
      <c r="N63" cm="1">
        <f t="array" ref="N63">theta_call(E63,A63,0.9,B63,D63,C63)</f>
        <v>-0.67781018243825342</v>
      </c>
      <c r="O63" cm="1">
        <f t="array" ref="O63">theta_call(E63,A63,1,B63,D63,C63)</f>
        <v>-0.76937057099883677</v>
      </c>
      <c r="P63" cm="1">
        <f t="array" ref="P63">theta_call(E63,A63,2,B63,D63,C63)</f>
        <v>-1.2324871885814481</v>
      </c>
      <c r="Q63" cm="1">
        <f t="array" ref="Q63">theta_call(E63,A63,3,B63,D63,C63)</f>
        <v>-1.33502143645493</v>
      </c>
      <c r="R63" cm="1">
        <f t="array" ref="R63">theta_call(E63,A63,4,B63,D63,C63)</f>
        <v>-1.3393093964555041</v>
      </c>
      <c r="S63" cm="1">
        <f t="array" ref="S63">theta_call(E63,A63,5,B63,D63,C63)</f>
        <v>-1.3132885861798649</v>
      </c>
    </row>
    <row r="64" spans="1:29" x14ac:dyDescent="0.3">
      <c r="A64">
        <v>100</v>
      </c>
      <c r="B64">
        <f t="shared" si="3"/>
        <v>0.01</v>
      </c>
      <c r="C64">
        <v>0.2</v>
      </c>
      <c r="D64">
        <v>0</v>
      </c>
      <c r="E64" s="5">
        <v>75</v>
      </c>
      <c r="F64" cm="1">
        <f t="array" ref="F64">theta_call(E64,A64,0.1,B64,D64,C64)</f>
        <v>-3.7952035137337408E-4</v>
      </c>
      <c r="G64" cm="1">
        <f t="array" ref="G64">theta_call(E64,A64,0.2,B64,D64,C64)</f>
        <v>-4.7565863848141231E-2</v>
      </c>
      <c r="H64" cm="1">
        <f t="array" ref="H64">theta_call(E64,A64,0.3,B64,D64,C64)</f>
        <v>-0.21879688944533632</v>
      </c>
      <c r="I64" cm="1">
        <f t="array" ref="I64">theta_call(E64,A64,0.4,B64,D64,C64)</f>
        <v>-0.45063050525740223</v>
      </c>
      <c r="J64" cm="1">
        <f t="array" ref="J64">theta_call(E64,A64,0.5,B64,D64,C64)</f>
        <v>-0.67879215763863099</v>
      </c>
      <c r="K64" cm="1">
        <f t="array" ref="K64">theta_call(E64,A64,0.6,B64,D64,C64)</f>
        <v>-0.87808712606811701</v>
      </c>
      <c r="L64" cm="1">
        <f t="array" ref="L64">theta_call(E64,A64,0.7,B64,D64,C64)</f>
        <v>-1.043711976514581</v>
      </c>
      <c r="M64" cm="1">
        <f t="array" ref="M64">theta_call(E64,A64,0.8,B64,D64,C64)</f>
        <v>-1.1783720358245673</v>
      </c>
      <c r="N64" cm="1">
        <f t="array" ref="N64">theta_call(E64,A64,0.9,B64,D64,C64)</f>
        <v>-1.2867908213996639</v>
      </c>
      <c r="O64" cm="1">
        <f t="array" ref="O64">theta_call(E64,A64,1,B64,D64,C64)</f>
        <v>-1.3736958956740573</v>
      </c>
      <c r="P64" cm="1">
        <f t="array" ref="P64">theta_call(E64,A64,2,B64,D64,C64)</f>
        <v>-1.6713286043988775</v>
      </c>
      <c r="Q64" cm="1">
        <f t="array" ref="Q64">theta_call(E64,A64,3,B64,D64,C64)</f>
        <v>-1.6529209631728625</v>
      </c>
      <c r="R64" cm="1">
        <f t="array" ref="R64">theta_call(E64,A64,4,B64,D64,C64)</f>
        <v>-1.5849472738867647</v>
      </c>
      <c r="S64" cm="1">
        <f t="array" ref="S64">theta_call(E64,A64,5,B64,D64,C64)</f>
        <v>-1.5128004439281957</v>
      </c>
    </row>
    <row r="65" spans="1:19" x14ac:dyDescent="0.3">
      <c r="A65">
        <v>100</v>
      </c>
      <c r="B65">
        <f t="shared" si="3"/>
        <v>0.01</v>
      </c>
      <c r="C65">
        <v>0.2</v>
      </c>
      <c r="D65">
        <v>0</v>
      </c>
      <c r="E65" s="5">
        <v>80</v>
      </c>
      <c r="F65" cm="1">
        <f t="array" ref="F65">theta_call(E65,A65,0.1,B65,D65,C65)</f>
        <v>-2.380682309751259E-2</v>
      </c>
      <c r="G65" cm="1">
        <f t="array" ref="G65">theta_call(E65,A65,0.2,B65,D65,C65)</f>
        <v>-0.38058699056959633</v>
      </c>
      <c r="H65" cm="1">
        <f t="array" ref="H65">theta_call(E65,A65,0.3,B65,D65,C65)</f>
        <v>-0.88177430394698519</v>
      </c>
      <c r="I65" cm="1">
        <f t="array" ref="I65">theta_call(E65,A65,0.4,B65,D65,C65)</f>
        <v>-1.2893300066599218</v>
      </c>
      <c r="J65" cm="1">
        <f t="array" ref="J65">theta_call(E65,A65,0.5,B65,D65,C65)</f>
        <v>-1.5816517769788825</v>
      </c>
      <c r="K65" cm="1">
        <f t="array" ref="K65">theta_call(E65,A65,0.6,B65,D65,C65)</f>
        <v>-1.7845537460818555</v>
      </c>
      <c r="L65" cm="1">
        <f t="array" ref="L65">theta_call(E65,A65,0.7,B65,D65,C65)</f>
        <v>-1.9239909864035536</v>
      </c>
      <c r="M65" cm="1">
        <f t="array" ref="M65">theta_call(E65,A65,0.8,B65,D65,C65)</f>
        <v>-2.0191187748866817</v>
      </c>
      <c r="N65" cm="1">
        <f t="array" ref="N65">theta_call(E65,A65,0.9,B65,D65,C65)</f>
        <v>-2.0831702563540273</v>
      </c>
      <c r="O65" cm="1">
        <f t="array" ref="O65">theta_call(E65,A65,1,B65,D65,C65)</f>
        <v>-2.125191020020087</v>
      </c>
      <c r="P65" cm="1">
        <f t="array" ref="P65">theta_call(E65,A65,2,B65,D65,C65)</f>
        <v>-2.1098441386634206</v>
      </c>
      <c r="Q65" cm="1">
        <f t="array" ref="Q65">theta_call(E65,A65,3,B65,D65,C65)</f>
        <v>-1.9509788859291186</v>
      </c>
      <c r="R65" cm="1">
        <f t="array" ref="R65">theta_call(E65,A65,4,B65,D65,C65)</f>
        <v>-1.8093229913953346</v>
      </c>
      <c r="S65" cm="1">
        <f t="array" ref="S65">theta_call(E65,A65,5,B65,D65,C65)</f>
        <v>-1.6928909696792729</v>
      </c>
    </row>
    <row r="66" spans="1:19" x14ac:dyDescent="0.3">
      <c r="A66">
        <v>100</v>
      </c>
      <c r="B66">
        <f t="shared" si="3"/>
        <v>0.01</v>
      </c>
      <c r="C66">
        <v>0.2</v>
      </c>
      <c r="D66">
        <v>0</v>
      </c>
      <c r="E66" s="5">
        <v>85</v>
      </c>
      <c r="F66" cm="1">
        <f t="array" ref="F66">theta_call(E66,A66,0.1,B66,D66,C66)</f>
        <v>-0.45045289342107142</v>
      </c>
      <c r="G66" cm="1">
        <f t="array" ref="G66">theta_call(E66,A66,0.2,B66,D66,C66)</f>
        <v>-1.6730193605929882</v>
      </c>
      <c r="H66" cm="1">
        <f t="array" ref="H66">theta_call(E66,A66,0.3,B66,D66,C66)</f>
        <v>-2.3845369603108986</v>
      </c>
      <c r="I66" cm="1">
        <f t="array" ref="I66">theta_call(E66,A66,0.4,B66,D66,C66)</f>
        <v>-2.7356976787449363</v>
      </c>
      <c r="J66" cm="1">
        <f t="array" ref="J66">theta_call(E66,A66,0.5,B66,D66,C66)</f>
        <v>-2.9020424477884981</v>
      </c>
      <c r="K66" cm="1">
        <f t="array" ref="K66">theta_call(E66,A66,0.6,B66,D66,C66)</f>
        <v>-2.9724184910801368</v>
      </c>
      <c r="L66" cm="1">
        <f t="array" ref="L66">theta_call(E66,A66,0.7,B66,D66,C66)</f>
        <v>-2.9910030390680649</v>
      </c>
      <c r="M66" cm="1">
        <f t="array" ref="M66">theta_call(E66,A66,0.8,B66,D66,C66)</f>
        <v>-2.9807903329625667</v>
      </c>
      <c r="N66" cm="1">
        <f t="array" ref="N66">theta_call(E66,A66,0.9,B66,D66,C66)</f>
        <v>-2.9543401597908243</v>
      </c>
      <c r="O66" cm="1">
        <f t="array" ref="O66">theta_call(E66,A66,1,B66,D66,C66)</f>
        <v>-2.9187984098097419</v>
      </c>
      <c r="P66" cm="1">
        <f t="array" ref="P66">theta_call(E66,A66,2,B66,D66,C66)</f>
        <v>-2.5099650084506924</v>
      </c>
      <c r="Q66" cm="1">
        <f t="array" ref="Q66">theta_call(E66,A66,3,B66,D66,C66)</f>
        <v>-2.213363086285248</v>
      </c>
      <c r="R66" cm="1">
        <f t="array" ref="R66">theta_call(E66,A66,4,B66,D66,C66)</f>
        <v>-2.0047781317661246</v>
      </c>
      <c r="S66" cm="1">
        <f t="array" ref="S66">theta_call(E66,A66,5,B66,D66,C66)</f>
        <v>-1.8495005687374202</v>
      </c>
    </row>
    <row r="67" spans="1:19" x14ac:dyDescent="0.3">
      <c r="A67">
        <v>100</v>
      </c>
      <c r="B67">
        <f t="shared" si="3"/>
        <v>0.01</v>
      </c>
      <c r="C67">
        <v>0.2</v>
      </c>
      <c r="D67">
        <v>0</v>
      </c>
      <c r="E67" s="5">
        <v>90</v>
      </c>
      <c r="F67" cm="1">
        <f t="array" ref="F67">theta_call(E67,A67,0.1,B67,D67,C67)</f>
        <v>-3.1108124618828876</v>
      </c>
      <c r="G67" cm="1">
        <f t="array" ref="G67">theta_call(E67,A67,0.2,B67,D67,C67)</f>
        <v>-4.4469923866861691</v>
      </c>
      <c r="H67" cm="1">
        <f t="array" ref="H67">theta_call(E67,A67,0.3,B67,D67,C67)</f>
        <v>-4.6139004849167504</v>
      </c>
      <c r="I67" cm="1">
        <f t="array" ref="I67">theta_call(E67,A67,0.4,B67,D67,C67)</f>
        <v>-4.5178499312311313</v>
      </c>
      <c r="J67" cm="1">
        <f t="array" ref="J67">theta_call(E67,A67,0.5,B67,D67,C67)</f>
        <v>-4.3588366654630883</v>
      </c>
      <c r="K67" cm="1">
        <f t="array" ref="K67">theta_call(E67,A67,0.6,B67,D67,C67)</f>
        <v>-4.1914415413665713</v>
      </c>
      <c r="L67" cm="1">
        <f t="array" ref="L67">theta_call(E67,A67,0.7,B67,D67,C67)</f>
        <v>-4.0320226345242007</v>
      </c>
      <c r="M67" cm="1">
        <f t="array" ref="M67">theta_call(E67,A67,0.8,B67,D67,C67)</f>
        <v>-3.8850823397872243</v>
      </c>
      <c r="N67" cm="1">
        <f t="array" ref="N67">theta_call(E67,A67,0.9,B67,D67,C67)</f>
        <v>-3.751123351303387</v>
      </c>
      <c r="O67" cm="1">
        <f t="array" ref="O67">theta_call(E67,A67,1,B67,D67,C67)</f>
        <v>-3.6292998471821813</v>
      </c>
      <c r="P67" cm="1">
        <f t="array" ref="P67">theta_call(E67,A67,2,B67,D67,C67)</f>
        <v>-2.8418598046514343</v>
      </c>
      <c r="Q67" cm="1">
        <f t="array" ref="Q67">theta_call(E67,A67,3,B67,D67,C67)</f>
        <v>-2.4295160574037618</v>
      </c>
      <c r="R67" cm="1">
        <f t="array" ref="R67">theta_call(E67,A67,4,B67,D67,C67)</f>
        <v>-2.1668073861100083</v>
      </c>
      <c r="S67" cm="1">
        <f t="array" ref="S67">theta_call(E67,A67,5,B67,D67,C67)</f>
        <v>-1.9805492726477336</v>
      </c>
    </row>
    <row r="68" spans="1:19" x14ac:dyDescent="0.3">
      <c r="A68">
        <v>100</v>
      </c>
      <c r="B68">
        <f t="shared" si="3"/>
        <v>0.01</v>
      </c>
      <c r="C68">
        <v>0.2</v>
      </c>
      <c r="D68">
        <v>0</v>
      </c>
      <c r="E68" s="5">
        <v>95</v>
      </c>
      <c r="F68" cm="1">
        <f t="array" ref="F68">theta_call(E68,A68,0.1,B68,D68,C68)</f>
        <v>-9.1585069028288952</v>
      </c>
      <c r="G68" cm="1">
        <f t="array" ref="G68">theta_call(E68,A68,0.2,B68,D68,C68)</f>
        <v>-7.7309673405734962</v>
      </c>
      <c r="H68" cm="1">
        <f t="array" ref="H68">theta_call(E68,A68,0.3,B68,D68,C68)</f>
        <v>-6.7335236913073473</v>
      </c>
      <c r="I68" cm="1">
        <f t="array" ref="I68">theta_call(E68,A68,0.4,B68,D68,C68)</f>
        <v>-6.0425102069576599</v>
      </c>
      <c r="J68" cm="1">
        <f t="array" ref="J68">theta_call(E68,A68,0.5,B68,D68,C68)</f>
        <v>-5.533202884405843</v>
      </c>
      <c r="K68" cm="1">
        <f t="array" ref="K68">theta_call(E68,A68,0.6,B68,D68,C68)</f>
        <v>-5.1390104624572901</v>
      </c>
      <c r="L68" cm="1">
        <f t="array" ref="L68">theta_call(E68,A68,0.7,B68,D68,C68)</f>
        <v>-4.8225687538942648</v>
      </c>
      <c r="M68" cm="1">
        <f t="array" ref="M68">theta_call(E68,A68,0.8,B68,D68,C68)</f>
        <v>-4.5613827150234769</v>
      </c>
      <c r="N68" cm="1">
        <f t="array" ref="N68">theta_call(E68,A68,0.9,B68,D68,C68)</f>
        <v>-4.3410696339104913</v>
      </c>
      <c r="O68" cm="1">
        <f t="array" ref="O68">theta_call(E68,A68,1,B68,D68,C68)</f>
        <v>-4.151972703189224</v>
      </c>
      <c r="P68" cm="1">
        <f t="array" ref="P68">theta_call(E68,A68,2,B68,D68,C68)</f>
        <v>-3.0872190891409232</v>
      </c>
      <c r="Q68" cm="1">
        <f t="array" ref="Q68">theta_call(E68,A68,3,B68,D68,C68)</f>
        <v>-2.5941457785357183</v>
      </c>
      <c r="R68" cm="1">
        <f t="array" ref="R68">theta_call(E68,A68,4,B68,D68,C68)</f>
        <v>-2.2936804602081025</v>
      </c>
      <c r="S68" cm="1">
        <f t="array" ref="S68">theta_call(E68,A68,5,B68,D68,C68)</f>
        <v>-2.0855814143872142</v>
      </c>
    </row>
    <row r="69" spans="1:19" x14ac:dyDescent="0.3">
      <c r="A69">
        <v>100</v>
      </c>
      <c r="B69">
        <f t="shared" si="3"/>
        <v>0.01</v>
      </c>
      <c r="C69">
        <v>0.2</v>
      </c>
      <c r="D69">
        <v>0</v>
      </c>
      <c r="E69" s="5">
        <v>100</v>
      </c>
      <c r="F69" cm="1">
        <f t="array" ref="F69">theta_call(E69,A69,0.1,B69,D69,C69)</f>
        <v>-13.095664340891949</v>
      </c>
      <c r="G69" cm="1">
        <f t="array" ref="G69">theta_call(E69,A69,0.2,B69,D69,C69)</f>
        <v>-9.3926350136616428</v>
      </c>
      <c r="H69" cm="1">
        <f t="array" ref="H69">theta_call(E69,A69,0.3,B69,D69,C69)</f>
        <v>-7.7496606122420397</v>
      </c>
      <c r="I69" cm="1">
        <f t="array" ref="I69">theta_call(E69,A69,0.4,B69,D69,C69)</f>
        <v>-6.7688497250163575</v>
      </c>
      <c r="J69" cm="1">
        <f t="array" ref="J69">theta_call(E69,A69,0.5,B69,D69,C69)</f>
        <v>-6.0985830340398515</v>
      </c>
      <c r="K69" cm="1">
        <f t="array" ref="K69">theta_call(E69,A69,0.6,B69,D69,C69)</f>
        <v>-5.603144033276994</v>
      </c>
      <c r="L69" cm="1">
        <f t="array" ref="L69">theta_call(E69,A69,0.7,B69,D69,C69)</f>
        <v>-5.2175805860015299</v>
      </c>
      <c r="M69" cm="1">
        <f t="array" ref="M69">theta_call(E69,A69,0.8,B69,D69,C69)</f>
        <v>-4.9063850918906144</v>
      </c>
      <c r="N69" cm="1">
        <f t="array" ref="N69">theta_call(E69,A69,0.9,B69,D69,C69)</f>
        <v>-4.6482907283723494</v>
      </c>
      <c r="O69" cm="1">
        <f t="array" ref="O69">theta_call(E69,A69,1,B69,D69,C69)</f>
        <v>-4.4296791984524662</v>
      </c>
      <c r="P69" cm="1">
        <f t="array" ref="P69">theta_call(E69,A69,2,B69,D69,C69)</f>
        <v>-3.2395306029962003</v>
      </c>
      <c r="Q69" cm="1">
        <f t="array" ref="Q69">theta_call(E69,A69,3,B69,D69,C69)</f>
        <v>-2.7065254279111142</v>
      </c>
      <c r="R69" cm="1">
        <f t="array" ref="R69">theta_call(E69,A69,4,B69,D69,C69)</f>
        <v>-2.3858912222481017</v>
      </c>
      <c r="S69" cm="1">
        <f t="array" ref="S69">theta_call(E69,A69,5,B69,D69,C69)</f>
        <v>-2.1653805878343673</v>
      </c>
    </row>
    <row r="70" spans="1:19" x14ac:dyDescent="0.3">
      <c r="A70">
        <v>100</v>
      </c>
      <c r="B70">
        <f t="shared" si="3"/>
        <v>0.01</v>
      </c>
      <c r="C70">
        <v>0.2</v>
      </c>
      <c r="D70">
        <v>0</v>
      </c>
      <c r="E70" s="5">
        <v>105</v>
      </c>
      <c r="F70" cm="1">
        <f t="array" ref="F70">theta_call(E70,A70,0.1,B70,D70,C70)</f>
        <v>-10.248896273360074</v>
      </c>
      <c r="G70" cm="1">
        <f t="array" ref="G70">theta_call(E70,A70,0.2,B70,D70,C70)</f>
        <v>-8.4652333282392611</v>
      </c>
      <c r="H70" cm="1">
        <f t="array" ref="H70">theta_call(E70,A70,0.3,B70,D70,C70)</f>
        <v>-7.3183544303146189</v>
      </c>
      <c r="I70" cm="1">
        <f t="array" ref="I70">theta_call(E70,A70,0.4,B70,D70,C70)</f>
        <v>-6.5417936390512477</v>
      </c>
      <c r="J70" cm="1">
        <f t="array" ref="J70">theta_call(E70,A70,0.5,B70,D70,C70)</f>
        <v>-5.9756847306203404</v>
      </c>
      <c r="K70" cm="1">
        <f t="array" ref="K70">theta_call(E70,A70,0.6,B70,D70,C70)</f>
        <v>-5.5403733387028486</v>
      </c>
      <c r="L70" cm="1">
        <f t="array" ref="L70">theta_call(E70,A70,0.7,B70,D70,C70)</f>
        <v>-5.192435808043764</v>
      </c>
      <c r="M70" cm="1">
        <f t="array" ref="M70">theta_call(E70,A70,0.8,B70,D70,C70)</f>
        <v>-4.9061463905105418</v>
      </c>
      <c r="N70" cm="1">
        <f t="array" ref="N70">theta_call(E70,A70,0.9,B70,D70,C70)</f>
        <v>-4.6652261416444221</v>
      </c>
      <c r="O70" cm="1">
        <f t="array" ref="O70">theta_call(E70,A70,1,B70,D70,C70)</f>
        <v>-4.458824031408879</v>
      </c>
      <c r="P70" cm="1">
        <f t="array" ref="P70">theta_call(E70,A70,2,B70,D70,C70)</f>
        <v>-3.3022593622871685</v>
      </c>
      <c r="Q70" cm="1">
        <f t="array" ref="Q70">theta_call(E70,A70,3,B70,D70,C70)</f>
        <v>-2.7694508208544937</v>
      </c>
      <c r="R70" cm="1">
        <f t="array" ref="R70">theta_call(E70,A70,4,B70,D70,C70)</f>
        <v>-2.4455643067157569</v>
      </c>
      <c r="S70" cm="1">
        <f t="array" ref="S70">theta_call(E70,A70,5,B70,D70,C70)</f>
        <v>-2.2216061127607514</v>
      </c>
    </row>
    <row r="71" spans="1:19" x14ac:dyDescent="0.3">
      <c r="A71">
        <v>100</v>
      </c>
      <c r="B71">
        <f t="shared" si="3"/>
        <v>0.01</v>
      </c>
      <c r="C71">
        <v>0.2</v>
      </c>
      <c r="D71">
        <v>0</v>
      </c>
      <c r="E71" s="5">
        <v>110</v>
      </c>
      <c r="F71" cm="1">
        <f t="array" ref="F71">theta_call(E71,A71,0.1,B71,D71,C71)</f>
        <v>-5.07894917656352</v>
      </c>
      <c r="G71" cm="1">
        <f t="array" ref="G71">theta_call(E71,A71,0.2,B71,D71,C71)</f>
        <v>-6.0197638922162939</v>
      </c>
      <c r="H71" cm="1">
        <f t="array" ref="H71">theta_call(E71,A71,0.3,B71,D71,C71)</f>
        <v>-5.894258624560023</v>
      </c>
      <c r="I71" cm="1">
        <f t="array" ref="I71">theta_call(E71,A71,0.4,B71,D71,C71)</f>
        <v>-5.6094699408891664</v>
      </c>
      <c r="J71" cm="1">
        <f t="array" ref="J71">theta_call(E71,A71,0.5,B71,D71,C71)</f>
        <v>-5.3204298627380409</v>
      </c>
      <c r="K71" cm="1">
        <f t="array" ref="K71">theta_call(E71,A71,0.6,B71,D71,C71)</f>
        <v>-5.057893608774835</v>
      </c>
      <c r="L71" cm="1">
        <f t="array" ref="L71">theta_call(E71,A71,0.7,B71,D71,C71)</f>
        <v>-4.8255490293973731</v>
      </c>
      <c r="M71" cm="1">
        <f t="array" ref="M71">theta_call(E71,A71,0.8,B71,D71,C71)</f>
        <v>-4.6206847221159055</v>
      </c>
      <c r="N71" cm="1">
        <f t="array" ref="N71">theta_call(E71,A71,0.9,B71,D71,C71)</f>
        <v>-4.4394210185282601</v>
      </c>
      <c r="O71" cm="1">
        <f t="array" ref="O71">theta_call(E71,A71,1,B71,D71,C71)</f>
        <v>-4.2781006210085888</v>
      </c>
      <c r="P71" cm="1">
        <f t="array" ref="P71">theta_call(E71,A71,2,B71,D71,C71)</f>
        <v>-3.2859929636128302</v>
      </c>
      <c r="Q71" cm="1">
        <f t="array" ref="Q71">theta_call(E71,A71,3,B71,D71,C71)</f>
        <v>-2.7881224165986858</v>
      </c>
      <c r="R71" cm="1">
        <f t="array" ref="R71">theta_call(E71,A71,4,B71,D71,C71)</f>
        <v>-2.4759012883515981</v>
      </c>
      <c r="S71" cm="1">
        <f t="array" ref="S71">theta_call(E71,A71,5,B71,D71,C71)</f>
        <v>-2.2564780018425803</v>
      </c>
    </row>
    <row r="72" spans="1:19" x14ac:dyDescent="0.3">
      <c r="A72">
        <v>100</v>
      </c>
      <c r="B72">
        <f t="shared" si="3"/>
        <v>0.01</v>
      </c>
      <c r="C72">
        <v>0.2</v>
      </c>
      <c r="D72">
        <v>0</v>
      </c>
      <c r="E72" s="5">
        <v>115</v>
      </c>
      <c r="F72" cm="1">
        <f t="array" ref="F72">theta_call(E72,A72,0.1,B72,D72,C72)</f>
        <v>-2.122376667743791</v>
      </c>
      <c r="G72" cm="1">
        <f t="array" ref="G72">theta_call(E72,A72,0.2,B72,D72,C72)</f>
        <v>-3.6590014057540245</v>
      </c>
      <c r="H72" cm="1">
        <f t="array" ref="H72">theta_call(E72,A72,0.3,B72,D72,C72)</f>
        <v>-4.2278688317674735</v>
      </c>
      <c r="I72" cm="1">
        <f t="array" ref="I72">theta_call(E72,A72,0.4,B72,D72,C72)</f>
        <v>-4.3936917737208683</v>
      </c>
      <c r="J72" cm="1">
        <f t="array" ref="J72">theta_call(E72,A72,0.5,B72,D72,C72)</f>
        <v>-4.3989715434613696</v>
      </c>
      <c r="K72" cm="1">
        <f t="array" ref="K72">theta_call(E72,A72,0.6,B72,D72,C72)</f>
        <v>-4.3373936090181973</v>
      </c>
      <c r="L72" cm="1">
        <f t="array" ref="L72">theta_call(E72,A72,0.7,B72,D72,C72)</f>
        <v>-4.2481905149445334</v>
      </c>
      <c r="M72" cm="1">
        <f t="array" ref="M72">theta_call(E72,A72,0.8,B72,D72,C72)</f>
        <v>-4.1489831798017889</v>
      </c>
      <c r="N72" cm="1">
        <f t="array" ref="N72">theta_call(E72,A72,0.9,B72,D72,C72)</f>
        <v>-4.0480381642977923</v>
      </c>
      <c r="O72" cm="1">
        <f t="array" ref="O72">theta_call(E72,A72,1,B72,D72,C72)</f>
        <v>-3.9492841488252792</v>
      </c>
      <c r="P72" cm="1">
        <f t="array" ref="P72">theta_call(E72,A72,2,B72,D72,C72)</f>
        <v>-3.2054233686322795</v>
      </c>
      <c r="Q72" cm="1">
        <f t="array" ref="Q72">theta_call(E72,A72,3,B72,D72,C72)</f>
        <v>-2.7691230735057308</v>
      </c>
      <c r="R72" cm="1">
        <f t="array" ref="R72">theta_call(E72,A72,4,B72,D72,C72)</f>
        <v>-2.4807097437198364</v>
      </c>
      <c r="S72" cm="1">
        <f t="array" ref="S72">theta_call(E72,A72,5,B72,D72,C72)</f>
        <v>-2.2725208175366562</v>
      </c>
    </row>
    <row r="73" spans="1:19" x14ac:dyDescent="0.3">
      <c r="A73">
        <v>100</v>
      </c>
      <c r="B73">
        <f t="shared" si="3"/>
        <v>0.01</v>
      </c>
      <c r="C73">
        <v>0.2</v>
      </c>
      <c r="D73">
        <v>0</v>
      </c>
      <c r="E73" s="5">
        <v>120</v>
      </c>
      <c r="F73" cm="1">
        <f t="array" ref="F73">theta_call(E73,A73,0.1,B73,D73,C73)</f>
        <v>-1.2057786628148568</v>
      </c>
      <c r="G73" cm="1">
        <f t="array" ref="G73">theta_call(E73,A73,0.2,B73,D73,C73)</f>
        <v>-2.1466966892513142</v>
      </c>
      <c r="H73" cm="1">
        <f t="array" ref="H73">theta_call(E73,A73,0.3,B73,D73,C73)</f>
        <v>-2.8538141781283684</v>
      </c>
      <c r="I73" cm="1">
        <f t="array" ref="I73">theta_call(E73,A73,0.4,B73,D73,C73)</f>
        <v>-3.2502361218147513</v>
      </c>
      <c r="J73" cm="1">
        <f t="array" ref="J73">theta_call(E73,A73,0.5,B73,D73,C73)</f>
        <v>-3.4573368442039301</v>
      </c>
      <c r="K73" cm="1">
        <f t="array" ref="K73">theta_call(E73,A73,0.6,B73,D73,C73)</f>
        <v>-3.5565134045123816</v>
      </c>
      <c r="L73" cm="1">
        <f t="array" ref="L73">theta_call(E73,A73,0.7,B73,D73,C73)</f>
        <v>-3.5935186973612852</v>
      </c>
      <c r="M73" cm="1">
        <f t="array" ref="M73">theta_call(E73,A73,0.8,B73,D73,C73)</f>
        <v>-3.594014381087876</v>
      </c>
      <c r="N73" cm="1">
        <f t="array" ref="N73">theta_call(E73,A73,0.9,B73,D73,C73)</f>
        <v>-3.572789436194868</v>
      </c>
      <c r="O73" cm="1">
        <f t="array" ref="O73">theta_call(E73,A73,1,B73,D73,C73)</f>
        <v>-3.5386282471224373</v>
      </c>
      <c r="P73" cm="1">
        <f t="array" ref="P73">theta_call(E73,A73,2,B73,D73,C73)</f>
        <v>-3.076723743827932</v>
      </c>
      <c r="Q73" cm="1">
        <f t="array" ref="Q73">theta_call(E73,A73,3,B73,D73,C73)</f>
        <v>-2.7195798662550992</v>
      </c>
      <c r="R73" cm="1">
        <f t="array" ref="R73">theta_call(E73,A73,4,B73,D73,C73)</f>
        <v>-2.4640310496713758</v>
      </c>
      <c r="S73" cm="1">
        <f t="array" ref="S73">theta_call(E73,A73,5,B73,D73,C73)</f>
        <v>-2.2723664855228907</v>
      </c>
    </row>
    <row r="74" spans="1:19" x14ac:dyDescent="0.3">
      <c r="A74">
        <v>100</v>
      </c>
      <c r="B74">
        <f t="shared" si="3"/>
        <v>0.01</v>
      </c>
      <c r="C74">
        <v>0.2</v>
      </c>
      <c r="D74">
        <v>0</v>
      </c>
      <c r="E74" s="5">
        <v>125</v>
      </c>
      <c r="F74" cm="1">
        <f t="array" ref="F74">theta_call(E74,A74,0.1,B74,D74,C74)</f>
        <v>-1.0271745595277382</v>
      </c>
      <c r="G74" cm="1">
        <f t="array" ref="G74">theta_call(E74,A74,0.2,B74,D74,C74)</f>
        <v>-1.4141621323957998</v>
      </c>
      <c r="H74" cm="1">
        <f t="array" ref="H74">theta_call(E74,A74,0.3,B74,D74,C74)</f>
        <v>-1.9447000617782182</v>
      </c>
      <c r="I74" cm="1">
        <f t="array" ref="I74">theta_call(E74,A74,0.4,B74,D74,C74)</f>
        <v>-2.3630497435975277</v>
      </c>
      <c r="J74" cm="1">
        <f t="array" ref="J74">theta_call(E74,A74,0.5,B74,D74,C74)</f>
        <v>-2.6516252708081542</v>
      </c>
      <c r="K74" cm="1">
        <f t="array" ref="K74">theta_call(E74,A74,0.6,B74,D74,C74)</f>
        <v>-2.8419836433640469</v>
      </c>
      <c r="L74" cm="1">
        <f t="array" ref="L74">theta_call(E74,A74,0.7,B74,D74,C74)</f>
        <v>-2.9640453433654779</v>
      </c>
      <c r="M74" cm="1">
        <f t="array" ref="M74">theta_call(E74,A74,0.8,B74,D74,C74)</f>
        <v>-3.0393841643748347</v>
      </c>
      <c r="N74" cm="1">
        <f t="array" ref="N74">theta_call(E74,A74,0.9,B74,D74,C74)</f>
        <v>-3.0826606894491215</v>
      </c>
      <c r="O74" cm="1">
        <f t="array" ref="O74">theta_call(E74,A74,1,B74,D74,C74)</f>
        <v>-3.1037526551210197</v>
      </c>
      <c r="P74" cm="1">
        <f t="array" ref="P74">theta_call(E74,A74,2,B74,D74,C74)</f>
        <v>-2.9155814422550197</v>
      </c>
      <c r="Q74" cm="1">
        <f t="array" ref="Q74">theta_call(E74,A74,3,B74,D74,C74)</f>
        <v>-2.6465378479598431</v>
      </c>
      <c r="R74" cm="1">
        <f t="array" ref="R74">theta_call(E74,A74,4,B74,D74,C74)</f>
        <v>-2.429865445947073</v>
      </c>
      <c r="S74" cm="1">
        <f t="array" ref="S74">theta_call(E74,A74,5,B74,D74,C74)</f>
        <v>-2.2586104377834699</v>
      </c>
    </row>
    <row r="75" spans="1:19" x14ac:dyDescent="0.3">
      <c r="A75">
        <v>100</v>
      </c>
      <c r="B75">
        <f t="shared" si="3"/>
        <v>0.01</v>
      </c>
      <c r="C75">
        <v>0.2</v>
      </c>
      <c r="D75">
        <v>0</v>
      </c>
      <c r="E75" s="5">
        <v>130</v>
      </c>
      <c r="F75" cm="1">
        <f t="array" ref="F75">theta_call(E75,A75,0.1,B75,D75,C75)</f>
        <v>-1.0034490042939652</v>
      </c>
      <c r="G75" cm="1">
        <f t="array" ref="G75">theta_call(E75,A75,0.2,B75,D75,C75)</f>
        <v>-1.1288697485194497</v>
      </c>
      <c r="H75" cm="1">
        <f t="array" ref="H75">theta_call(E75,A75,0.3,B75,D75,C75)</f>
        <v>-1.4343371384118355</v>
      </c>
      <c r="I75" cm="1">
        <f t="array" ref="I75">theta_call(E75,A75,0.4,B75,D75,C75)</f>
        <v>-1.7635724087074318</v>
      </c>
      <c r="J75" cm="1">
        <f t="array" ref="J75">theta_call(E75,A75,0.5,B75,D75,C75)</f>
        <v>-2.0422179719532934</v>
      </c>
      <c r="K75" cm="1">
        <f t="array" ref="K75">theta_call(E75,A75,0.6,B75,D75,C75)</f>
        <v>-2.2586601819823837</v>
      </c>
      <c r="L75" cm="1">
        <f t="array" ref="L75">theta_call(E75,A75,0.7,B75,D75,C75)</f>
        <v>-2.4208099381508927</v>
      </c>
      <c r="M75" cm="1">
        <f t="array" ref="M75">theta_call(E75,A75,0.8,B75,D75,C75)</f>
        <v>-2.5399329678018314</v>
      </c>
      <c r="N75" cm="1">
        <f t="array" ref="N75">theta_call(E75,A75,0.9,B75,D75,C75)</f>
        <v>-2.6260687991865788</v>
      </c>
      <c r="O75" cm="1">
        <f t="array" ref="O75">theta_call(E75,A75,1,B75,D75,C75)</f>
        <v>-2.6871714200809755</v>
      </c>
      <c r="P75" cm="1">
        <f t="array" ref="P75">theta_call(E75,A75,2,B75,D75,C75)</f>
        <v>-2.7359291428684522</v>
      </c>
      <c r="Q75" cm="1">
        <f t="array" ref="Q75">theta_call(E75,A75,3,B75,D75,C75)</f>
        <v>-2.5565356127998013</v>
      </c>
      <c r="R75" cm="1">
        <f t="array" ref="R75">theta_call(E75,A75,4,B75,D75,C75)</f>
        <v>-2.3819833824362679</v>
      </c>
      <c r="S75" cm="1">
        <f t="array" ref="S75">theta_call(E75,A75,5,B75,D75,C75)</f>
        <v>-2.233712892040332</v>
      </c>
    </row>
    <row r="76" spans="1:19" x14ac:dyDescent="0.3">
      <c r="A76">
        <v>100</v>
      </c>
      <c r="B76">
        <f t="shared" si="3"/>
        <v>0.01</v>
      </c>
      <c r="C76">
        <v>0.2</v>
      </c>
      <c r="D76">
        <v>0</v>
      </c>
      <c r="E76" s="5">
        <v>135</v>
      </c>
      <c r="F76" cm="1">
        <f t="array" ref="F76">theta_call(E76,A76,0.1,B76,D76,C76)</f>
        <v>-1.0011746734250258</v>
      </c>
      <c r="G76" cm="1">
        <f t="array" ref="G76">theta_call(E76,A76,0.2,B76,D76,C76)</f>
        <v>-1.0360374529115921</v>
      </c>
      <c r="H76" cm="1">
        <f t="array" ref="H76">theta_call(E76,A76,0.3,B76,D76,C76)</f>
        <v>-1.183190802482462</v>
      </c>
      <c r="I76" cm="1">
        <f t="array" ref="I76">theta_call(E76,A76,0.4,B76,D76,C76)</f>
        <v>-1.400050279934675</v>
      </c>
      <c r="J76" cm="1">
        <f t="array" ref="J76">theta_call(E76,A76,0.5,B76,D76,C76)</f>
        <v>-1.6228499281333031</v>
      </c>
      <c r="K76" cm="1">
        <f t="array" ref="K76">theta_call(E76,A76,0.6,B76,D76,C76)</f>
        <v>-1.8215577835651469</v>
      </c>
      <c r="L76" cm="1">
        <f t="array" ref="L76">theta_call(E76,A76,0.7,B76,D76,C76)</f>
        <v>-1.987916678264847</v>
      </c>
      <c r="M76" cm="1">
        <f t="array" ref="M76">theta_call(E76,A76,0.8,B76,D76,C76)</f>
        <v>-2.1228839194998295</v>
      </c>
      <c r="N76" cm="1">
        <f t="array" ref="N76">theta_call(E76,A76,0.9,B76,D76,C76)</f>
        <v>-2.2304752610998499</v>
      </c>
      <c r="O76" cm="1">
        <f t="array" ref="O76">theta_call(E76,A76,1,B76,D76,C76)</f>
        <v>-2.3152410722873409</v>
      </c>
      <c r="P76" cm="1">
        <f t="array" ref="P76">theta_call(E76,A76,2,B76,D76,C76)</f>
        <v>-2.5492863335702265</v>
      </c>
      <c r="Q76" cm="1">
        <f t="array" ref="Q76">theta_call(E76,A76,3,B76,D76,C76)</f>
        <v>-2.4553525451493545</v>
      </c>
      <c r="R76" cm="1">
        <f t="array" ref="R76">theta_call(E76,A76,4,B76,D76,C76)</f>
        <v>-2.3238080807732002</v>
      </c>
      <c r="S76" cm="1">
        <f t="array" ref="S76">theta_call(E76,A76,5,B76,D76,C76)</f>
        <v>-2.1999364597285593</v>
      </c>
    </row>
    <row r="77" spans="1:19" x14ac:dyDescent="0.3">
      <c r="A77">
        <v>100</v>
      </c>
      <c r="B77">
        <f t="shared" si="3"/>
        <v>0.01</v>
      </c>
      <c r="C77">
        <v>0.2</v>
      </c>
      <c r="D77">
        <v>0</v>
      </c>
      <c r="E77" s="5">
        <v>140</v>
      </c>
      <c r="F77" cm="1">
        <f t="array" ref="F77">theta_call(E77,A77,0.1,B77,D77,C77)</f>
        <v>-1.0010102373263094</v>
      </c>
      <c r="G77" cm="1">
        <f t="array" ref="G77">theta_call(E77,A77,0.2,B77,D77,C77)</f>
        <v>-1.0100933005544868</v>
      </c>
      <c r="H77" cm="1">
        <f t="array" ref="H77">theta_call(E77,A77,0.3,B77,D77,C77)</f>
        <v>-1.0724251562556457</v>
      </c>
      <c r="I77" cm="1">
        <f t="array" ref="I77">theta_call(E77,A77,0.4,B77,D77,C77)</f>
        <v>-1.1982915287345368</v>
      </c>
      <c r="J77" cm="1">
        <f t="array" ref="J77">theta_call(E77,A77,0.5,B77,D77,C77)</f>
        <v>-1.3554312000016124</v>
      </c>
      <c r="K77" cm="1">
        <f t="array" ref="K77">theta_call(E77,A77,0.6,B77,D77,C77)</f>
        <v>-1.5156040955099128</v>
      </c>
      <c r="L77" cm="1">
        <f t="array" ref="L77">theta_call(E77,A77,0.7,B77,D77,C77)</f>
        <v>-1.6638849511388574</v>
      </c>
      <c r="M77" cm="1">
        <f t="array" ref="M77">theta_call(E77,A77,0.8,B77,D77,C77)</f>
        <v>-1.7944596432291424</v>
      </c>
      <c r="N77" cm="1">
        <f t="array" ref="N77">theta_call(E77,A77,0.9,B77,D77,C77)</f>
        <v>-1.9062768905008256</v>
      </c>
      <c r="O77" cm="1">
        <f t="array" ref="O77">theta_call(E77,A77,1,B77,D77,C77)</f>
        <v>-2.0004445177891572</v>
      </c>
      <c r="P77" cm="1">
        <f t="array" ref="P77">theta_call(E77,A77,2,B77,D77,C77)</f>
        <v>-2.364566845629398</v>
      </c>
      <c r="Q77" cm="1">
        <f t="array" ref="Q77">theta_call(E77,A77,3,B77,D77,C77)</f>
        <v>-2.3478903289162218</v>
      </c>
      <c r="R77" cm="1">
        <f t="array" ref="R77">theta_call(E77,A77,4,B77,D77,C77)</f>
        <v>-2.2583535590904078</v>
      </c>
      <c r="S77" cm="1">
        <f t="array" ref="S77">theta_call(E77,A77,5,B77,D77,C77)</f>
        <v>-2.1593117694847401</v>
      </c>
    </row>
    <row r="79" spans="1:19" x14ac:dyDescent="0.3">
      <c r="A79" t="s">
        <v>13</v>
      </c>
      <c r="B79" t="s">
        <v>14</v>
      </c>
      <c r="C79" t="s">
        <v>15</v>
      </c>
      <c r="D79" t="s">
        <v>26</v>
      </c>
      <c r="F79" s="7">
        <v>0.1</v>
      </c>
      <c r="G79" s="7">
        <v>0.2</v>
      </c>
      <c r="H79" s="7">
        <v>0.3</v>
      </c>
      <c r="I79" s="7">
        <v>0.4</v>
      </c>
      <c r="J79" s="7">
        <v>0.5</v>
      </c>
      <c r="K79" s="7">
        <v>0.6</v>
      </c>
      <c r="L79" s="7">
        <v>0.7</v>
      </c>
      <c r="M79" s="7">
        <v>0.8</v>
      </c>
      <c r="N79" s="7">
        <v>0.9</v>
      </c>
      <c r="O79" s="7">
        <v>1</v>
      </c>
      <c r="P79" s="7">
        <v>2</v>
      </c>
      <c r="Q79" s="7">
        <v>3</v>
      </c>
      <c r="R79" s="7">
        <v>4</v>
      </c>
      <c r="S79" s="7">
        <v>5</v>
      </c>
    </row>
    <row r="80" spans="1:19" x14ac:dyDescent="0.3">
      <c r="A80">
        <v>100</v>
      </c>
      <c r="B80">
        <f>1/100</f>
        <v>0.01</v>
      </c>
      <c r="C80">
        <v>0.05</v>
      </c>
      <c r="D80">
        <v>0</v>
      </c>
      <c r="E80" s="5">
        <v>60</v>
      </c>
      <c r="F80" cm="1">
        <f t="array" ref="F80">theta_call(E80,A80,0.1,B80,D80,C80)</f>
        <v>-4.206019651031659E-226</v>
      </c>
      <c r="G80" cm="1">
        <f t="array" ref="G80">theta_call(E80,A80,0.2,B80,D80,C80)</f>
        <v>-6.3093890707574538E-113</v>
      </c>
      <c r="H80" cm="1">
        <f t="array" ref="H80">theta_call(E80,A80,0.3,B80,D80,C80)</f>
        <v>-3.0753279499531758E-75</v>
      </c>
      <c r="I80" cm="1">
        <f t="array" ref="I80">theta_call(E80,A80,0.4,B80,D80,C80)</f>
        <v>-2.0592235988396785E-56</v>
      </c>
      <c r="J80" cm="1">
        <f t="array" ref="J80">theta_call(E80,A80,0.5,B80,D80,C80)</f>
        <v>-3.9670182611173707E-45</v>
      </c>
      <c r="K80" cm="1">
        <f t="array" ref="K80">theta_call(E80,A80,0.6,B80,D80,C80)</f>
        <v>-1.3018403203472988E-37</v>
      </c>
      <c r="L80" cm="1">
        <f t="array" ref="L80">theta_call(E80,A80,0.7,B80,D80,C80)</f>
        <v>-3.007323306008953E-32</v>
      </c>
      <c r="M80" cm="1">
        <f t="array" ref="M80">theta_call(E80,A80,0.8,B80,D80,C80)</f>
        <v>-3.1416890385977261E-28</v>
      </c>
      <c r="N80" cm="1">
        <f t="array" ref="N80">theta_call(E80,A80,0.9,B80,D80,C80)</f>
        <v>-4.1701884105247298E-25</v>
      </c>
      <c r="O80" cm="1">
        <f t="array" ref="O80">theta_call(E80,A80,1,B80,D80,C80)</f>
        <v>-1.3069507454876615E-22</v>
      </c>
      <c r="P80" cm="1">
        <f t="array" ref="P80">theta_call(E80,A80,2,B80,D80,C80)</f>
        <v>-2.0171912187864513E-11</v>
      </c>
      <c r="Q80" cm="1">
        <f t="array" ref="Q80">theta_call(E80,A80,3,B80,D80,C80)</f>
        <v>-1.0020228609131084E-7</v>
      </c>
      <c r="R80" cm="1">
        <f t="array" ref="R80">theta_call(E80,A80,4,B80,D80,C80)</f>
        <v>-6.824081438204773E-6</v>
      </c>
      <c r="S80" cm="1">
        <f t="array" ref="S80">theta_call(E80,A80,5,B80,D80,C80)</f>
        <v>-8.4319948974983803E-5</v>
      </c>
    </row>
    <row r="81" spans="1:19" x14ac:dyDescent="0.3">
      <c r="A81">
        <v>100</v>
      </c>
      <c r="B81">
        <f t="shared" ref="B81:B96" si="4">1/100</f>
        <v>0.01</v>
      </c>
      <c r="C81">
        <v>0.05</v>
      </c>
      <c r="D81">
        <v>0</v>
      </c>
      <c r="E81" s="5">
        <v>65</v>
      </c>
      <c r="F81" cm="1">
        <f t="array" ref="F81">theta_call(E81,A81,0.1,B81,D81,C81)</f>
        <v>-9.2706775738050897E-161</v>
      </c>
      <c r="G81" cm="1">
        <f t="array" ref="G81">theta_call(E81,A81,0.2,B81,D81,C81)</f>
        <v>-2.5777776118801643E-80</v>
      </c>
      <c r="H81" cm="1">
        <f t="array" ref="H81">theta_call(E81,A81,0.3,B81,D81,C81)</f>
        <v>-1.5441768715579987E-53</v>
      </c>
      <c r="I81" cm="1">
        <f t="array" ref="I81">theta_call(E81,A81,0.4,B81,D81,C81)</f>
        <v>-3.6260855300848705E-40</v>
      </c>
      <c r="J81" cm="1">
        <f t="array" ref="J81">theta_call(E81,A81,0.5,B81,D81,C81)</f>
        <v>-3.7263146195203089E-32</v>
      </c>
      <c r="K81" cm="1">
        <f t="array" ref="K81">theta_call(E81,A81,0.6,B81,D81,C81)</f>
        <v>-8.0450573904521299E-27</v>
      </c>
      <c r="L81" cm="1">
        <f t="array" ref="L81">theta_call(E81,A81,0.7,B81,D81,C81)</f>
        <v>-5.1378184717271801E-23</v>
      </c>
      <c r="M81" cm="1">
        <f t="array" ref="M81">theta_call(E81,A81,0.8,B81,D81,C81)</f>
        <v>-3.6396366651425419E-20</v>
      </c>
      <c r="N81" cm="1">
        <f t="array" ref="N81">theta_call(E81,A81,0.9,B81,D81,C81)</f>
        <v>-5.9583449670298763E-18</v>
      </c>
      <c r="O81" cm="1">
        <f t="array" ref="O81">theta_call(E81,A81,1,B81,D81,C81)</f>
        <v>-3.500654263467297E-16</v>
      </c>
      <c r="P81" cm="1">
        <f t="array" ref="P81">theta_call(E81,A81,2,B81,D81,C81)</f>
        <v>-2.8999277817657335E-8</v>
      </c>
      <c r="Q81" cm="1">
        <f t="array" ref="Q81">theta_call(E81,A81,3,B81,D81,C81)</f>
        <v>-1.1757299685427363E-5</v>
      </c>
      <c r="R81" cm="1">
        <f t="array" ref="R81">theta_call(E81,A81,4,B81,D81,C81)</f>
        <v>-2.294526514189651E-4</v>
      </c>
      <c r="S81" cm="1">
        <f t="array" ref="S81">theta_call(E81,A81,5,B81,D81,C81)</f>
        <v>-1.3424800944579697E-3</v>
      </c>
    </row>
    <row r="82" spans="1:19" x14ac:dyDescent="0.3">
      <c r="A82">
        <v>100</v>
      </c>
      <c r="B82">
        <f t="shared" si="4"/>
        <v>0.01</v>
      </c>
      <c r="C82">
        <v>0.05</v>
      </c>
      <c r="D82">
        <v>0</v>
      </c>
      <c r="E82" s="5">
        <v>70</v>
      </c>
      <c r="F82" cm="1">
        <f t="array" ref="F82">theta_call(E82,A82,0.1,B82,D82,C82)</f>
        <v>-3.4917755217473891E-110</v>
      </c>
      <c r="G82" cm="1">
        <f t="array" ref="G82">theta_call(E82,A82,0.2,B82,D82,C82)</f>
        <v>-4.4006100072412031E-55</v>
      </c>
      <c r="H82" cm="1">
        <f t="array" ref="H82">theta_call(E82,A82,0.3,B82,D82,C82)</f>
        <v>-9.4047824986731364E-37</v>
      </c>
      <c r="I82" cm="1">
        <f t="array" ref="I82">theta_call(E82,A82,0.4,B82,D82,C82)</f>
        <v>-1.319729158667174E-27</v>
      </c>
      <c r="J82" cm="1">
        <f t="array" ref="J82">theta_call(E82,A82,0.5,B82,D82,C82)</f>
        <v>-3.9657375749218108E-22</v>
      </c>
      <c r="K82" cm="1">
        <f t="array" ref="K82">theta_call(E82,A82,0.6,B82,D82,C82)</f>
        <v>-1.7513430279847477E-18</v>
      </c>
      <c r="L82" cm="1">
        <f t="array" ref="L82">theta_call(E82,A82,0.7,B82,D82,C82)</f>
        <v>-6.9528059208494342E-16</v>
      </c>
      <c r="M82" cm="1">
        <f t="array" ref="M82">theta_call(E82,A82,0.8,B82,D82,C82)</f>
        <v>-6.1332575429651324E-14</v>
      </c>
      <c r="N82" cm="1">
        <f t="array" ref="N82">theta_call(E82,A82,0.9,B82,D82,C82)</f>
        <v>-1.9867876595632028E-12</v>
      </c>
      <c r="O82" cm="1">
        <f t="array" ref="O82">theta_call(E82,A82,1,B82,D82,C82)</f>
        <v>-3.1942247643409909E-11</v>
      </c>
      <c r="P82" cm="1">
        <f t="array" ref="P82">theta_call(E82,A82,2,B82,D82,C82)</f>
        <v>-7.7979174334888434E-6</v>
      </c>
      <c r="Q82" cm="1">
        <f t="array" ref="Q82">theta_call(E82,A82,3,B82,D82,C82)</f>
        <v>-4.5566423584894307E-4</v>
      </c>
      <c r="R82" cm="1">
        <f t="array" ref="R82">theta_call(E82,A82,4,B82,D82,C82)</f>
        <v>-3.3881673436123661E-3</v>
      </c>
      <c r="S82" cm="1">
        <f t="array" ref="S82">theta_call(E82,A82,5,B82,D82,C82)</f>
        <v>-1.1139856299923284E-2</v>
      </c>
    </row>
    <row r="83" spans="1:19" x14ac:dyDescent="0.3">
      <c r="A83">
        <v>100</v>
      </c>
      <c r="B83">
        <f t="shared" si="4"/>
        <v>0.01</v>
      </c>
      <c r="C83">
        <v>0.05</v>
      </c>
      <c r="D83">
        <v>0</v>
      </c>
      <c r="E83" s="5">
        <v>75</v>
      </c>
      <c r="F83" cm="1">
        <f t="array" ref="F83">theta_call(E83,A83,0.1,B83,D83,C83)</f>
        <v>-1.1292286884981929E-71</v>
      </c>
      <c r="G83" cm="1">
        <f t="array" ref="G83">theta_call(E83,A83,0.2,B83,D83,C83)</f>
        <v>-7.0276258163020138E-36</v>
      </c>
      <c r="H83" cm="1">
        <f t="array" ref="H83">theta_call(E83,A83,0.3,B83,D83,C83)</f>
        <v>-5.5149291190810234E-24</v>
      </c>
      <c r="I83" cm="1">
        <f t="array" ref="I83">theta_call(E83,A83,0.4,B83,D83,C83)</f>
        <v>-4.6924565294102883E-18</v>
      </c>
      <c r="J83" cm="1">
        <f t="array" ref="J83">theta_call(E83,A83,0.5,B83,D83,C83)</f>
        <v>-1.656118327836854E-14</v>
      </c>
      <c r="K83" cm="1">
        <f t="array" ref="K83">theta_call(E83,A83,0.6,B83,D83,C83)</f>
        <v>-3.7805177554376006E-12</v>
      </c>
      <c r="L83" cm="1">
        <f t="array" ref="L83">theta_call(E83,A83,0.7,B83,D83,C83)</f>
        <v>-1.8092527693681454E-10</v>
      </c>
      <c r="M83" cm="1">
        <f t="array" ref="M83">theta_call(E83,A83,0.8,B83,D83,C83)</f>
        <v>-3.2660943208797976E-9</v>
      </c>
      <c r="N83" cm="1">
        <f t="array" ref="N83">theta_call(E83,A83,0.9,B83,D83,C83)</f>
        <v>-3.0811416622866992E-8</v>
      </c>
      <c r="O83" cm="1">
        <f t="array" ref="O83">theta_call(E83,A83,1,B83,D83,C83)</f>
        <v>-1.8467314161309212E-7</v>
      </c>
      <c r="P83" cm="1">
        <f t="array" ref="P83">theta_call(E83,A83,2,B83,D83,C83)</f>
        <v>-5.3486988519258264E-4</v>
      </c>
      <c r="Q83" cm="1">
        <f t="array" ref="Q83">theta_call(E83,A83,3,B83,D83,C83)</f>
        <v>-7.1747714668232675E-3</v>
      </c>
      <c r="R83" cm="1">
        <f t="array" ref="R83">theta_call(E83,A83,4,B83,D83,C83)</f>
        <v>-2.5668814216257149E-2</v>
      </c>
      <c r="S83" cm="1">
        <f t="array" ref="S83">theta_call(E83,A83,5,B83,D83,C83)</f>
        <v>-5.4571641507651425E-2</v>
      </c>
    </row>
    <row r="84" spans="1:19" x14ac:dyDescent="0.3">
      <c r="A84">
        <v>100</v>
      </c>
      <c r="B84">
        <f t="shared" si="4"/>
        <v>0.01</v>
      </c>
      <c r="C84">
        <v>0.05</v>
      </c>
      <c r="D84">
        <v>0</v>
      </c>
      <c r="E84" s="5">
        <v>80</v>
      </c>
      <c r="F84" cm="1">
        <f t="array" ref="F84">theta_call(E84,A84,0.1,B84,D84,C84)</f>
        <v>-3.9005482652327401E-43</v>
      </c>
      <c r="G84" cm="1">
        <f t="array" ref="G84">theta_call(E84,A84,0.2,B84,D84,C84)</f>
        <v>-1.1700591514513206E-21</v>
      </c>
      <c r="H84" cm="1">
        <f t="array" ref="H84">theta_call(E84,A84,0.3,B84,D84,C84)</f>
        <v>-1.5529971232665859E-14</v>
      </c>
      <c r="I84" cm="1">
        <f t="array" ref="I84">theta_call(E84,A84,0.4,B84,D84,C84)</f>
        <v>-5.4393153170779409E-11</v>
      </c>
      <c r="J84" cm="1">
        <f t="array" ref="J84">theta_call(E84,A84,0.5,B84,D84,C84)</f>
        <v>-7.1162632076344959E-9</v>
      </c>
      <c r="K84" cm="1">
        <f t="array" ref="K84">theta_call(E84,A84,0.6,B84,D84,C84)</f>
        <v>-1.8070615573559519E-7</v>
      </c>
      <c r="L84" cm="1">
        <f t="array" ref="L84">theta_call(E84,A84,0.7,B84,D84,C84)</f>
        <v>-1.8025487985372453E-6</v>
      </c>
      <c r="M84" cm="1">
        <f t="array" ref="M84">theta_call(E84,A84,0.8,B84,D84,C84)</f>
        <v>-1.0041956627608084E-5</v>
      </c>
      <c r="N84" cm="1">
        <f t="array" ref="N84">theta_call(E84,A84,0.9,B84,D84,C84)</f>
        <v>-3.7977180557270564E-5</v>
      </c>
      <c r="O84" cm="1">
        <f t="array" ref="O84">theta_call(E84,A84,1,B84,D84,C84)</f>
        <v>-1.0958883967682659E-4</v>
      </c>
      <c r="P84" cm="1">
        <f t="array" ref="P84">theta_call(E84,A84,2,B84,D84,C84)</f>
        <v>-1.1924530029117607E-2</v>
      </c>
      <c r="Q84" cm="1">
        <f t="array" ref="Q84">theta_call(E84,A84,3,B84,D84,C84)</f>
        <v>-5.4001258313594529E-2</v>
      </c>
      <c r="R84" cm="1">
        <f t="array" ref="R84">theta_call(E84,A84,4,B84,D84,C84)</f>
        <v>-0.11279776309141538</v>
      </c>
      <c r="S84" cm="1">
        <f t="array" ref="S84">theta_call(E84,A84,5,B84,D84,C84)</f>
        <v>-0.17419006847372245</v>
      </c>
    </row>
    <row r="85" spans="1:19" x14ac:dyDescent="0.3">
      <c r="A85">
        <v>100</v>
      </c>
      <c r="B85">
        <f t="shared" si="4"/>
        <v>0.01</v>
      </c>
      <c r="C85">
        <v>0.05</v>
      </c>
      <c r="D85">
        <v>0</v>
      </c>
      <c r="E85" s="5">
        <v>85</v>
      </c>
      <c r="F85" cm="1">
        <f t="array" ref="F85">theta_call(E85,A85,0.1,B85,D85,C85)</f>
        <v>-6.4352420693311497E-23</v>
      </c>
      <c r="G85" cm="1">
        <f t="array" ref="G85">theta_call(E85,A85,0.2,B85,D85,C85)</f>
        <v>-1.3580980032702918E-11</v>
      </c>
      <c r="H85" cm="1">
        <f t="array" ref="H85">theta_call(E85,A85,0.3,B85,D85,C85)</f>
        <v>-7.4561850222966509E-8</v>
      </c>
      <c r="I85" cm="1">
        <f t="array" ref="I85">theta_call(E85,A85,0.4,B85,D85,C85)</f>
        <v>-5.318798825235881E-6</v>
      </c>
      <c r="J85" cm="1">
        <f t="array" ref="J85">theta_call(E85,A85,0.5,B85,D85,C85)</f>
        <v>-6.7350394429443558E-5</v>
      </c>
      <c r="K85" cm="1">
        <f t="array" ref="K85">theta_call(E85,A85,0.6,B85,D85,C85)</f>
        <v>-3.6083517578291182E-4</v>
      </c>
      <c r="L85" cm="1">
        <f t="array" ref="L85">theta_call(E85,A85,0.7,B85,D85,C85)</f>
        <v>-1.1853427598876535E-3</v>
      </c>
      <c r="M85" cm="1">
        <f t="array" ref="M85">theta_call(E85,A85,0.8,B85,D85,C85)</f>
        <v>-2.8723848518017528E-3</v>
      </c>
      <c r="N85" cm="1">
        <f t="array" ref="N85">theta_call(E85,A85,0.9,B85,D85,C85)</f>
        <v>-5.6881211569644536E-3</v>
      </c>
      <c r="O85" cm="1">
        <f t="array" ref="O85">theta_call(E85,A85,1,B85,D85,C85)</f>
        <v>-9.7862034806527193E-3</v>
      </c>
      <c r="P85" cm="1">
        <f t="array" ref="P85">theta_call(E85,A85,2,B85,D85,C85)</f>
        <v>-0.10493932588846182</v>
      </c>
      <c r="Q85" cm="1">
        <f t="array" ref="Q85">theta_call(E85,A85,3,B85,D85,C85)</f>
        <v>-0.22160372086180813</v>
      </c>
      <c r="R85" cm="1">
        <f t="array" ref="R85">theta_call(E85,A85,4,B85,D85,C85)</f>
        <v>-0.31774039966118539</v>
      </c>
      <c r="S85" cm="1">
        <f t="array" ref="S85">theta_call(E85,A85,5,B85,D85,C85)</f>
        <v>-0.39276035166022194</v>
      </c>
    </row>
    <row r="86" spans="1:19" x14ac:dyDescent="0.3">
      <c r="A86">
        <v>100</v>
      </c>
      <c r="B86">
        <f t="shared" si="4"/>
        <v>0.01</v>
      </c>
      <c r="C86">
        <v>0.05</v>
      </c>
      <c r="D86">
        <v>0</v>
      </c>
      <c r="E86" s="5">
        <v>90</v>
      </c>
      <c r="F86" cm="1">
        <f t="array" ref="F86">theta_call(E86,A86,0.1,B86,D86,C86)</f>
        <v>-1.0566022968851616E-9</v>
      </c>
      <c r="G86" cm="1">
        <f t="array" ref="G86">theta_call(E86,A86,0.2,B86,D86,C86)</f>
        <v>-5.0246035277729251E-5</v>
      </c>
      <c r="H86" cm="1">
        <f t="array" ref="H86">theta_call(E86,A86,0.3,B86,D86,C86)</f>
        <v>-1.6845228260758945E-3</v>
      </c>
      <c r="I86" cm="1">
        <f t="array" ref="I86">theta_call(E86,A86,0.4,B86,D86,C86)</f>
        <v>-9.4122021692078003E-3</v>
      </c>
      <c r="J86" cm="1">
        <f t="array" ref="J86">theta_call(E86,A86,0.5,B86,D86,C86)</f>
        <v>-2.5900664064855649E-2</v>
      </c>
      <c r="K86" cm="1">
        <f t="array" ref="K86">theta_call(E86,A86,0.6,B86,D86,C86)</f>
        <v>-5.0223515484318942E-2</v>
      </c>
      <c r="L86" cm="1">
        <f t="array" ref="L86">theta_call(E86,A86,0.7,B86,D86,C86)</f>
        <v>-7.9913729122652141E-2</v>
      </c>
      <c r="M86" cm="1">
        <f t="array" ref="M86">theta_call(E86,A86,0.8,B86,D86,C86)</f>
        <v>-0.11252891223080447</v>
      </c>
      <c r="N86" cm="1">
        <f t="array" ref="N86">theta_call(E86,A86,0.9,B86,D86,C86)</f>
        <v>-0.14619107390991709</v>
      </c>
      <c r="O86" cm="1">
        <f t="array" ref="O86">theta_call(E86,A86,1,B86,D86,C86)</f>
        <v>-0.17962163783566742</v>
      </c>
      <c r="P86" cm="1">
        <f t="array" ref="P86">theta_call(E86,A86,2,B86,D86,C86)</f>
        <v>-0.42862705496064951</v>
      </c>
      <c r="Q86" cm="1">
        <f t="array" ref="Q86">theta_call(E86,A86,3,B86,D86,C86)</f>
        <v>-0.55416857230834682</v>
      </c>
      <c r="R86" cm="1">
        <f t="array" ref="R86">theta_call(E86,A86,4,B86,D86,C86)</f>
        <v>-0.6247334180045403</v>
      </c>
      <c r="S86" cm="1">
        <f t="array" ref="S86">theta_call(E86,A86,5,B86,D86,C86)</f>
        <v>-0.67021539497136673</v>
      </c>
    </row>
    <row r="87" spans="1:19" x14ac:dyDescent="0.3">
      <c r="A87">
        <v>100</v>
      </c>
      <c r="B87">
        <f t="shared" si="4"/>
        <v>0.01</v>
      </c>
      <c r="C87">
        <v>0.05</v>
      </c>
      <c r="D87">
        <v>0</v>
      </c>
      <c r="E87" s="5">
        <v>95</v>
      </c>
      <c r="F87" cm="1">
        <f t="array" ref="F87">theta_call(E87,A87,0.1,B87,D87,C87)</f>
        <v>-2.0234259778263552E-2</v>
      </c>
      <c r="G87" cm="1">
        <f t="array" ref="G87">theta_call(E87,A87,0.2,B87,D87,C87)</f>
        <v>-0.20457866784145473</v>
      </c>
      <c r="H87" cm="1">
        <f t="array" ref="H87">theta_call(E87,A87,0.3,B87,D87,C87)</f>
        <v>-0.41217606980042942</v>
      </c>
      <c r="I87" cm="1">
        <f t="array" ref="I87">theta_call(E87,A87,0.4,B87,D87,C87)</f>
        <v>-0.5668849662858545</v>
      </c>
      <c r="J87" cm="1">
        <f t="array" ref="J87">theta_call(E87,A87,0.5,B87,D87,C87)</f>
        <v>-0.67452233302611908</v>
      </c>
      <c r="K87" cm="1">
        <f t="array" ref="K87">theta_call(E87,A87,0.6,B87,D87,C87)</f>
        <v>-0.74930727233531724</v>
      </c>
      <c r="L87" cm="1">
        <f t="array" ref="L87">theta_call(E87,A87,0.7,B87,D87,C87)</f>
        <v>-0.80197310650052778</v>
      </c>
      <c r="M87" cm="1">
        <f t="array" ref="M87">theta_call(E87,A87,0.8,B87,D87,C87)</f>
        <v>-0.83963707882291827</v>
      </c>
      <c r="N87" cm="1">
        <f t="array" ref="N87">theta_call(E87,A87,0.9,B87,D87,C87)</f>
        <v>-0.86694078142017883</v>
      </c>
      <c r="O87" cm="1">
        <f t="array" ref="O87">theta_call(E87,A87,1,B87,D87,C87)</f>
        <v>-0.88694679976391322</v>
      </c>
      <c r="P87" cm="1">
        <f t="array" ref="P87">theta_call(E87,A87,2,B87,D87,C87)</f>
        <v>-0.93941893137298038</v>
      </c>
      <c r="Q87" cm="1">
        <f t="array" ref="Q87">theta_call(E87,A87,3,B87,D87,C87)</f>
        <v>-0.93390882996348157</v>
      </c>
      <c r="R87" cm="1">
        <f t="array" ref="R87">theta_call(E87,A87,4,B87,D87,C87)</f>
        <v>-0.92585670061099412</v>
      </c>
      <c r="S87" cm="1">
        <f t="array" ref="S87">theta_call(E87,A87,5,B87,D87,C87)</f>
        <v>-0.92067388300094288</v>
      </c>
    </row>
    <row r="88" spans="1:19" x14ac:dyDescent="0.3">
      <c r="A88">
        <v>100</v>
      </c>
      <c r="B88">
        <f t="shared" si="4"/>
        <v>0.01</v>
      </c>
      <c r="C88">
        <v>0.05</v>
      </c>
      <c r="D88">
        <v>0</v>
      </c>
      <c r="E88" s="5">
        <v>100</v>
      </c>
      <c r="F88" cm="1">
        <f t="array" ref="F88">theta_call(E88,A88,0.1,B88,D88,C88)</f>
        <v>-3.6685308722667309</v>
      </c>
      <c r="G88" cm="1">
        <f t="array" ref="G88">theta_call(E88,A88,0.2,B88,D88,C88)</f>
        <v>-2.7511472872291876</v>
      </c>
      <c r="H88" cm="1">
        <f t="array" ref="H88">theta_call(E88,A88,0.3,B88,D88,C88)</f>
        <v>-2.3469365421215524</v>
      </c>
      <c r="I88" cm="1">
        <f t="array" ref="I88">theta_call(E88,A88,0.4,B88,D88,C88)</f>
        <v>-2.1073171403529734</v>
      </c>
      <c r="J88" cm="1">
        <f t="array" ref="J88">theta_call(E88,A88,0.5,B88,D88,C88)</f>
        <v>-1.9447291092672252</v>
      </c>
      <c r="K88" cm="1">
        <f t="array" ref="K88">theta_call(E88,A88,0.6,B88,D88,C88)</f>
        <v>-1.8254199882736488</v>
      </c>
      <c r="L88" cm="1">
        <f t="array" ref="L88">theta_call(E88,A88,0.7,B88,D88,C88)</f>
        <v>-1.7332565753898725</v>
      </c>
      <c r="M88" cm="1">
        <f t="array" ref="M88">theta_call(E88,A88,0.8,B88,D88,C88)</f>
        <v>-1.6594301999165848</v>
      </c>
      <c r="N88" cm="1">
        <f t="array" ref="N88">theta_call(E88,A88,0.9,B88,D88,C88)</f>
        <v>-1.5986714969405358</v>
      </c>
      <c r="O88" cm="1">
        <f t="array" ref="O88">theta_call(E88,A88,1,B88,D88,C88)</f>
        <v>-1.5476103232885654</v>
      </c>
      <c r="P88" cm="1">
        <f t="array" ref="P88">theta_call(E88,A88,2,B88,D88,C88)</f>
        <v>-1.2802325268876227</v>
      </c>
      <c r="Q88" cm="1">
        <f t="array" ref="Q88">theta_call(E88,A88,3,B88,D88,C88)</f>
        <v>-1.1716668425678625</v>
      </c>
      <c r="R88" cm="1">
        <f t="array" ref="R88">theta_call(E88,A88,4,B88,D88,C88)</f>
        <v>-1.1134789061565988</v>
      </c>
      <c r="S88" cm="1">
        <f t="array" ref="S88">theta_call(E88,A88,5,B88,D88,C88)</f>
        <v>-1.0786629581864764</v>
      </c>
    </row>
    <row r="89" spans="1:19" x14ac:dyDescent="0.3">
      <c r="A89">
        <v>100</v>
      </c>
      <c r="B89">
        <f t="shared" si="4"/>
        <v>0.01</v>
      </c>
      <c r="C89">
        <v>0.05</v>
      </c>
      <c r="D89">
        <v>0</v>
      </c>
      <c r="E89" s="5">
        <v>105</v>
      </c>
      <c r="F89" cm="1">
        <f t="array" ref="F89">theta_call(E89,A89,0.1,B89,D89,C89)</f>
        <v>-1.0228530496366706</v>
      </c>
      <c r="G89" cm="1">
        <f t="array" ref="G89">theta_call(E89,A89,0.2,B89,D89,C89)</f>
        <v>-1.1631137347057994</v>
      </c>
      <c r="H89" cm="1">
        <f t="array" ref="H89">theta_call(E89,A89,0.3,B89,D89,C89)</f>
        <v>-1.2842917179075748</v>
      </c>
      <c r="I89" cm="1">
        <f t="array" ref="I89">theta_call(E89,A89,0.4,B89,D89,C89)</f>
        <v>-1.3549658802777027</v>
      </c>
      <c r="J89" cm="1">
        <f t="array" ref="J89">theta_call(E89,A89,0.5,B89,D89,C89)</f>
        <v>-1.3914349518001408</v>
      </c>
      <c r="K89" cm="1">
        <f t="array" ref="K89">theta_call(E89,A89,0.6,B89,D89,C89)</f>
        <v>-1.4075776601510597</v>
      </c>
      <c r="L89" cm="1">
        <f t="array" ref="L89">theta_call(E89,A89,0.7,B89,D89,C89)</f>
        <v>-1.4118293861630489</v>
      </c>
      <c r="M89" cm="1">
        <f t="array" ref="M89">theta_call(E89,A89,0.8,B89,D89,C89)</f>
        <v>-1.4091054205357227</v>
      </c>
      <c r="N89" cm="1">
        <f t="array" ref="N89">theta_call(E89,A89,0.9,B89,D89,C89)</f>
        <v>-1.4022962523012494</v>
      </c>
      <c r="O89" cm="1">
        <f t="array" ref="O89">theta_call(E89,A89,1,B89,D89,C89)</f>
        <v>-1.3931353576740149</v>
      </c>
      <c r="P89" cm="1">
        <f t="array" ref="P89">theta_call(E89,A89,2,B89,D89,C89)</f>
        <v>-1.2878810483778407</v>
      </c>
      <c r="Q89" cm="1">
        <f t="array" ref="Q89">theta_call(E89,A89,3,B89,D89,C89)</f>
        <v>-1.2153691617257814</v>
      </c>
      <c r="R89" cm="1">
        <f t="array" ref="R89">theta_call(E89,A89,4,B89,D89,C89)</f>
        <v>-1.1688455337038755</v>
      </c>
      <c r="S89" cm="1">
        <f t="array" ref="S89">theta_call(E89,A89,5,B89,D89,C89)</f>
        <v>-1.1381170861127599</v>
      </c>
    </row>
    <row r="90" spans="1:19" x14ac:dyDescent="0.3">
      <c r="A90">
        <v>100</v>
      </c>
      <c r="B90">
        <f t="shared" si="4"/>
        <v>0.01</v>
      </c>
      <c r="C90">
        <v>0.05</v>
      </c>
      <c r="D90">
        <v>0</v>
      </c>
      <c r="E90" s="5">
        <v>110</v>
      </c>
      <c r="F90" cm="1">
        <f t="array" ref="F90">theta_call(E90,A90,0.1,B90,D90,C90)</f>
        <v>-1.0010005285900745</v>
      </c>
      <c r="G90" cm="1">
        <f t="array" ref="G90">theta_call(E90,A90,0.2,B90,D90,C90)</f>
        <v>-1.0021752351342401</v>
      </c>
      <c r="H90" cm="1">
        <f t="array" ref="H90">theta_call(E90,A90,0.3,B90,D90,C90)</f>
        <v>-1.0058636303700572</v>
      </c>
      <c r="I90" cm="1">
        <f t="array" ref="I90">theta_call(E90,A90,0.4,B90,D90,C90)</f>
        <v>-1.0150261368331839</v>
      </c>
      <c r="J90" cm="1">
        <f t="array" ref="J90">theta_call(E90,A90,0.5,B90,D90,C90)</f>
        <v>-1.0289551653742788</v>
      </c>
      <c r="K90" cm="1">
        <f t="array" ref="K90">theta_call(E90,A90,0.6,B90,D90,C90)</f>
        <v>-1.0452601897484943</v>
      </c>
      <c r="L90" cm="1">
        <f t="array" ref="L90">theta_call(E90,A90,0.7,B90,D90,C90)</f>
        <v>-1.0619077182606946</v>
      </c>
      <c r="M90" cm="1">
        <f t="array" ref="M90">theta_call(E90,A90,0.8,B90,D90,C90)</f>
        <v>-1.0776549636911743</v>
      </c>
      <c r="N90" cm="1">
        <f t="array" ref="N90">theta_call(E90,A90,0.9,B90,D90,C90)</f>
        <v>-1.0918869492238088</v>
      </c>
      <c r="O90" cm="1">
        <f t="array" ref="O90">theta_call(E90,A90,1,B90,D90,C90)</f>
        <v>-1.1043824909794706</v>
      </c>
      <c r="P90" cm="1">
        <f t="array" ref="P90">theta_call(E90,A90,2,B90,D90,C90)</f>
        <v>-1.1573943338195638</v>
      </c>
      <c r="Q90" cm="1">
        <f t="array" ref="Q90">theta_call(E90,A90,3,B90,D90,C90)</f>
        <v>-1.1564548581328853</v>
      </c>
      <c r="R90" cm="1">
        <f t="array" ref="R90">theta_call(E90,A90,4,B90,D90,C90)</f>
        <v>-1.145594116437513</v>
      </c>
      <c r="S90" cm="1">
        <f t="array" ref="S90">theta_call(E90,A90,5,B90,D90,C90)</f>
        <v>-1.1347658992316958</v>
      </c>
    </row>
    <row r="91" spans="1:19" x14ac:dyDescent="0.3">
      <c r="A91">
        <v>100</v>
      </c>
      <c r="B91">
        <f t="shared" si="4"/>
        <v>0.01</v>
      </c>
      <c r="C91">
        <v>0.05</v>
      </c>
      <c r="D91">
        <v>0</v>
      </c>
      <c r="E91" s="5">
        <v>115</v>
      </c>
      <c r="F91" cm="1">
        <f t="array" ref="F91">theta_call(E91,A91,0.1,B91,D91,C91)</f>
        <v>-1.0010005001667084</v>
      </c>
      <c r="G91" cm="1">
        <f t="array" ref="G91">theta_call(E91,A91,0.2,B91,D91,C91)</f>
        <v>-1.0020020056814851</v>
      </c>
      <c r="H91" cm="1">
        <f t="array" ref="H91">theta_call(E91,A91,0.3,B91,D91,C91)</f>
        <v>-1.0030068534954228</v>
      </c>
      <c r="I91" cm="1">
        <f t="array" ref="I91">theta_call(E91,A91,0.4,B91,D91,C91)</f>
        <v>-1.0040599271450756</v>
      </c>
      <c r="J91" cm="1">
        <f t="array" ref="J91">theta_call(E91,A91,0.5,B91,D91,C91)</f>
        <v>-1.0053348219600826</v>
      </c>
      <c r="K91" cm="1">
        <f t="array" ref="K91">theta_call(E91,A91,0.6,B91,D91,C91)</f>
        <v>-1.0070830810923279</v>
      </c>
      <c r="L91" cm="1">
        <f t="array" ref="L91">theta_call(E91,A91,0.7,B91,D91,C91)</f>
        <v>-1.0094852560452681</v>
      </c>
      <c r="M91" cm="1">
        <f t="array" ref="M91">theta_call(E91,A91,0.8,B91,D91,C91)</f>
        <v>-1.0125849174564534</v>
      </c>
      <c r="N91" cm="1">
        <f t="array" ref="N91">theta_call(E91,A91,0.9,B91,D91,C91)</f>
        <v>-1.0163123518705688</v>
      </c>
      <c r="O91" cm="1">
        <f t="array" ref="O91">theta_call(E91,A91,1,B91,D91,C91)</f>
        <v>-1.0205358751534206</v>
      </c>
      <c r="P91" cm="1">
        <f t="array" ref="P91">theta_call(E91,A91,2,B91,D91,C91)</f>
        <v>-1.0651520155774428</v>
      </c>
      <c r="Q91" cm="1">
        <f t="array" ref="Q91">theta_call(E91,A91,3,B91,D91,C91)</f>
        <v>-1.0909757936249798</v>
      </c>
      <c r="R91" cm="1">
        <f t="array" ref="R91">theta_call(E91,A91,4,B91,D91,C91)</f>
        <v>-1.1029527542533495</v>
      </c>
      <c r="S91" cm="1">
        <f t="array" ref="S91">theta_call(E91,A91,5,B91,D91,C91)</f>
        <v>-1.1086430759032413</v>
      </c>
    </row>
    <row r="92" spans="1:19" x14ac:dyDescent="0.3">
      <c r="A92">
        <v>100</v>
      </c>
      <c r="B92">
        <f t="shared" si="4"/>
        <v>0.01</v>
      </c>
      <c r="C92">
        <v>0.05</v>
      </c>
      <c r="D92">
        <v>0</v>
      </c>
      <c r="E92" s="5">
        <v>120</v>
      </c>
      <c r="F92" cm="1">
        <f t="array" ref="F92">theta_call(E92,A92,0.1,B92,D92,C92)</f>
        <v>-1.0010005001667084</v>
      </c>
      <c r="G92" cm="1">
        <f t="array" ref="G92">theta_call(E92,A92,0.2,B92,D92,C92)</f>
        <v>-1.0020020013340043</v>
      </c>
      <c r="H92" cm="1">
        <f t="array" ref="H92">theta_call(E92,A92,0.3,B92,D92,C92)</f>
        <v>-1.0030045047228848</v>
      </c>
      <c r="I92" cm="1">
        <f t="array" ref="I92">theta_call(E92,A92,0.4,B92,D92,C92)</f>
        <v>-1.004008058465746</v>
      </c>
      <c r="J92" cm="1">
        <f t="array" ref="J92">theta_call(E92,A92,0.5,B92,D92,C92)</f>
        <v>-1.0050136925359583</v>
      </c>
      <c r="K92" cm="1">
        <f t="array" ref="K92">theta_call(E92,A92,0.6,B92,D92,C92)</f>
        <v>-1.006027718102753</v>
      </c>
      <c r="L92" cm="1">
        <f t="array" ref="L92">theta_call(E92,A92,0.7,B92,D92,C92)</f>
        <v>-1.0070676382815844</v>
      </c>
      <c r="M92" cm="1">
        <f t="array" ref="M92">theta_call(E92,A92,0.8,B92,D92,C92)</f>
        <v>-1.0081624738220962</v>
      </c>
      <c r="N92" cm="1">
        <f t="array" ref="N92">theta_call(E92,A92,0.9,B92,D92,C92)</f>
        <v>-1.0093461510420698</v>
      </c>
      <c r="O92" cm="1">
        <f t="array" ref="O92">theta_call(E92,A92,1,B92,D92,C92)</f>
        <v>-1.0106490974410729</v>
      </c>
      <c r="P92" cm="1">
        <f t="array" ref="P92">theta_call(E92,A92,2,B92,D92,C92)</f>
        <v>-1.0305480939926539</v>
      </c>
      <c r="Q92" cm="1">
        <f t="array" ref="Q92">theta_call(E92,A92,3,B92,D92,C92)</f>
        <v>-1.0529417042409961</v>
      </c>
      <c r="R92" cm="1">
        <f t="array" ref="R92">theta_call(E92,A92,4,B92,D92,C92)</f>
        <v>-1.0704956329606963</v>
      </c>
      <c r="S92" cm="1">
        <f t="array" ref="S92">theta_call(E92,A92,5,B92,D92,C92)</f>
        <v>-1.0835082613951088</v>
      </c>
    </row>
    <row r="93" spans="1:19" x14ac:dyDescent="0.3">
      <c r="A93">
        <v>100</v>
      </c>
      <c r="B93">
        <f t="shared" si="4"/>
        <v>0.01</v>
      </c>
      <c r="C93">
        <v>0.05</v>
      </c>
      <c r="D93">
        <v>0</v>
      </c>
      <c r="E93" s="5">
        <v>125</v>
      </c>
      <c r="F93" cm="1">
        <f t="array" ref="F93">theta_call(E93,A93,0.1,B93,D93,C93)</f>
        <v>-1.0010005001667084</v>
      </c>
      <c r="G93" cm="1">
        <f t="array" ref="G93">theta_call(E93,A93,0.2,B93,D93,C93)</f>
        <v>-1.0020020013340003</v>
      </c>
      <c r="H93" cm="1">
        <f t="array" ref="H93">theta_call(E93,A93,0.3,B93,D93,C93)</f>
        <v>-1.00300450450338</v>
      </c>
      <c r="I93" cm="1">
        <f t="array" ref="I93">theta_call(E93,A93,0.4,B93,D93,C93)</f>
        <v>-1.0040080106879681</v>
      </c>
      <c r="J93" cm="1">
        <f t="array" ref="J93">theta_call(E93,A93,0.5,B93,D93,C93)</f>
        <v>-1.0050125222254924</v>
      </c>
      <c r="K93" cm="1">
        <f t="array" ref="K93">theta_call(E93,A93,0.6,B93,D93,C93)</f>
        <v>-1.0060180701442518</v>
      </c>
      <c r="L93" cm="1">
        <f t="array" ref="L93">theta_call(E93,A93,0.7,B93,D93,C93)</f>
        <v>-1.0070248914640683</v>
      </c>
      <c r="M93" cm="1">
        <f t="array" ref="M93">theta_call(E93,A93,0.8,B93,D93,C93)</f>
        <v>-1.0080339153824267</v>
      </c>
      <c r="N93" cm="1">
        <f t="array" ref="N93">theta_call(E93,A93,0.9,B93,D93,C93)</f>
        <v>-1.009047423846807</v>
      </c>
      <c r="O93" cm="1">
        <f t="array" ref="O93">theta_call(E93,A93,1,B93,D93,C93)</f>
        <v>-1.0100694611824412</v>
      </c>
      <c r="P93" cm="1">
        <f t="array" ref="P93">theta_call(E93,A93,2,B93,D93,C93)</f>
        <v>-1.021973551919507</v>
      </c>
      <c r="Q93" cm="1">
        <f t="array" ref="Q93">theta_call(E93,A93,3,B93,D93,C93)</f>
        <v>-1.0372443071062183</v>
      </c>
      <c r="R93" cm="1">
        <f t="array" ref="R93">theta_call(E93,A93,4,B93,D93,C93)</f>
        <v>-1.0528072041909222</v>
      </c>
      <c r="S93" cm="1">
        <f t="array" ref="S93">theta_call(E93,A93,5,B93,D93,C93)</f>
        <v>-1.0669060594081721</v>
      </c>
    </row>
    <row r="94" spans="1:19" x14ac:dyDescent="0.3">
      <c r="A94">
        <v>100</v>
      </c>
      <c r="B94">
        <f t="shared" si="4"/>
        <v>0.01</v>
      </c>
      <c r="C94">
        <v>0.05</v>
      </c>
      <c r="D94">
        <v>0</v>
      </c>
      <c r="E94" s="5">
        <v>130</v>
      </c>
      <c r="F94" cm="1">
        <f t="array" ref="F94">theta_call(E94,A94,0.1,B94,D94,C94)</f>
        <v>-1.0010005001667084</v>
      </c>
      <c r="G94" cm="1">
        <f t="array" ref="G94">theta_call(E94,A94,0.2,B94,D94,C94)</f>
        <v>-1.0020020013340003</v>
      </c>
      <c r="H94" cm="1">
        <f t="array" ref="H94">theta_call(E94,A94,0.3,B94,D94,C94)</f>
        <v>-1.0030045045033771</v>
      </c>
      <c r="I94" cm="1">
        <f t="array" ref="I94">theta_call(E94,A94,0.4,B94,D94,C94)</f>
        <v>-1.0040080106773426</v>
      </c>
      <c r="J94" cm="1">
        <f t="array" ref="J94">theta_call(E94,A94,0.5,B94,D94,C94)</f>
        <v>-1.0050125208599907</v>
      </c>
      <c r="K94" cm="1">
        <f t="array" ref="K94">theta_call(E94,A94,0.6,B94,D94,C94)</f>
        <v>-1.0060180361065125</v>
      </c>
      <c r="L94" cm="1">
        <f t="array" ref="L94">theta_call(E94,A94,0.7,B94,D94,C94)</f>
        <v>-1.0070245585416049</v>
      </c>
      <c r="M94" cm="1">
        <f t="array" ref="M94">theta_call(E94,A94,0.8,B94,D94,C94)</f>
        <v>-1.0080320992991534</v>
      </c>
      <c r="N94" cm="1">
        <f t="array" ref="N94">theta_call(E94,A94,0.9,B94,D94,C94)</f>
        <v>-1.0090407089042683</v>
      </c>
      <c r="O94" cm="1">
        <f t="array" ref="O94">theta_call(E94,A94,1,B94,D94,C94)</f>
        <v>-1.0100505448627479</v>
      </c>
      <c r="P94" cm="1">
        <f t="array" ref="P94">theta_call(E94,A94,2,B94,D94,C94)</f>
        <v>-1.0204369754408609</v>
      </c>
      <c r="Q94" cm="1">
        <f t="array" ref="Q94">theta_call(E94,A94,3,B94,D94,C94)</f>
        <v>-1.0321766523309419</v>
      </c>
      <c r="R94" cm="1">
        <f t="array" ref="R94">theta_call(E94,A94,4,B94,D94,C94)</f>
        <v>-1.0450378317174549</v>
      </c>
      <c r="S94" cm="1">
        <f t="array" ref="S94">theta_call(E94,A94,5,B94,D94,C94)</f>
        <v>-1.0580172827266137</v>
      </c>
    </row>
    <row r="95" spans="1:19" x14ac:dyDescent="0.3">
      <c r="A95">
        <v>100</v>
      </c>
      <c r="B95">
        <f t="shared" si="4"/>
        <v>0.01</v>
      </c>
      <c r="C95">
        <v>0.05</v>
      </c>
      <c r="D95">
        <v>0</v>
      </c>
      <c r="E95" s="5">
        <v>135</v>
      </c>
      <c r="F95" cm="1">
        <f t="array" ref="F95">theta_call(E95,A95,0.1,B95,D95,C95)</f>
        <v>-1.0010005001667084</v>
      </c>
      <c r="G95" cm="1">
        <f t="array" ref="G95">theta_call(E95,A95,0.2,B95,D95,C95)</f>
        <v>-1.0020020013340003</v>
      </c>
      <c r="H95" cm="1">
        <f t="array" ref="H95">theta_call(E95,A95,0.3,B95,D95,C95)</f>
        <v>-1.0030045045033771</v>
      </c>
      <c r="I95" cm="1">
        <f t="array" ref="I95">theta_call(E95,A95,0.4,B95,D95,C95)</f>
        <v>-1.0040080106773419</v>
      </c>
      <c r="J95" cm="1">
        <f t="array" ref="J95">theta_call(E95,A95,0.5,B95,D95,C95)</f>
        <v>-1.005012520859401</v>
      </c>
      <c r="K95" cm="1">
        <f t="array" ref="K95">theta_call(E95,A95,0.6,B95,D95,C95)</f>
        <v>-1.006018036054104</v>
      </c>
      <c r="L95" cm="1">
        <f t="array" ref="L95">theta_call(E95,A95,0.7,B95,D95,C95)</f>
        <v>-1.0070245572694598</v>
      </c>
      <c r="M95" cm="1">
        <f t="array" ref="M95">theta_call(E95,A95,0.8,B95,D95,C95)</f>
        <v>-1.0080320855646354</v>
      </c>
      <c r="N95" cm="1">
        <f t="array" ref="N95">theta_call(E95,A95,0.9,B95,D95,C95)</f>
        <v>-1.009040622462021</v>
      </c>
      <c r="O95" cm="1">
        <f t="array" ref="O95">theta_call(E95,A95,1,B95,D95,C95)</f>
        <v>-1.0100501718704895</v>
      </c>
      <c r="P95" cm="1">
        <f t="array" ref="P95">theta_call(E95,A95,2,B95,D95,C95)</f>
        <v>-1.0202264952755704</v>
      </c>
      <c r="Q95" cm="1">
        <f t="array" ref="Q95">theta_call(E95,A95,3,B95,D95,C95)</f>
        <v>-1.0308307378552122</v>
      </c>
      <c r="R95" cm="1">
        <f t="array" ref="R95">theta_call(E95,A95,4,B95,D95,C95)</f>
        <v>-1.0421375994668673</v>
      </c>
      <c r="S95" cm="1">
        <f t="array" ref="S95">theta_call(E95,A95,5,B95,D95,C95)</f>
        <v>-1.0539135576245628</v>
      </c>
    </row>
    <row r="96" spans="1:19" x14ac:dyDescent="0.3">
      <c r="A96">
        <v>100</v>
      </c>
      <c r="B96">
        <f t="shared" si="4"/>
        <v>0.01</v>
      </c>
      <c r="C96">
        <v>0.05</v>
      </c>
      <c r="D96">
        <v>0</v>
      </c>
      <c r="E96" s="5">
        <v>140</v>
      </c>
      <c r="F96" cm="1">
        <f t="array" ref="F96">theta_call(E96,A96,0.1,B96,D96,C96)</f>
        <v>-1.0010005001667084</v>
      </c>
      <c r="G96" cm="1">
        <f t="array" ref="G96">theta_call(E96,A96,0.2,B96,D96,C96)</f>
        <v>-1.0020020013340003</v>
      </c>
      <c r="H96" cm="1">
        <f t="array" ref="H96">theta_call(E96,A96,0.3,B96,D96,C96)</f>
        <v>-1.0030045045033771</v>
      </c>
      <c r="I96" cm="1">
        <f t="array" ref="I96">theta_call(E96,A96,0.4,B96,D96,C96)</f>
        <v>-1.0040080106773419</v>
      </c>
      <c r="J96" cm="1">
        <f t="array" ref="J96">theta_call(E96,A96,0.5,B96,D96,C96)</f>
        <v>-1.005012520859401</v>
      </c>
      <c r="K96" cm="1">
        <f t="array" ref="K96">theta_call(E96,A96,0.6,B96,D96,C96)</f>
        <v>-1.0060180360540649</v>
      </c>
      <c r="L96" cm="1">
        <f t="array" ref="L96">theta_call(E96,A96,0.7,B96,D96,C96)</f>
        <v>-1.0070245572668517</v>
      </c>
      <c r="M96" cm="1">
        <f t="array" ref="M96">theta_call(E96,A96,0.8,B96,D96,C96)</f>
        <v>-1.0080320855044373</v>
      </c>
      <c r="N96" cm="1">
        <f t="array" ref="N96">theta_call(E96,A96,0.9,B96,D96,C96)</f>
        <v>-1.0090406217774228</v>
      </c>
      <c r="O96" cm="1">
        <f t="array" ref="O96">theta_call(E96,A96,1,B96,D96,C96)</f>
        <v>-1.0100501671255568</v>
      </c>
      <c r="P96" cm="1">
        <f t="array" ref="P96">theta_call(E96,A96,2,B96,D96,C96)</f>
        <v>-1.020203557347126</v>
      </c>
      <c r="Q96" cm="1">
        <f t="array" ref="Q96">theta_call(E96,A96,3,B96,D96,C96)</f>
        <v>-1.0305267518578776</v>
      </c>
      <c r="R96" cm="1">
        <f t="array" ref="R96">theta_call(E96,A96,4,B96,D96,C96)</f>
        <v>-1.0411879666263699</v>
      </c>
      <c r="S96" cm="1">
        <f t="array" ref="S96">theta_call(E96,A96,5,B96,D96,C96)</f>
        <v>-1.052224805821137</v>
      </c>
    </row>
    <row r="98" spans="1:19" x14ac:dyDescent="0.3">
      <c r="A98" t="s">
        <v>13</v>
      </c>
      <c r="B98" t="s">
        <v>14</v>
      </c>
      <c r="C98" t="s">
        <v>15</v>
      </c>
      <c r="D98" t="s">
        <v>26</v>
      </c>
      <c r="F98" s="7">
        <v>0.1</v>
      </c>
      <c r="G98" s="7">
        <v>0.2</v>
      </c>
      <c r="H98" s="7">
        <v>0.3</v>
      </c>
      <c r="I98" s="7">
        <v>0.4</v>
      </c>
      <c r="J98" s="7">
        <v>0.5</v>
      </c>
      <c r="K98" s="7">
        <v>0.6</v>
      </c>
      <c r="L98" s="7">
        <v>0.7</v>
      </c>
      <c r="M98" s="7">
        <v>0.8</v>
      </c>
      <c r="N98" s="7">
        <v>0.9</v>
      </c>
      <c r="O98" s="7">
        <v>1</v>
      </c>
      <c r="P98" s="7">
        <v>2</v>
      </c>
      <c r="Q98" s="7">
        <v>3</v>
      </c>
      <c r="R98" s="7">
        <v>4</v>
      </c>
      <c r="S98" s="7">
        <v>5</v>
      </c>
    </row>
    <row r="99" spans="1:19" x14ac:dyDescent="0.3">
      <c r="A99">
        <v>100</v>
      </c>
      <c r="B99">
        <f>1/100</f>
        <v>0.01</v>
      </c>
      <c r="C99">
        <v>0.7</v>
      </c>
      <c r="D99">
        <v>0</v>
      </c>
      <c r="E99" s="5">
        <v>60</v>
      </c>
      <c r="F99" cm="1">
        <f t="array" ref="F99">theta_call(E99,A99,0.1,B99,D99,C99)</f>
        <v>-2.4029342464695786</v>
      </c>
      <c r="G99" cm="1">
        <f t="array" ref="G99">theta_call(E99,A99,0.2,B99,D99,C99)</f>
        <v>-6.4070103870073716</v>
      </c>
      <c r="H99" cm="1">
        <f t="array" ref="H99">theta_call(E99,A99,0.3,B99,D99,C99)</f>
        <v>-8.1170993472427497</v>
      </c>
      <c r="I99" cm="1">
        <f t="array" ref="I99">theta_call(E99,A99,0.4,B99,D99,C99)</f>
        <v>-8.7345284913012353</v>
      </c>
      <c r="J99" cm="1">
        <f t="array" ref="J99">theta_call(E99,A99,0.5,B99,D99,C99)</f>
        <v>-8.8809610322535306</v>
      </c>
      <c r="K99" cm="1">
        <f t="array" ref="K99">theta_call(E99,A99,0.6,B99,D99,C99)</f>
        <v>-8.8146471028406399</v>
      </c>
      <c r="L99" cm="1">
        <f t="array" ref="L99">theta_call(E99,A99,0.7,B99,D99,C99)</f>
        <v>-8.6496837786540723</v>
      </c>
      <c r="M99" cm="1">
        <f t="array" ref="M99">theta_call(E99,A99,0.8,B99,D99,C99)</f>
        <v>-8.4400570334350462</v>
      </c>
      <c r="N99" cm="1">
        <f t="array" ref="N99">theta_call(E99,A99,0.9,B99,D99,C99)</f>
        <v>-8.2126642224274313</v>
      </c>
      <c r="O99" cm="1">
        <f t="array" ref="O99">theta_call(E99,A99,1,B99,D99,C99)</f>
        <v>-7.9813453573964006</v>
      </c>
      <c r="P99" cm="1">
        <f t="array" ref="P99">theta_call(E99,A99,2,B99,D99,C99)</f>
        <v>-6.0881345288334732</v>
      </c>
      <c r="Q99" cm="1">
        <f t="array" ref="Q99">theta_call(E99,A99,3,B99,D99,C99)</f>
        <v>-4.8945800492078879</v>
      </c>
      <c r="R99" cm="1">
        <f t="array" ref="R99">theta_call(E99,A99,4,B99,D99,C99)</f>
        <v>-4.0769672277490443</v>
      </c>
      <c r="S99" cm="1">
        <f t="array" ref="S99">theta_call(E99,A99,5,B99,D99,C99)</f>
        <v>-3.4736770503575114</v>
      </c>
    </row>
    <row r="100" spans="1:19" x14ac:dyDescent="0.3">
      <c r="A100">
        <v>100</v>
      </c>
      <c r="B100">
        <f t="shared" ref="B100:B115" si="5">1/100</f>
        <v>0.01</v>
      </c>
      <c r="C100">
        <v>0.7</v>
      </c>
      <c r="D100">
        <v>0</v>
      </c>
      <c r="E100" s="5">
        <v>65</v>
      </c>
      <c r="F100" cm="1">
        <f t="array" ref="F100">theta_call(E100,A100,0.1,B100,D100,C100)</f>
        <v>-5.3902411804829402</v>
      </c>
      <c r="G100" cm="1">
        <f t="array" ref="G100">theta_call(E100,A100,0.2,B100,D100,C100)</f>
        <v>-9.7861977779238849</v>
      </c>
      <c r="H100" cm="1">
        <f t="array" ref="H100">theta_call(E100,A100,0.3,B100,D100,C100)</f>
        <v>-10.908140785736993</v>
      </c>
      <c r="I100" cm="1">
        <f t="array" ref="I100">theta_call(E100,A100,0.4,B100,D100,C100)</f>
        <v>-11.010220801278106</v>
      </c>
      <c r="J100" cm="1">
        <f t="array" ref="J100">theta_call(E100,A100,0.5,B100,D100,C100)</f>
        <v>-10.773224479608819</v>
      </c>
      <c r="K100" cm="1">
        <f t="array" ref="K100">theta_call(E100,A100,0.6,B100,D100,C100)</f>
        <v>-10.422679612150905</v>
      </c>
      <c r="L100" cm="1">
        <f t="array" ref="L100">theta_call(E100,A100,0.7,B100,D100,C100)</f>
        <v>-10.042443020688383</v>
      </c>
      <c r="M100" cm="1">
        <f t="array" ref="M100">theta_call(E100,A100,0.8,B100,D100,C100)</f>
        <v>-9.6657083763254548</v>
      </c>
      <c r="N100" cm="1">
        <f t="array" ref="N100">theta_call(E100,A100,0.9,B100,D100,C100)</f>
        <v>-9.3055963501828209</v>
      </c>
      <c r="O100" cm="1">
        <f t="array" ref="O100">theta_call(E100,A100,1,B100,D100,C100)</f>
        <v>-8.9667232429016845</v>
      </c>
      <c r="P100" cm="1">
        <f t="array" ref="P100">theta_call(E100,A100,2,B100,D100,C100)</f>
        <v>-6.5822372467036949</v>
      </c>
      <c r="Q100" cm="1">
        <f t="array" ref="Q100">theta_call(E100,A100,3,B100,D100,C100)</f>
        <v>-5.2243918829645821</v>
      </c>
      <c r="R100" cm="1">
        <f t="array" ref="R100">theta_call(E100,A100,4,B100,D100,C100)</f>
        <v>-4.3237853560461614</v>
      </c>
      <c r="S100" cm="1">
        <f t="array" ref="S100">theta_call(E100,A100,5,B100,D100,C100)</f>
        <v>-3.6697332841864609</v>
      </c>
    </row>
    <row r="101" spans="1:19" x14ac:dyDescent="0.3">
      <c r="A101">
        <v>100</v>
      </c>
      <c r="B101">
        <f t="shared" si="5"/>
        <v>0.01</v>
      </c>
      <c r="C101">
        <v>0.7</v>
      </c>
      <c r="D101">
        <v>0</v>
      </c>
      <c r="E101" s="5">
        <v>70</v>
      </c>
      <c r="F101" cm="1">
        <f t="array" ref="F101">theta_call(E101,A101,0.1,B101,D101,C101)</f>
        <v>-10.136329623903283</v>
      </c>
      <c r="G101" cm="1">
        <f t="array" ref="G101">theta_call(E101,A101,0.2,B101,D101,C101)</f>
        <v>-13.667071420271276</v>
      </c>
      <c r="H101" cm="1">
        <f t="array" ref="H101">theta_call(E101,A101,0.3,B101,D101,C101)</f>
        <v>-13.796407551182995</v>
      </c>
      <c r="I101" cm="1">
        <f t="array" ref="I101">theta_call(E101,A101,0.4,B101,D101,C101)</f>
        <v>-13.252479055597396</v>
      </c>
      <c r="J101" cm="1">
        <f t="array" ref="J101">theta_call(E101,A101,0.5,B101,D101,C101)</f>
        <v>-12.587575148908652</v>
      </c>
      <c r="K101" cm="1">
        <f t="array" ref="K101">theta_call(E101,A101,0.6,B101,D101,C101)</f>
        <v>-11.939173233031294</v>
      </c>
      <c r="L101" cm="1">
        <f t="array" ref="L101">theta_call(E101,A101,0.7,B101,D101,C101)</f>
        <v>-11.342034810025444</v>
      </c>
      <c r="M101" cm="1">
        <f t="array" ref="M101">theta_call(E101,A101,0.8,B101,D101,C101)</f>
        <v>-10.801349232591928</v>
      </c>
      <c r="N101" cm="1">
        <f t="array" ref="N101">theta_call(E101,A101,0.9,B101,D101,C101)</f>
        <v>-10.313474663496176</v>
      </c>
      <c r="O101" cm="1">
        <f t="array" ref="O101">theta_call(E101,A101,1,B101,D101,C101)</f>
        <v>-9.8725086928699692</v>
      </c>
      <c r="P101" cm="1">
        <f t="array" ref="P101">theta_call(E101,A101,2,B101,D101,C101)</f>
        <v>-7.0348391761971785</v>
      </c>
      <c r="Q101" cm="1">
        <f t="array" ref="Q101">theta_call(E101,A101,3,B101,D101,C101)</f>
        <v>-5.5283677905929443</v>
      </c>
      <c r="R101" cm="1">
        <f t="array" ref="R101">theta_call(E101,A101,4,B101,D101,C101)</f>
        <v>-4.5525651316665785</v>
      </c>
      <c r="S101" cm="1">
        <f t="array" ref="S101">theta_call(E101,A101,5,B101,D101,C101)</f>
        <v>-3.8522916326721619</v>
      </c>
    </row>
    <row r="102" spans="1:19" x14ac:dyDescent="0.3">
      <c r="A102">
        <v>100</v>
      </c>
      <c r="B102">
        <f t="shared" si="5"/>
        <v>0.01</v>
      </c>
      <c r="C102">
        <v>0.7</v>
      </c>
      <c r="D102">
        <v>0</v>
      </c>
      <c r="E102" s="5">
        <v>75</v>
      </c>
      <c r="F102" cm="1">
        <f t="array" ref="F102">theta_call(E102,A102,0.1,B102,D102,C102)</f>
        <v>-16.501568707670902</v>
      </c>
      <c r="G102" cm="1">
        <f t="array" ref="G102">theta_call(E102,A102,0.2,B102,D102,C102)</f>
        <v>-17.738209807730428</v>
      </c>
      <c r="H102" cm="1">
        <f t="array" ref="H102">theta_call(E102,A102,0.3,B102,D102,C102)</f>
        <v>-16.604169482428038</v>
      </c>
      <c r="I102" cm="1">
        <f t="array" ref="I102">theta_call(E102,A102,0.4,B102,D102,C102)</f>
        <v>-15.359009989881883</v>
      </c>
      <c r="J102" cm="1">
        <f t="array" ref="J102">theta_call(E102,A102,0.5,B102,D102,C102)</f>
        <v>-14.261968280231528</v>
      </c>
      <c r="K102" cm="1">
        <f t="array" ref="K102">theta_call(E102,A102,0.6,B102,D102,C102)</f>
        <v>-13.32477486342518</v>
      </c>
      <c r="L102" cm="1">
        <f t="array" ref="L102">theta_call(E102,A102,0.7,B102,D102,C102)</f>
        <v>-12.522665840112547</v>
      </c>
      <c r="M102" cm="1">
        <f t="array" ref="M102">theta_call(E102,A102,0.8,B102,D102,C102)</f>
        <v>-11.829698697325005</v>
      </c>
      <c r="N102" cm="1">
        <f t="array" ref="N102">theta_call(E102,A102,0.9,B102,D102,C102)</f>
        <v>-11.22458149181622</v>
      </c>
      <c r="O102" cm="1">
        <f t="array" ref="O102">theta_call(E102,A102,1,B102,D102,C102)</f>
        <v>-10.690740650689857</v>
      </c>
      <c r="P102" cm="1">
        <f t="array" ref="P102">theta_call(E102,A102,2,B102,D102,C102)</f>
        <v>-7.4471011338812447</v>
      </c>
      <c r="Q102" cm="1">
        <f t="array" ref="Q102">theta_call(E102,A102,3,B102,D102,C102)</f>
        <v>-5.8080540879061324</v>
      </c>
      <c r="R102" cm="1">
        <f t="array" ref="R102">theta_call(E102,A102,4,B102,D102,C102)</f>
        <v>-4.7646437647187776</v>
      </c>
      <c r="S102" cm="1">
        <f t="array" ref="S102">theta_call(E102,A102,5,B102,D102,C102)</f>
        <v>-4.0224606336166842</v>
      </c>
    </row>
    <row r="103" spans="1:19" x14ac:dyDescent="0.3">
      <c r="A103">
        <v>100</v>
      </c>
      <c r="B103">
        <f t="shared" si="5"/>
        <v>0.01</v>
      </c>
      <c r="C103">
        <v>0.7</v>
      </c>
      <c r="D103">
        <v>0</v>
      </c>
      <c r="E103" s="5">
        <v>80</v>
      </c>
      <c r="F103" cm="1">
        <f t="array" ref="F103">theta_call(E103,A103,0.1,B103,D103,C103)</f>
        <v>-23.844143827085531</v>
      </c>
      <c r="G103" cm="1">
        <f t="array" ref="G103">theta_call(E103,A103,0.2,B103,D103,C103)</f>
        <v>-21.667425445328345</v>
      </c>
      <c r="H103" cm="1">
        <f t="array" ref="H103">theta_call(E103,A103,0.3,B103,D103,C103)</f>
        <v>-19.178310384187888</v>
      </c>
      <c r="I103" cm="1">
        <f t="array" ref="I103">theta_call(E103,A103,0.4,B103,D103,C103)</f>
        <v>-17.250757870001099</v>
      </c>
      <c r="J103" cm="1">
        <f t="array" ref="J103">theta_call(E103,A103,0.5,B103,D103,C103)</f>
        <v>-15.75202168106526</v>
      </c>
      <c r="K103" cm="1">
        <f t="array" ref="K103">theta_call(E103,A103,0.6,B103,D103,C103)</f>
        <v>-14.553174430711916</v>
      </c>
      <c r="L103" cm="1">
        <f t="array" ref="L103">theta_call(E103,A103,0.7,B103,D103,C103)</f>
        <v>-13.568234705817328</v>
      </c>
      <c r="M103" cm="1">
        <f t="array" ref="M103">theta_call(E103,A103,0.8,B103,D103,C103)</f>
        <v>-12.740781075545607</v>
      </c>
      <c r="N103" cm="1">
        <f t="array" ref="N103">theta_call(E103,A103,0.9,B103,D103,C103)</f>
        <v>-12.032789782288621</v>
      </c>
      <c r="O103" cm="1">
        <f t="array" ref="O103">theta_call(E103,A103,1,B103,D103,C103)</f>
        <v>-11.417797083424963</v>
      </c>
      <c r="P103" cm="1">
        <f t="array" ref="P103">theta_call(E103,A103,2,B103,D103,C103)</f>
        <v>-7.8207038440973182</v>
      </c>
      <c r="Q103" cm="1">
        <f t="array" ref="Q103">theta_call(E103,A103,3,B103,D103,C103)</f>
        <v>-6.0650179459883189</v>
      </c>
      <c r="R103" cm="1">
        <f t="array" ref="R103">theta_call(E103,A103,4,B103,D103,C103)</f>
        <v>-4.9612745291722709</v>
      </c>
      <c r="S103" cm="1">
        <f t="array" ref="S103">theta_call(E103,A103,5,B103,D103,C103)</f>
        <v>-4.1812439024335895</v>
      </c>
    </row>
    <row r="104" spans="1:19" x14ac:dyDescent="0.3">
      <c r="A104">
        <v>100</v>
      </c>
      <c r="B104">
        <f t="shared" si="5"/>
        <v>0.01</v>
      </c>
      <c r="C104">
        <v>0.7</v>
      </c>
      <c r="D104">
        <v>0</v>
      </c>
      <c r="E104" s="5">
        <v>85</v>
      </c>
      <c r="F104" cm="1">
        <f t="array" ref="F104">theta_call(E104,A104,0.1,B104,D104,C104)</f>
        <v>-31.188860063224961</v>
      </c>
      <c r="G104" cm="1">
        <f t="array" ref="G104">theta_call(E104,A104,0.2,B104,D104,C104)</f>
        <v>-25.15939224314112</v>
      </c>
      <c r="H104" cm="1">
        <f t="array" ref="H104">theta_call(E104,A104,0.3,B104,D104,C104)</f>
        <v>-21.402819666562063</v>
      </c>
      <c r="I104" cm="1">
        <f t="array" ref="I104">theta_call(E104,A104,0.4,B104,D104,C104)</f>
        <v>-18.873562479536776</v>
      </c>
      <c r="J104" cm="1">
        <f t="array" ref="J104">theta_call(E104,A104,0.5,B104,D104,C104)</f>
        <v>-17.029908984482589</v>
      </c>
      <c r="K104" cm="1">
        <f t="array" ref="K104">theta_call(E104,A104,0.6,B104,D104,C104)</f>
        <v>-15.609398223356306</v>
      </c>
      <c r="L104" cm="1">
        <f t="array" ref="L104">theta_call(E104,A104,0.7,B104,D104,C104)</f>
        <v>-14.470649117677199</v>
      </c>
      <c r="M104" cm="1">
        <f t="array" ref="M104">theta_call(E104,A104,0.8,B104,D104,C104)</f>
        <v>-13.530435938492708</v>
      </c>
      <c r="N104" cm="1">
        <f t="array" ref="N104">theta_call(E104,A104,0.9,B104,D104,C104)</f>
        <v>-12.736292075230221</v>
      </c>
      <c r="O104" cm="1">
        <f t="array" ref="O104">theta_call(E104,A104,1,B104,D104,C104)</f>
        <v>-12.053325012608354</v>
      </c>
      <c r="P104" cm="1">
        <f t="array" ref="P104">theta_call(E104,A104,2,B104,D104,C104)</f>
        <v>-8.1576372264876493</v>
      </c>
      <c r="Q104" cm="1">
        <f t="array" ref="Q104">theta_call(E104,A104,3,B104,D104,C104)</f>
        <v>-6.3007978791207835</v>
      </c>
      <c r="R104" cm="1">
        <f t="array" ref="R104">theta_call(E104,A104,4,B104,D104,C104)</f>
        <v>-5.1436210615208502</v>
      </c>
      <c r="S104" cm="1">
        <f t="array" ref="S104">theta_call(E104,A104,5,B104,D104,C104)</f>
        <v>-4.3295487077517825</v>
      </c>
    </row>
    <row r="105" spans="1:19" x14ac:dyDescent="0.3">
      <c r="A105">
        <v>100</v>
      </c>
      <c r="B105">
        <f t="shared" si="5"/>
        <v>0.01</v>
      </c>
      <c r="C105">
        <v>0.7</v>
      </c>
      <c r="D105">
        <v>0</v>
      </c>
      <c r="E105" s="5">
        <v>90</v>
      </c>
      <c r="F105" cm="1">
        <f t="array" ref="F105">theta_call(E105,A105,0.1,B105,D105,C105)</f>
        <v>-37.516032525368431</v>
      </c>
      <c r="G105" cm="1">
        <f t="array" ref="G105">theta_call(E105,A105,0.2,B105,D105,C105)</f>
        <v>-27.993336669486357</v>
      </c>
      <c r="H105" cm="1">
        <f t="array" ref="H105">theta_call(E105,A105,0.3,B105,D105,C105)</f>
        <v>-23.202811103575915</v>
      </c>
      <c r="I105" cm="1">
        <f t="array" ref="I105">theta_call(E105,A105,0.4,B105,D105,C105)</f>
        <v>-20.196647428728479</v>
      </c>
      <c r="J105" cm="1">
        <f t="array" ref="J105">theta_call(E105,A105,0.5,B105,D105,C105)</f>
        <v>-18.082104981372915</v>
      </c>
      <c r="K105" cm="1">
        <f t="array" ref="K105">theta_call(E105,A105,0.6,B105,D105,C105)</f>
        <v>-16.487759242585931</v>
      </c>
      <c r="L105" cm="1">
        <f t="array" ref="L105">theta_call(E105,A105,0.7,B105,D105,C105)</f>
        <v>-15.22813168894513</v>
      </c>
      <c r="M105" cm="1">
        <f t="array" ref="M105">theta_call(E105,A105,0.8,B105,D105,C105)</f>
        <v>-14.198951630316698</v>
      </c>
      <c r="N105" cm="1">
        <f t="array" ref="N105">theta_call(E105,A105,0.9,B105,D105,C105)</f>
        <v>-13.336502027596492</v>
      </c>
      <c r="O105" cm="1">
        <f t="array" ref="O105">theta_call(E105,A105,1,B105,D105,C105)</f>
        <v>-12.599353866485927</v>
      </c>
      <c r="P105" cm="1">
        <f t="array" ref="P105">theta_call(E105,A105,2,B105,D105,C105)</f>
        <v>-8.4600540834121229</v>
      </c>
      <c r="Q105" cm="1">
        <f t="array" ref="Q105">theta_call(E105,A105,3,B105,D105,C105)</f>
        <v>-6.5168743081416061</v>
      </c>
      <c r="R105" cm="1">
        <f t="array" ref="R105">theta_call(E105,A105,4,B105,D105,C105)</f>
        <v>-5.3127575030209302</v>
      </c>
      <c r="S105" cm="1">
        <f t="array" ref="S105">theta_call(E105,A105,5,B105,D105,C105)</f>
        <v>-4.4681950580690932</v>
      </c>
    </row>
    <row r="106" spans="1:19" x14ac:dyDescent="0.3">
      <c r="A106">
        <v>100</v>
      </c>
      <c r="B106">
        <f t="shared" si="5"/>
        <v>0.01</v>
      </c>
      <c r="C106">
        <v>0.7</v>
      </c>
      <c r="D106">
        <v>0</v>
      </c>
      <c r="E106" s="5">
        <v>95</v>
      </c>
      <c r="F106" cm="1">
        <f t="array" ref="F106">theta_call(E106,A106,0.1,B106,D106,C106)</f>
        <v>-42.031369944495701</v>
      </c>
      <c r="G106" cm="1">
        <f t="array" ref="G106">theta_call(E106,A106,0.2,B106,D106,C106)</f>
        <v>-30.038570378311196</v>
      </c>
      <c r="H106" cm="1">
        <f t="array" ref="H106">theta_call(E106,A106,0.3,B106,D106,C106)</f>
        <v>-24.542372958377744</v>
      </c>
      <c r="I106" cm="1">
        <f t="array" ref="I106">theta_call(E106,A106,0.4,B106,D106,C106)</f>
        <v>-21.20929633016593</v>
      </c>
      <c r="J106" cm="1">
        <f t="array" ref="J106">theta_call(E106,A106,0.5,B106,D106,C106)</f>
        <v>-18.906665298280604</v>
      </c>
      <c r="K106" cm="1">
        <f t="array" ref="K106">theta_call(E106,A106,0.6,B106,D106,C106)</f>
        <v>-17.189796862950132</v>
      </c>
      <c r="L106" cm="1">
        <f t="array" ref="L106">theta_call(E106,A106,0.7,B106,D106,C106)</f>
        <v>-15.84366897441036</v>
      </c>
      <c r="M106" cm="1">
        <f t="array" ref="M106">theta_call(E106,A106,0.8,B106,D106,C106)</f>
        <v>-14.749885452845465</v>
      </c>
      <c r="N106" cm="1">
        <f t="array" ref="N106">theta_call(E106,A106,0.9,B106,D106,C106)</f>
        <v>-13.837144067796215</v>
      </c>
      <c r="O106" cm="1">
        <f t="array" ref="O106">theta_call(E106,A106,1,B106,D106,C106)</f>
        <v>-13.059583009959164</v>
      </c>
      <c r="P106" cm="1">
        <f t="array" ref="P106">theta_call(E106,A106,2,B106,D106,C106)</f>
        <v>-8.7301693329954837</v>
      </c>
      <c r="Q106" cm="1">
        <f t="array" ref="Q106">theta_call(E106,A106,3,B106,D106,C106)</f>
        <v>-6.7146530510689377</v>
      </c>
      <c r="R106" cm="1">
        <f t="array" ref="R106">theta_call(E106,A106,4,B106,D106,C106)</f>
        <v>-5.4696718604653611</v>
      </c>
      <c r="S106" cm="1">
        <f t="array" ref="S106">theta_call(E106,A106,5,B106,D106,C106)</f>
        <v>-4.5979245453511099</v>
      </c>
    </row>
    <row r="107" spans="1:19" x14ac:dyDescent="0.3">
      <c r="A107">
        <v>100</v>
      </c>
      <c r="B107">
        <f t="shared" si="5"/>
        <v>0.01</v>
      </c>
      <c r="C107">
        <v>0.7</v>
      </c>
      <c r="D107">
        <v>0</v>
      </c>
      <c r="E107" s="5">
        <v>100</v>
      </c>
      <c r="F107" cm="1">
        <f t="array" ref="F107">theta_call(E107,A107,0.1,B107,D107,C107)</f>
        <v>-44.320997526557385</v>
      </c>
      <c r="G107" cm="1">
        <f t="array" ref="G107">theta_call(E107,A107,0.2,B107,D107,C107)</f>
        <v>-31.25178831635013</v>
      </c>
      <c r="H107" cm="1">
        <f t="array" ref="H107">theta_call(E107,A107,0.3,B107,D107,C107)</f>
        <v>-25.418701747243073</v>
      </c>
      <c r="I107" cm="1">
        <f t="array" ref="I107">theta_call(E107,A107,0.4,B107,D107,C107)</f>
        <v>-21.916758622614626</v>
      </c>
      <c r="J107" cm="1">
        <f t="array" ref="J107">theta_call(E107,A107,0.5,B107,D107,C107)</f>
        <v>-19.510483223209096</v>
      </c>
      <c r="K107" cm="1">
        <f t="array" ref="K107">theta_call(E107,A107,0.6,B107,D107,C107)</f>
        <v>-17.722391451198114</v>
      </c>
      <c r="L107" cm="1">
        <f t="array" ref="L107">theta_call(E107,A107,0.7,B107,D107,C107)</f>
        <v>-16.323673571742134</v>
      </c>
      <c r="M107" cm="1">
        <f t="array" ref="M107">theta_call(E107,A107,0.8,B107,D107,C107)</f>
        <v>-15.189086394231518</v>
      </c>
      <c r="N107" cm="1">
        <f t="array" ref="N107">theta_call(E107,A107,0.9,B107,D107,C107)</f>
        <v>-14.243521783288649</v>
      </c>
      <c r="O107" cm="1">
        <f t="array" ref="O107">theta_call(E107,A107,1,B107,D107,C107)</f>
        <v>-13.43882267009241</v>
      </c>
      <c r="P107" cm="1">
        <f t="array" ref="P107">theta_call(E107,A107,2,B107,D107,C107)</f>
        <v>-8.9701914937159124</v>
      </c>
      <c r="Q107" cm="1">
        <f t="array" ref="Q107">theta_call(E107,A107,3,B107,D107,C107)</f>
        <v>-6.8954571405060792</v>
      </c>
      <c r="R107" cm="1">
        <f t="array" ref="R107">theta_call(E107,A107,4,B107,D107,C107)</f>
        <v>-5.6152710301767934</v>
      </c>
      <c r="S107" cm="1">
        <f t="array" ref="S107">theta_call(E107,A107,5,B107,D107,C107)</f>
        <v>-4.7194085912879089</v>
      </c>
    </row>
    <row r="108" spans="1:19" x14ac:dyDescent="0.3">
      <c r="A108">
        <v>100</v>
      </c>
      <c r="B108">
        <f t="shared" si="5"/>
        <v>0.01</v>
      </c>
      <c r="C108">
        <v>0.7</v>
      </c>
      <c r="D108">
        <v>0</v>
      </c>
      <c r="E108" s="5">
        <v>105</v>
      </c>
      <c r="F108" cm="1">
        <f t="array" ref="F108">theta_call(E108,A108,0.1,B108,D108,C108)</f>
        <v>-44.369763131386868</v>
      </c>
      <c r="G108" cm="1">
        <f t="array" ref="G108">theta_call(E108,A108,0.2,B108,D108,C108)</f>
        <v>-31.662567513775773</v>
      </c>
      <c r="H108" cm="1">
        <f t="array" ref="H108">theta_call(E108,A108,0.3,B108,D108,C108)</f>
        <v>-25.854576918727428</v>
      </c>
      <c r="I108" cm="1">
        <f t="array" ref="I108">theta_call(E108,A108,0.4,B108,D108,C108)</f>
        <v>-22.336092573141475</v>
      </c>
      <c r="J108" cm="1">
        <f t="array" ref="J108">theta_call(E108,A108,0.5,B108,D108,C108)</f>
        <v>-19.906779940004146</v>
      </c>
      <c r="K108" cm="1">
        <f t="array" ref="K108">theta_call(E108,A108,0.6,B108,D108,C108)</f>
        <v>-18.096140917738325</v>
      </c>
      <c r="L108" cm="1">
        <f t="array" ref="L108">theta_call(E108,A108,0.7,B108,D108,C108)</f>
        <v>-16.676877970498879</v>
      </c>
      <c r="M108" cm="1">
        <f t="array" ref="M108">theta_call(E108,A108,0.8,B108,D108,C108)</f>
        <v>-15.523910870512555</v>
      </c>
      <c r="N108" cm="1">
        <f t="array" ref="N108">theta_call(E108,A108,0.9,B108,D108,C108)</f>
        <v>-14.5619443625418</v>
      </c>
      <c r="O108" cm="1">
        <f t="array" ref="O108">theta_call(E108,A108,1,B108,D108,C108)</f>
        <v>-13.742564017065021</v>
      </c>
      <c r="P108" cm="1">
        <f t="array" ref="P108">theta_call(E108,A108,2,B108,D108,C108)</f>
        <v>-9.1822770199070884</v>
      </c>
      <c r="Q108" cm="1">
        <f t="array" ref="Q108">theta_call(E108,A108,3,B108,D108,C108)</f>
        <v>-7.0605239757499616</v>
      </c>
      <c r="R108" cm="1">
        <f t="array" ref="R108">theta_call(E108,A108,4,B108,D108,C108)</f>
        <v>-5.7503865630725697</v>
      </c>
      <c r="S108" cm="1">
        <f t="array" ref="S108">theta_call(E108,A108,5,B108,D108,C108)</f>
        <v>-4.8332559552729668</v>
      </c>
    </row>
    <row r="109" spans="1:19" x14ac:dyDescent="0.3">
      <c r="A109">
        <v>100</v>
      </c>
      <c r="B109">
        <f t="shared" si="5"/>
        <v>0.01</v>
      </c>
      <c r="C109">
        <v>0.7</v>
      </c>
      <c r="D109">
        <v>0</v>
      </c>
      <c r="E109" s="5">
        <v>110</v>
      </c>
      <c r="F109" cm="1">
        <f t="array" ref="F109">theta_call(E109,A109,0.1,B109,D109,C109)</f>
        <v>-42.477429834270325</v>
      </c>
      <c r="G109" cm="1">
        <f t="array" ref="G109">theta_call(E109,A109,0.2,B109,D109,C109)</f>
        <v>-31.353400183193497</v>
      </c>
      <c r="H109" cm="1">
        <f t="array" ref="H109">theta_call(E109,A109,0.3,B109,D109,C109)</f>
        <v>-25.890651750816875</v>
      </c>
      <c r="I109" cm="1">
        <f t="array" ref="I109">theta_call(E109,A109,0.4,B109,D109,C109)</f>
        <v>-22.492369385594337</v>
      </c>
      <c r="J109" cm="1">
        <f t="array" ref="J109">theta_call(E109,A109,0.5,B109,D109,C109)</f>
        <v>-20.112952644837879</v>
      </c>
      <c r="K109" cm="1">
        <f t="array" ref="K109">theta_call(E109,A109,0.6,B109,D109,C109)</f>
        <v>-18.324024377991741</v>
      </c>
      <c r="L109" cm="1">
        <f t="array" ref="L109">theta_call(E109,A109,0.7,B109,D109,C109)</f>
        <v>-16.913450353610667</v>
      </c>
      <c r="M109" cm="1">
        <f t="array" ref="M109">theta_call(E109,A109,0.8,B109,D109,C109)</f>
        <v>-15.762609951334893</v>
      </c>
      <c r="N109" cm="1">
        <f t="array" ref="N109">theta_call(E109,A109,0.9,B109,D109,C109)</f>
        <v>-14.799286784558813</v>
      </c>
      <c r="O109" cm="1">
        <f t="array" ref="O109">theta_call(E109,A109,1,B109,D109,C109)</f>
        <v>-13.976654811402581</v>
      </c>
      <c r="P109" cm="1">
        <f t="array" ref="P109">theta_call(E109,A109,2,B109,D109,C109)</f>
        <v>-9.3685008180508031</v>
      </c>
      <c r="Q109" cm="1">
        <f t="array" ref="Q109">theta_call(E109,A109,3,B109,D109,C109)</f>
        <v>-7.2110058480947732</v>
      </c>
      <c r="R109" cm="1">
        <f t="array" ref="R109">theta_call(E109,A109,4,B109,D109,C109)</f>
        <v>-5.8757806285877319</v>
      </c>
      <c r="S109" cm="1">
        <f t="array" ref="S109">theta_call(E109,A109,5,B109,D109,C109)</f>
        <v>-4.940019475568004</v>
      </c>
    </row>
    <row r="110" spans="1:19" x14ac:dyDescent="0.3">
      <c r="A110">
        <v>100</v>
      </c>
      <c r="B110">
        <f t="shared" si="5"/>
        <v>0.01</v>
      </c>
      <c r="C110">
        <v>0.7</v>
      </c>
      <c r="D110">
        <v>0</v>
      </c>
      <c r="E110" s="5">
        <v>115</v>
      </c>
      <c r="F110" cm="1">
        <f t="array" ref="F110">theta_call(E110,A110,0.1,B110,D110,C110)</f>
        <v>-39.128553741360413</v>
      </c>
      <c r="G110" cm="1">
        <f t="array" ref="G110">theta_call(E110,A110,0.2,B110,D110,C110)</f>
        <v>-30.439149236919352</v>
      </c>
      <c r="H110" cm="1">
        <f t="array" ref="H110">theta_call(E110,A110,0.3,B110,D110,C110)</f>
        <v>-25.578472704043669</v>
      </c>
      <c r="I110" cm="1">
        <f t="array" ref="I110">theta_call(E110,A110,0.4,B110,D110,C110)</f>
        <v>-22.415450316267261</v>
      </c>
      <c r="J110" cm="1">
        <f t="array" ref="J110">theta_call(E110,A110,0.5,B110,D110,C110)</f>
        <v>-20.148819169561268</v>
      </c>
      <c r="K110" cm="1">
        <f t="array" ref="K110">theta_call(E110,A110,0.6,B110,D110,C110)</f>
        <v>-18.420342387703375</v>
      </c>
      <c r="L110" cm="1">
        <f t="array" ref="L110">theta_call(E110,A110,0.7,B110,D110,C110)</f>
        <v>-17.044308490994553</v>
      </c>
      <c r="M110" cm="1">
        <f t="array" ref="M110">theta_call(E110,A110,0.8,B110,D110,C110)</f>
        <v>-15.913862337176317</v>
      </c>
      <c r="N110" cm="1">
        <f t="array" ref="N110">theta_call(E110,A110,0.9,B110,D110,C110)</f>
        <v>-14.962659838475064</v>
      </c>
      <c r="O110" cm="1">
        <f t="array" ref="O110">theta_call(E110,A110,1,B110,D110,C110)</f>
        <v>-14.14705952001917</v>
      </c>
      <c r="P110" cm="1">
        <f t="array" ref="P110">theta_call(E110,A110,2,B110,D110,C110)</f>
        <v>-9.5308381950274299</v>
      </c>
      <c r="Q110" cm="1">
        <f t="array" ref="Q110">theta_call(E110,A110,3,B110,D110,C110)</f>
        <v>-7.3479725466712269</v>
      </c>
      <c r="R110" cm="1">
        <f t="array" ref="R110">theta_call(E110,A110,4,B110,D110,C110)</f>
        <v>-5.9921518654128825</v>
      </c>
      <c r="S110" cm="1">
        <f t="array" ref="S110">theta_call(E110,A110,5,B110,D110,C110)</f>
        <v>-5.0402020722655339</v>
      </c>
    </row>
    <row r="111" spans="1:19" x14ac:dyDescent="0.3">
      <c r="A111">
        <v>100</v>
      </c>
      <c r="B111">
        <f t="shared" si="5"/>
        <v>0.01</v>
      </c>
      <c r="C111">
        <v>0.7</v>
      </c>
      <c r="D111">
        <v>0</v>
      </c>
      <c r="E111" s="5">
        <v>120</v>
      </c>
      <c r="F111" cm="1">
        <f t="array" ref="F111">theta_call(E111,A111,0.1,B111,D111,C111)</f>
        <v>-34.864703347077864</v>
      </c>
      <c r="G111" cm="1">
        <f t="array" ref="G111">theta_call(E111,A111,0.2,B111,D111,C111)</f>
        <v>-29.049006375576191</v>
      </c>
      <c r="H111" cm="1">
        <f t="array" ref="H111">theta_call(E111,A111,0.3,B111,D111,C111)</f>
        <v>-24.97468737342896</v>
      </c>
      <c r="I111" cm="1">
        <f t="array" ref="I111">theta_call(E111,A111,0.4,B111,D111,C111)</f>
        <v>-22.13740491791836</v>
      </c>
      <c r="J111" cm="1">
        <f t="array" ref="J111">theta_call(E111,A111,0.5,B111,D111,C111)</f>
        <v>-20.035246406169591</v>
      </c>
      <c r="K111" cm="1">
        <f t="array" ref="K111">theta_call(E111,A111,0.6,B111,D111,C111)</f>
        <v>-18.399904849092898</v>
      </c>
      <c r="L111" cm="1">
        <f t="array" ref="L111">theta_call(E111,A111,0.7,B111,D111,C111)</f>
        <v>-17.080602524404526</v>
      </c>
      <c r="M111" cm="1">
        <f t="array" ref="M111">theta_call(E111,A111,0.8,B111,D111,C111)</f>
        <v>-15.986427422114611</v>
      </c>
      <c r="N111" cm="1">
        <f t="array" ref="N111">theta_call(E111,A111,0.9,B111,D111,C111)</f>
        <v>-15.059168348593239</v>
      </c>
      <c r="O111" cm="1">
        <f t="array" ref="O111">theta_call(E111,A111,1,B111,D111,C111)</f>
        <v>-14.259685917635554</v>
      </c>
      <c r="P111" cm="1">
        <f t="array" ref="P111">theta_call(E111,A111,2,B111,D111,C111)</f>
        <v>-9.6711548470700102</v>
      </c>
      <c r="Q111" cm="1">
        <f t="array" ref="Q111">theta_call(E111,A111,3,B111,D111,C111)</f>
        <v>-7.4724151910180305</v>
      </c>
      <c r="R111" cm="1">
        <f t="array" ref="R111">theta_call(E111,A111,4,B111,D111,C111)</f>
        <v>-6.1001409471579278</v>
      </c>
      <c r="S111" cm="1">
        <f t="array" ref="S111">theta_call(E111,A111,5,B111,D111,C111)</f>
        <v>-5.1342620674695869</v>
      </c>
    </row>
    <row r="112" spans="1:19" x14ac:dyDescent="0.3">
      <c r="A112">
        <v>100</v>
      </c>
      <c r="B112">
        <f t="shared" si="5"/>
        <v>0.01</v>
      </c>
      <c r="C112">
        <v>0.7</v>
      </c>
      <c r="D112">
        <v>0</v>
      </c>
      <c r="E112" s="5">
        <v>125</v>
      </c>
      <c r="F112" cm="1">
        <f t="array" ref="F112">theta_call(E112,A112,0.1,B112,D112,C112)</f>
        <v>-30.187809288296208</v>
      </c>
      <c r="G112" cm="1">
        <f t="array" ref="G112">theta_call(E112,A112,0.2,B112,D112,C112)</f>
        <v>-27.312431211167493</v>
      </c>
      <c r="H112" cm="1">
        <f t="array" ref="H112">theta_call(E112,A112,0.3,B112,D112,C112)</f>
        <v>-24.136582055648905</v>
      </c>
      <c r="I112" cm="1">
        <f t="array" ref="I112">theta_call(E112,A112,0.4,B112,D112,C112)</f>
        <v>-21.690550048247886</v>
      </c>
      <c r="J112" cm="1">
        <f t="array" ref="J112">theta_call(E112,A112,0.5,B112,D112,C112)</f>
        <v>-19.79312253704768</v>
      </c>
      <c r="K112" cm="1">
        <f t="array" ref="K112">theta_call(E112,A112,0.6,B112,D112,C112)</f>
        <v>-18.277430229601865</v>
      </c>
      <c r="L112" cm="1">
        <f t="array" ref="L112">theta_call(E112,A112,0.7,B112,D112,C112)</f>
        <v>-17.03333707827743</v>
      </c>
      <c r="M112" cm="1">
        <f t="array" ref="M112">theta_call(E112,A112,0.8,B112,D112,C112)</f>
        <v>-15.988894975171558</v>
      </c>
      <c r="N112" cm="1">
        <f t="array" ref="N112">theta_call(E112,A112,0.9,B112,D112,C112)</f>
        <v>-15.095738990469336</v>
      </c>
      <c r="O112" cm="1">
        <f t="array" ref="O112">theta_call(E112,A112,1,B112,D112,C112)</f>
        <v>-14.320263306514963</v>
      </c>
      <c r="P112" cm="1">
        <f t="array" ref="P112">theta_call(E112,A112,2,B112,D112,C112)</f>
        <v>-9.7912024617713236</v>
      </c>
      <c r="Q112" cm="1">
        <f t="array" ref="Q112">theta_call(E112,A112,3,B112,D112,C112)</f>
        <v>-7.585250727157046</v>
      </c>
      <c r="R112" cm="1">
        <f t="array" ref="R112">theta_call(E112,A112,4,B112,D112,C112)</f>
        <v>-6.2003357763864422</v>
      </c>
      <c r="S112" cm="1">
        <f t="array" ref="S112">theta_call(E112,A112,5,B112,D112,C112)</f>
        <v>-5.2226178883678802</v>
      </c>
    </row>
    <row r="113" spans="1:29" x14ac:dyDescent="0.3">
      <c r="A113">
        <v>100</v>
      </c>
      <c r="B113">
        <f t="shared" si="5"/>
        <v>0.01</v>
      </c>
      <c r="C113">
        <v>0.7</v>
      </c>
      <c r="D113">
        <v>0</v>
      </c>
      <c r="E113" s="5">
        <v>130</v>
      </c>
      <c r="F113" cm="1">
        <f t="array" ref="F113">theta_call(E113,A113,0.1,B113,D113,C113)</f>
        <v>-25.503675325785974</v>
      </c>
      <c r="G113" cm="1">
        <f t="array" ref="G113">theta_call(E113,A113,0.2,B113,D113,C113)</f>
        <v>-25.349383838624515</v>
      </c>
      <c r="H113" cm="1">
        <f t="array" ref="H113">theta_call(E113,A113,0.3,B113,D113,C113)</f>
        <v>-23.118890217162924</v>
      </c>
      <c r="I113" cm="1">
        <f t="array" ref="I113">theta_call(E113,A113,0.4,B113,D113,C113)</f>
        <v>-21.106041299318655</v>
      </c>
      <c r="J113" cm="1">
        <f t="array" ref="J113">theta_call(E113,A113,0.5,B113,D113,C113)</f>
        <v>-19.442621487153311</v>
      </c>
      <c r="K113" cm="1">
        <f t="array" ref="K113">theta_call(E113,A113,0.6,B113,D113,C113)</f>
        <v>-18.067118736895736</v>
      </c>
      <c r="L113" cm="1">
        <f t="array" ref="L113">theta_call(E113,A113,0.7,B113,D113,C113)</f>
        <v>-16.913105371030678</v>
      </c>
      <c r="M113" cm="1">
        <f t="array" ref="M113">theta_call(E113,A113,0.8,B113,D113,C113)</f>
        <v>-15.929511053893171</v>
      </c>
      <c r="N113" cm="1">
        <f t="array" ref="N113">theta_call(E113,A113,0.9,B113,D113,C113)</f>
        <v>-15.0790021780111</v>
      </c>
      <c r="O113" cm="1">
        <f t="array" ref="O113">theta_call(E113,A113,1,B113,D113,C113)</f>
        <v>-14.334260319499858</v>
      </c>
      <c r="P113" cm="1">
        <f t="array" ref="P113">theta_call(E113,A113,2,B113,D113,C113)</f>
        <v>-9.8926181925372187</v>
      </c>
      <c r="Q113" cm="1">
        <f t="array" ref="Q113">theta_call(E113,A113,3,B113,D113,C113)</f>
        <v>-7.6873267177342735</v>
      </c>
      <c r="R113" cm="1">
        <f t="array" ref="R113">theta_call(E113,A113,4,B113,D113,C113)</f>
        <v>-6.2932762720712327</v>
      </c>
      <c r="S113" cm="1">
        <f t="array" ref="S113">theta_call(E113,A113,5,B113,D113,C113)</f>
        <v>-5.3056522202704048</v>
      </c>
    </row>
    <row r="114" spans="1:29" x14ac:dyDescent="0.3">
      <c r="A114">
        <v>100</v>
      </c>
      <c r="B114">
        <f t="shared" si="5"/>
        <v>0.01</v>
      </c>
      <c r="C114">
        <v>0.7</v>
      </c>
      <c r="D114">
        <v>0</v>
      </c>
      <c r="E114" s="5">
        <v>135</v>
      </c>
      <c r="F114" cm="1">
        <f t="array" ref="F114">theta_call(E114,A114,0.1,B114,D114,C114)</f>
        <v>-21.101311719160869</v>
      </c>
      <c r="G114" cm="1">
        <f t="array" ref="G114">theta_call(E114,A114,0.2,B114,D114,C114)</f>
        <v>-23.264450037277367</v>
      </c>
      <c r="H114" cm="1">
        <f t="array" ref="H114">theta_call(E114,A114,0.3,B114,D114,C114)</f>
        <v>-21.971705878870747</v>
      </c>
      <c r="I114" cm="1">
        <f t="array" ref="I114">theta_call(E114,A114,0.4,B114,D114,C114)</f>
        <v>-20.412927929433298</v>
      </c>
      <c r="J114" cm="1">
        <f t="array" ref="J114">theta_call(E114,A114,0.5,B114,D114,C114)</f>
        <v>-19.002706019906419</v>
      </c>
      <c r="K114" cm="1">
        <f t="array" ref="K114">theta_call(E114,A114,0.6,B114,D114,C114)</f>
        <v>-17.782364611924347</v>
      </c>
      <c r="L114" cm="1">
        <f t="array" ref="L114">theta_call(E114,A114,0.7,B114,D114,C114)</f>
        <v>-16.729911401699653</v>
      </c>
      <c r="M114" cm="1">
        <f t="array" ref="M114">theta_call(E114,A114,0.8,B114,D114,C114)</f>
        <v>-15.816063028188246</v>
      </c>
      <c r="N114" cm="1">
        <f t="array" ref="N114">theta_call(E114,A114,0.9,B114,D114,C114)</f>
        <v>-15.015215368217149</v>
      </c>
      <c r="O114" cm="1">
        <f t="array" ref="O114">theta_call(E114,A114,1,B114,D114,C114)</f>
        <v>-14.306832712417764</v>
      </c>
      <c r="P114" cm="1">
        <f t="array" ref="P114">theta_call(E114,A114,2,B114,D114,C114)</f>
        <v>-9.9769267568238273</v>
      </c>
      <c r="Q114" cm="1">
        <f t="array" ref="Q114">theta_call(E114,A114,3,B114,D114,C114)</f>
        <v>-7.7794261867199817</v>
      </c>
      <c r="R114" cm="1">
        <f t="array" ref="R114">theta_call(E114,A114,4,B114,D114,C114)</f>
        <v>-6.3794587462287993</v>
      </c>
      <c r="S114" cm="1">
        <f t="array" ref="S114">theta_call(E114,A114,5,B114,D114,C114)</f>
        <v>-5.3837156735652814</v>
      </c>
    </row>
    <row r="115" spans="1:29" x14ac:dyDescent="0.3">
      <c r="A115">
        <v>100</v>
      </c>
      <c r="B115">
        <f t="shared" si="5"/>
        <v>0.01</v>
      </c>
      <c r="C115">
        <v>0.7</v>
      </c>
      <c r="D115">
        <v>0</v>
      </c>
      <c r="E115" s="5">
        <v>140</v>
      </c>
      <c r="F115" cm="1">
        <f t="array" ref="F115">theta_call(E115,A115,0.1,B115,D115,C115)</f>
        <v>-17.157648437431842</v>
      </c>
      <c r="G115" cm="1">
        <f t="array" ref="G115">theta_call(E115,A115,0.2,B115,D115,C115)</f>
        <v>-21.144113295447649</v>
      </c>
      <c r="H115" cm="1">
        <f t="array" ref="H115">theta_call(E115,A115,0.3,B115,D115,C115)</f>
        <v>-20.739293000454335</v>
      </c>
      <c r="I115" cm="1">
        <f t="array" ref="I115">theta_call(E115,A115,0.4,B115,D115,C115)</f>
        <v>-19.63757895955646</v>
      </c>
      <c r="J115" cm="1">
        <f t="array" ref="J115">theta_call(E115,A115,0.5,B115,D115,C115)</f>
        <v>-18.490819288487376</v>
      </c>
      <c r="K115" cm="1">
        <f t="array" ref="K115">theta_call(E115,A115,0.6,B115,D115,C115)</f>
        <v>-17.435576878481118</v>
      </c>
      <c r="L115" cm="1">
        <f t="array" ref="L115">theta_call(E115,A115,0.7,B115,D115,C115)</f>
        <v>-16.493060009435172</v>
      </c>
      <c r="M115" cm="1">
        <f t="array" ref="M115">theta_call(E115,A115,0.8,B115,D115,C115)</f>
        <v>-15.655809677597672</v>
      </c>
      <c r="N115" cm="1">
        <f t="array" ref="N115">theta_call(E115,A115,0.9,B115,D115,C115)</f>
        <v>-14.910217638914602</v>
      </c>
      <c r="O115" cm="1">
        <f t="array" ref="O115">theta_call(E115,A115,1,B115,D115,C115)</f>
        <v>-14.2427935882746</v>
      </c>
      <c r="P115" cm="1">
        <f t="array" ref="P115">theta_call(E115,A115,2,B115,D115,C115)</f>
        <v>-10.045544263100812</v>
      </c>
      <c r="Q115" cm="1">
        <f t="array" ref="Q115">theta_call(E115,A115,3,B115,D115,C115)</f>
        <v>-7.8622723665587122</v>
      </c>
      <c r="R115" cm="1">
        <f t="array" ref="R115">theta_call(E115,A115,4,B115,D115,C115)</f>
        <v>-6.4593398832000091</v>
      </c>
      <c r="S115" cm="1">
        <f t="array" ref="S115">theta_call(E115,A115,5,B115,D115,C115)</f>
        <v>-5.4571300233156403</v>
      </c>
    </row>
    <row r="117" spans="1:29" x14ac:dyDescent="0.3">
      <c r="A117" s="2" t="s">
        <v>29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3">
      <c r="A118" t="s">
        <v>13</v>
      </c>
      <c r="B118" t="s">
        <v>14</v>
      </c>
      <c r="C118" t="s">
        <v>15</v>
      </c>
      <c r="D118" t="s">
        <v>26</v>
      </c>
      <c r="F118" s="7">
        <v>0.1</v>
      </c>
      <c r="G118" s="7">
        <v>0.2</v>
      </c>
      <c r="H118" s="7">
        <v>0.3</v>
      </c>
      <c r="I118" s="7">
        <v>0.4</v>
      </c>
      <c r="J118" s="7">
        <v>0.5</v>
      </c>
      <c r="K118" s="7">
        <v>0.6</v>
      </c>
      <c r="L118" s="7">
        <v>0.7</v>
      </c>
      <c r="M118" s="7">
        <v>0.8</v>
      </c>
      <c r="N118" s="7">
        <v>0.9</v>
      </c>
      <c r="O118" s="7">
        <v>1</v>
      </c>
      <c r="P118" s="7">
        <v>2</v>
      </c>
      <c r="Q118" s="7">
        <v>3</v>
      </c>
      <c r="R118" s="7">
        <v>4</v>
      </c>
      <c r="S118" s="7">
        <v>5</v>
      </c>
    </row>
    <row r="119" spans="1:29" x14ac:dyDescent="0.3">
      <c r="A119">
        <v>100</v>
      </c>
      <c r="B119">
        <f>1/100</f>
        <v>0.01</v>
      </c>
      <c r="C119">
        <v>0.2</v>
      </c>
      <c r="D119">
        <v>0</v>
      </c>
      <c r="E119" s="5">
        <v>60</v>
      </c>
      <c r="F119" cm="1">
        <f t="array" ref="F119">gamma_new(E119,A119,0.1,B119,D119,C119)</f>
        <v>1.0516556577990481E-15</v>
      </c>
      <c r="G119" cm="1">
        <f t="array" ref="G119">gamma_new(E119,A119,0.2,B119,D119,C119)</f>
        <v>8.9897290546272933E-9</v>
      </c>
      <c r="H119" cm="1">
        <f t="array" ref="H119">gamma_new(E119,A119,0.3,B119,D119,C119)</f>
        <v>1.683337757156276E-6</v>
      </c>
      <c r="I119" cm="1">
        <f t="array" ref="I119">gamma_new(E119,A119,0.4,B119,D119,C119)</f>
        <v>2.2064431982817099E-5</v>
      </c>
      <c r="J119" cm="1">
        <f t="array" ref="J119">gamma_new(E119,A119,0.5,B119,D119,C119)</f>
        <v>1.0070170546498096E-4</v>
      </c>
      <c r="K119" cm="1">
        <f t="array" ref="K119">gamma_new(E119,A119,0.6,B119,D119,C119)</f>
        <v>2.7236380704730455E-4</v>
      </c>
      <c r="L119" cm="1">
        <f t="array" ref="L119">gamma_new(E119,A119,0.7,B119,D119,C119)</f>
        <v>5.4760481596518001E-4</v>
      </c>
      <c r="M119" cm="1">
        <f t="array" ref="M119">gamma_new(E119,A119,0.8,B119,D119,C119)</f>
        <v>9.1609936771568209E-4</v>
      </c>
      <c r="N119" cm="1">
        <f t="array" ref="N119">gamma_new(E119,A119,0.9,B119,D119,C119)</f>
        <v>1.3571389458380515E-3</v>
      </c>
      <c r="O119" cm="1">
        <f t="array" ref="O119">gamma_new(E119,A119,1,B119,D119,C119)</f>
        <v>1.8477969471792112E-3</v>
      </c>
      <c r="P119" cm="1">
        <f t="array" ref="P119">gamma_new(E119,A119,2,B119,D119,C119)</f>
        <v>6.5999568536451924E-3</v>
      </c>
      <c r="Q119" cm="1">
        <f t="array" ref="Q119">gamma_new(E119,A119,3,B119,D119,C119)</f>
        <v>9.1771016304238069E-3</v>
      </c>
      <c r="R119" cm="1">
        <f t="array" ref="R119">gamma_new(E119,A119,4,B119,D119,C119)</f>
        <v>1.0313315500073911E-2</v>
      </c>
      <c r="S119" cm="1">
        <f t="array" ref="S119">gamma_new(E119,A119,5,B119,D119,C119)</f>
        <v>1.073708151996329E-2</v>
      </c>
    </row>
    <row r="120" spans="1:29" x14ac:dyDescent="0.3">
      <c r="A120">
        <v>100</v>
      </c>
      <c r="B120">
        <f t="shared" ref="B120:B135" si="6">1/100</f>
        <v>0.01</v>
      </c>
      <c r="C120">
        <v>0.2</v>
      </c>
      <c r="D120">
        <v>0</v>
      </c>
      <c r="E120" s="5">
        <v>65</v>
      </c>
      <c r="F120" cm="1">
        <f t="array" ref="F120">gamma_new(E120,A120,0.1,B120,D120,C120)</f>
        <v>1.1286957540817281E-11</v>
      </c>
      <c r="G120" cm="1">
        <f t="array" ref="G120">gamma_new(E120,A120,0.2,B120,D120,C120)</f>
        <v>8.6832323834608043E-7</v>
      </c>
      <c r="H120" cm="1">
        <f t="array" ref="H120">gamma_new(E120,A120,0.3,B120,D120,C120)</f>
        <v>3.3820751258091636E-5</v>
      </c>
      <c r="I120" cm="1">
        <f t="array" ref="I120">gamma_new(E120,A120,0.4,B120,D120,C120)</f>
        <v>2.0218238688417132E-4</v>
      </c>
      <c r="J120" cm="1">
        <f t="array" ref="J120">gamma_new(E120,A120,0.5,B120,D120,C120)</f>
        <v>5.7611680391896742E-4</v>
      </c>
      <c r="K120" cm="1">
        <f t="array" ref="K120">gamma_new(E120,A120,0.6,B120,D120,C120)</f>
        <v>1.1382523244176249E-3</v>
      </c>
      <c r="L120" cm="1">
        <f t="array" ref="L120">gamma_new(E120,A120,0.7,B120,D120,C120)</f>
        <v>1.8286848240875091E-3</v>
      </c>
      <c r="M120" cm="1">
        <f t="array" ref="M120">gamma_new(E120,A120,0.8,B120,D120,C120)</f>
        <v>2.5855385907713364E-3</v>
      </c>
      <c r="N120" cm="1">
        <f t="array" ref="N120">gamma_new(E120,A120,0.9,B120,D120,C120)</f>
        <v>3.3605151026574525E-3</v>
      </c>
      <c r="O120" cm="1">
        <f t="array" ref="O120">gamma_new(E120,A120,1,B120,D120,C120)</f>
        <v>4.1207309613217006E-3</v>
      </c>
      <c r="P120" cm="1">
        <f t="array" ref="P120">gamma_new(E120,A120,2,B120,D120,C120)</f>
        <v>9.1893387459059377E-3</v>
      </c>
      <c r="Q120" cm="1">
        <f t="array" ref="Q120">gamma_new(E120,A120,3,B120,D120,C120)</f>
        <v>1.0920849507992856E-2</v>
      </c>
      <c r="R120" cm="1">
        <f t="array" ref="R120">gamma_new(E120,A120,4,B120,D120,C120)</f>
        <v>1.1346268148064857E-2</v>
      </c>
      <c r="S120" cm="1">
        <f t="array" ref="S120">gamma_new(E120,A120,5,B120,D120,C120)</f>
        <v>1.1268946181697022E-2</v>
      </c>
    </row>
    <row r="121" spans="1:29" x14ac:dyDescent="0.3">
      <c r="A121">
        <v>100</v>
      </c>
      <c r="B121">
        <f t="shared" si="6"/>
        <v>0.01</v>
      </c>
      <c r="C121">
        <v>0.2</v>
      </c>
      <c r="D121">
        <v>0</v>
      </c>
      <c r="E121" s="5">
        <v>70</v>
      </c>
      <c r="F121" cm="1">
        <f t="array" ref="F121">gamma_new(E121,A121,0.1,B121,D121,C121)</f>
        <v>1.4597010892531749E-8</v>
      </c>
      <c r="G121" cm="1">
        <f t="array" ref="G121">gamma_new(E121,A121,0.2,B121,D121,C121)</f>
        <v>2.9265998523210969E-5</v>
      </c>
      <c r="H121" cm="1">
        <f t="array" ref="H121">gamma_new(E121,A121,0.3,B121,D121,C121)</f>
        <v>3.3795857220289077E-4</v>
      </c>
      <c r="I121" cm="1">
        <f t="array" ref="I121">gamma_new(E121,A121,0.4,B121,D121,C121)</f>
        <v>1.100075981489598E-3</v>
      </c>
      <c r="J121" cm="1">
        <f t="array" ref="J121">gamma_new(E121,A121,0.5,B121,D121,C121)</f>
        <v>2.1766539744157015E-3</v>
      </c>
      <c r="K121" cm="1">
        <f t="array" ref="K121">gamma_new(E121,A121,0.6,B121,D121,C121)</f>
        <v>3.3722289783455596E-3</v>
      </c>
      <c r="L121" cm="1">
        <f t="array" ref="L121">gamma_new(E121,A121,0.7,B121,D121,C121)</f>
        <v>4.5539531232495038E-3</v>
      </c>
      <c r="M121" cm="1">
        <f t="array" ref="M121">gamma_new(E121,A121,0.8,B121,D121,C121)</f>
        <v>5.6523508060789462E-3</v>
      </c>
      <c r="N121" cm="1">
        <f t="array" ref="N121">gamma_new(E121,A121,0.9,B121,D121,C121)</f>
        <v>6.6387114573764547E-3</v>
      </c>
      <c r="O121" cm="1">
        <f t="array" ref="O121">gamma_new(E121,A121,1,B121,D121,C121)</f>
        <v>7.5067523489369872E-3</v>
      </c>
      <c r="P121" cm="1">
        <f t="array" ref="P121">gamma_new(E121,A121,2,B121,D121,C121)</f>
        <v>1.1624159945686188E-2</v>
      </c>
      <c r="Q121" cm="1">
        <f t="array" ref="Q121">gamma_new(E121,A121,3,B121,D121,C121)</f>
        <v>1.2233016676571298E-2</v>
      </c>
      <c r="R121" cm="1">
        <f t="array" ref="R121">gamma_new(E121,A121,4,B121,D121,C121)</f>
        <v>1.1959970353331821E-2</v>
      </c>
      <c r="S121" cm="1">
        <f t="array" ref="S121">gamma_new(E121,A121,5,B121,D121,C121)</f>
        <v>1.1453027766679769E-2</v>
      </c>
    </row>
    <row r="122" spans="1:29" x14ac:dyDescent="0.3">
      <c r="A122">
        <v>100</v>
      </c>
      <c r="B122">
        <f t="shared" si="6"/>
        <v>0.01</v>
      </c>
      <c r="C122">
        <v>0.2</v>
      </c>
      <c r="D122">
        <v>0</v>
      </c>
      <c r="E122" s="5">
        <v>75</v>
      </c>
      <c r="F122" cm="1">
        <f t="array" ref="F122">gamma_new(E122,A122,0.1,B122,D122,C122)</f>
        <v>3.3512354645083046E-6</v>
      </c>
      <c r="G122" cm="1">
        <f t="array" ref="G122">gamma_new(E122,A122,0.2,B122,D122,C122)</f>
        <v>4.1746111765088794E-4</v>
      </c>
      <c r="H122" cm="1">
        <f t="array" ref="H122">gamma_new(E122,A122,0.3,B122,D122,C122)</f>
        <v>1.9093551185000314E-3</v>
      </c>
      <c r="I122" cm="1">
        <f t="array" ref="I122">gamma_new(E122,A122,0.4,B122,D122,C122)</f>
        <v>3.9113907532951553E-3</v>
      </c>
      <c r="J122" cm="1">
        <f t="array" ref="J122">gamma_new(E122,A122,0.5,B122,D122,C122)</f>
        <v>5.8617741810673704E-3</v>
      </c>
      <c r="K122" cm="1">
        <f t="array" ref="K122">gamma_new(E122,A122,0.6,B122,D122,C122)</f>
        <v>7.5458967272333394E-3</v>
      </c>
      <c r="L122" cm="1">
        <f t="array" ref="L122">gamma_new(E122,A122,0.7,B122,D122,C122)</f>
        <v>8.9273180622224217E-3</v>
      </c>
      <c r="M122" cm="1">
        <f t="array" ref="M122">gamma_new(E122,A122,0.8,B122,D122,C122)</f>
        <v>1.0033802504733588E-2</v>
      </c>
      <c r="N122" cm="1">
        <f t="array" ref="N122">gamma_new(E122,A122,0.9,B122,D122,C122)</f>
        <v>1.0909406223302241E-2</v>
      </c>
      <c r="O122" cm="1">
        <f t="array" ref="O122">gamma_new(E122,A122,1,B122,D122,C122)</f>
        <v>1.1597225794774839E-2</v>
      </c>
      <c r="P122" cm="1">
        <f t="array" ref="P122">gamma_new(E122,A122,2,B122,D122,C122)</f>
        <v>1.3601749391133747E-2</v>
      </c>
      <c r="Q122" cm="1">
        <f t="array" ref="Q122">gamma_new(E122,A122,3,B122,D122,C122)</f>
        <v>1.304799601147523E-2</v>
      </c>
      <c r="R122" cm="1">
        <f t="array" ref="R122">gamma_new(E122,A122,4,B122,D122,C122)</f>
        <v>1.2179483699411454E-2</v>
      </c>
      <c r="S122" cm="1">
        <f t="array" ref="S122">gamma_new(E122,A122,5,B122,D122,C122)</f>
        <v>1.1343634002882847E-2</v>
      </c>
    </row>
    <row r="123" spans="1:29" x14ac:dyDescent="0.3">
      <c r="A123">
        <v>100</v>
      </c>
      <c r="B123">
        <f t="shared" si="6"/>
        <v>0.01</v>
      </c>
      <c r="C123">
        <v>0.2</v>
      </c>
      <c r="D123">
        <v>0</v>
      </c>
      <c r="E123" s="5">
        <v>80</v>
      </c>
      <c r="F123" cm="1">
        <f t="array" ref="F123">gamma_new(E123,A123,0.1,B123,D123,C123)</f>
        <v>1.8444991272199748E-4</v>
      </c>
      <c r="G123" cm="1">
        <f t="array" ref="G123">gamma_new(E123,A123,0.2,B123,D123,C123)</f>
        <v>2.9270332354272232E-3</v>
      </c>
      <c r="H123" cm="1">
        <f t="array" ref="H123">gamma_new(E123,A123,0.3,B123,D123,C123)</f>
        <v>6.7361389316554247E-3</v>
      </c>
      <c r="I123" cm="1">
        <f t="array" ref="I123">gamma_new(E123,A123,0.4,B123,D123,C123)</f>
        <v>9.7884039294375228E-3</v>
      </c>
      <c r="J123" cm="1">
        <f t="array" ref="J123">gamma_new(E123,A123,0.5,B123,D123,C123)</f>
        <v>1.1937780047109169E-2</v>
      </c>
      <c r="K123" cm="1">
        <f t="array" ref="K123">gamma_new(E123,A123,0.6,B123,D123,C123)</f>
        <v>1.3395159432299537E-2</v>
      </c>
      <c r="L123" cm="1">
        <f t="array" ref="L123">gamma_new(E123,A123,0.7,B123,D123,C123)</f>
        <v>1.4366321033900606E-2</v>
      </c>
      <c r="M123" cm="1">
        <f t="array" ref="M123">gamma_new(E123,A123,0.8,B123,D123,C123)</f>
        <v>1.5001364182628535E-2</v>
      </c>
      <c r="N123" cm="1">
        <f t="array" ref="N123">gamma_new(E123,A123,0.9,B123,D123,C123)</f>
        <v>1.5403132263133369E-2</v>
      </c>
      <c r="O123" cm="1">
        <f t="array" ref="O123">gamma_new(E123,A123,1,B123,D123,C123)</f>
        <v>1.5641421674019225E-2</v>
      </c>
      <c r="P123" cm="1">
        <f t="array" ref="P123">gamma_new(E123,A123,2,B123,D123,C123)</f>
        <v>1.4928999083209112E-2</v>
      </c>
      <c r="Q123" cm="1">
        <f t="array" ref="Q123">gamma_new(E123,A123,3,B123,D123,C123)</f>
        <v>1.3370603439876852E-2</v>
      </c>
      <c r="R123" cm="1">
        <f t="array" ref="R123">gamma_new(E123,A123,4,B123,D123,C123)</f>
        <v>1.205928909750143E-2</v>
      </c>
      <c r="S123" cm="1">
        <f t="array" ref="S123">gamma_new(E123,A123,5,B123,D123,C123)</f>
        <v>1.1002627628314172E-2</v>
      </c>
    </row>
    <row r="124" spans="1:29" x14ac:dyDescent="0.3">
      <c r="A124">
        <v>100</v>
      </c>
      <c r="B124">
        <f t="shared" si="6"/>
        <v>0.01</v>
      </c>
      <c r="C124">
        <v>0.2</v>
      </c>
      <c r="D124">
        <v>0</v>
      </c>
      <c r="E124" s="5">
        <v>85</v>
      </c>
      <c r="F124" cm="1">
        <f t="array" ref="F124">gamma_new(E124,A124,0.1,B124,D124,C124)</f>
        <v>3.0836372935947147E-3</v>
      </c>
      <c r="G124" cm="1">
        <f t="array" ref="G124">gamma_new(E124,A124,0.2,B124,D124,C124)</f>
        <v>1.134964427745312E-2</v>
      </c>
      <c r="H124" cm="1">
        <f t="array" ref="H124">gamma_new(E124,A124,0.3,B124,D124,C124)</f>
        <v>1.6048048164004222E-2</v>
      </c>
      <c r="I124" cm="1">
        <f t="array" ref="I124">gamma_new(E124,A124,0.4,B124,D124,C124)</f>
        <v>1.8278954822369093E-2</v>
      </c>
      <c r="J124" cm="1">
        <f t="array" ref="J124">gamma_new(E124,A124,0.5,B124,D124,C124)</f>
        <v>1.9261939996234254E-2</v>
      </c>
      <c r="K124" cm="1">
        <f t="array" ref="K124">gamma_new(E124,A124,0.6,B124,D124,C124)</f>
        <v>1.9607203543702156E-2</v>
      </c>
      <c r="L124" cm="1">
        <f t="array" ref="L124">gamma_new(E124,A124,0.7,B124,D124,C124)</f>
        <v>1.9615204928584505E-2</v>
      </c>
      <c r="M124" cm="1">
        <f t="array" ref="M124">gamma_new(E124,A124,0.8,B124,D124,C124)</f>
        <v>1.944073459830415E-2</v>
      </c>
      <c r="N124" cm="1">
        <f t="array" ref="N124">gamma_new(E124,A124,0.9,B124,D124,C124)</f>
        <v>1.9167361944162006E-2</v>
      </c>
      <c r="O124" cm="1">
        <f t="array" ref="O124">gamma_new(E124,A124,1,B124,D124,C124)</f>
        <v>1.8841983940109528E-2</v>
      </c>
      <c r="P124" cm="1">
        <f t="array" ref="P124">gamma_new(E124,A124,2,B124,D124,C124)</f>
        <v>1.5538821309956895E-2</v>
      </c>
      <c r="Q124" cm="1">
        <f t="array" ref="Q124">gamma_new(E124,A124,3,B124,D124,C124)</f>
        <v>1.3255131727717093E-2</v>
      </c>
      <c r="R124" cm="1">
        <f t="array" ref="R124">gamma_new(E124,A124,4,B124,D124,C124)</f>
        <v>1.1667493720574828E-2</v>
      </c>
      <c r="S124" cm="1">
        <f t="array" ref="S124">gamma_new(E124,A124,5,B124,D124,C124)</f>
        <v>1.0490736571836448E-2</v>
      </c>
    </row>
    <row r="125" spans="1:29" x14ac:dyDescent="0.3">
      <c r="A125">
        <v>100</v>
      </c>
      <c r="B125">
        <f t="shared" si="6"/>
        <v>0.01</v>
      </c>
      <c r="C125">
        <v>0.2</v>
      </c>
      <c r="D125">
        <v>0</v>
      </c>
      <c r="E125" s="5">
        <v>90</v>
      </c>
      <c r="F125" cm="1">
        <f t="array" ref="F125">gamma_new(E125,A125,0.1,B125,D125,C125)</f>
        <v>1.8916378586336526E-2</v>
      </c>
      <c r="G125" cm="1">
        <f t="array" ref="G125">gamma_new(E125,A125,0.2,B125,D125,C125)</f>
        <v>2.6739234389615497E-2</v>
      </c>
      <c r="H125" cm="1">
        <f t="array" ref="H125">gamma_new(E125,A125,0.3,B125,D125,C125)</f>
        <v>2.7482291431425856E-2</v>
      </c>
      <c r="I125" cm="1">
        <f t="array" ref="I125">gamma_new(E125,A125,0.4,B125,D125,C125)</f>
        <v>2.6687880405210144E-2</v>
      </c>
      <c r="J125" cm="1">
        <f t="array" ref="J125">gamma_new(E125,A125,0.5,B125,D125,C125)</f>
        <v>2.5556533759819561E-2</v>
      </c>
      <c r="K125" cm="1">
        <f t="array" ref="K125">gamma_new(E125,A125,0.6,B125,D125,C125)</f>
        <v>2.4406774147524606E-2</v>
      </c>
      <c r="L125" cm="1">
        <f t="array" ref="L125">gamma_new(E125,A125,0.7,B125,D125,C125)</f>
        <v>2.3329031963279283E-2</v>
      </c>
      <c r="M125" cm="1">
        <f t="array" ref="M125">gamma_new(E125,A125,0.8,B125,D125,C125)</f>
        <v>2.2344641814505347E-2</v>
      </c>
      <c r="N125" cm="1">
        <f t="array" ref="N125">gamma_new(E125,A125,0.9,B125,D125,C125)</f>
        <v>2.1452524339852529E-2</v>
      </c>
      <c r="O125" cm="1">
        <f t="array" ref="O125">gamma_new(E125,A125,1,B125,D125,C125)</f>
        <v>2.0644622964645629E-2</v>
      </c>
      <c r="P125" cm="1">
        <f t="array" ref="P125">gamma_new(E125,A125,2,B125,D125,C125)</f>
        <v>1.5471684475151492E-2</v>
      </c>
      <c r="Q125" cm="1">
        <f t="array" ref="Q125">gamma_new(E125,A125,3,B125,D125,C125)</f>
        <v>1.2783505889003444E-2</v>
      </c>
      <c r="R125" cm="1">
        <f t="array" ref="R125">gamma_new(E125,A125,4,B125,D125,C125)</f>
        <v>1.1074310697636874E-2</v>
      </c>
      <c r="S125" cm="1">
        <f t="array" ref="S125">gamma_new(E125,A125,5,B125,D125,C125)</f>
        <v>9.8625457284395694E-3</v>
      </c>
    </row>
    <row r="126" spans="1:29" x14ac:dyDescent="0.3">
      <c r="A126">
        <v>100</v>
      </c>
      <c r="B126">
        <f t="shared" si="6"/>
        <v>0.01</v>
      </c>
      <c r="C126">
        <v>0.2</v>
      </c>
      <c r="D126">
        <v>0</v>
      </c>
      <c r="E126" s="5">
        <v>95</v>
      </c>
      <c r="F126" cm="1">
        <f t="array" ref="F126">gamma_new(E126,A126,0.1,B126,D126,C126)</f>
        <v>4.9607400575778247E-2</v>
      </c>
      <c r="G126" cm="1">
        <f t="array" ref="G126">gamma_new(E126,A126,0.2,B126,D126,C126)</f>
        <v>4.1300684164172589E-2</v>
      </c>
      <c r="H126" cm="1">
        <f t="array" ref="H126">gamma_new(E126,A126,0.3,B126,D126,C126)</f>
        <v>3.5581792279001205E-2</v>
      </c>
      <c r="I126" cm="1">
        <f t="array" ref="I126">gamma_new(E126,A126,0.4,B126,D126,C126)</f>
        <v>3.1635322258043573E-2</v>
      </c>
      <c r="J126" cm="1">
        <f t="array" ref="J126">gamma_new(E126,A126,0.5,B126,D126,C126)</f>
        <v>2.8732281352043247E-2</v>
      </c>
      <c r="K126" cm="1">
        <f t="array" ref="K126">gamma_new(E126,A126,0.6,B126,D126,C126)</f>
        <v>2.6488164394297603E-2</v>
      </c>
      <c r="L126" cm="1">
        <f t="array" ref="L126">gamma_new(E126,A126,0.7,B126,D126,C126)</f>
        <v>2.4688265009858646E-2</v>
      </c>
      <c r="M126" cm="1">
        <f t="array" ref="M126">gamma_new(E126,A126,0.8,B126,D126,C126)</f>
        <v>2.3203661883923712E-2</v>
      </c>
      <c r="N126" cm="1">
        <f t="array" ref="N126">gamma_new(E126,A126,0.9,B126,D126,C126)</f>
        <v>2.1952066922098782E-2</v>
      </c>
      <c r="O126" cm="1">
        <f t="array" ref="O126">gamma_new(E126,A126,1,B126,D126,C126)</f>
        <v>2.087829727981377E-2</v>
      </c>
      <c r="P126" cm="1">
        <f t="array" ref="P126">gamma_new(E126,A126,2,B126,D126,C126)</f>
        <v>1.4840061535306965E-2</v>
      </c>
      <c r="Q126" cm="1">
        <f t="array" ref="Q126">gamma_new(E126,A126,3,B126,D126,C126)</f>
        <v>1.2047161650680642E-2</v>
      </c>
      <c r="R126" cm="1">
        <f t="array" ref="R126">gamma_new(E126,A126,4,B126,D126,C126)</f>
        <v>1.034474514620942E-2</v>
      </c>
      <c r="S126" cm="1">
        <f t="array" ref="S126">gamma_new(E126,A126,5,B126,D126,C126)</f>
        <v>9.1641696406864273E-3</v>
      </c>
    </row>
    <row r="127" spans="1:29" x14ac:dyDescent="0.3">
      <c r="A127">
        <v>100</v>
      </c>
      <c r="B127">
        <f t="shared" si="6"/>
        <v>0.01</v>
      </c>
      <c r="C127">
        <v>0.2</v>
      </c>
      <c r="D127">
        <v>0</v>
      </c>
      <c r="E127" s="5">
        <v>100</v>
      </c>
      <c r="F127" cm="1">
        <f t="array" ref="F127">gamma_new(E127,A127,0.1,B127,D127,C127)</f>
        <v>6.3007389850102596E-2</v>
      </c>
      <c r="G127" cm="1">
        <f t="array" ref="G127">gamma_new(E127,A127,0.2,B127,D127,C127)</f>
        <v>4.4502858739261325E-2</v>
      </c>
      <c r="H127" cm="1">
        <f t="array" ref="H127">gamma_new(E127,A127,0.3,B127,D127,C127)</f>
        <v>3.6295576501642057E-2</v>
      </c>
      <c r="I127" cm="1">
        <f t="array" ref="I127">gamma_new(E127,A127,0.4,B127,D127,C127)</f>
        <v>3.1397549176385639E-2</v>
      </c>
      <c r="J127" cm="1">
        <f t="array" ref="J127">gamma_new(E127,A127,0.5,B127,D127,C127)</f>
        <v>2.8051246304186254E-2</v>
      </c>
      <c r="K127" cm="1">
        <f t="array" ref="K127">gamma_new(E127,A127,0.6,B127,D127,C127)</f>
        <v>2.55783754134996E-2</v>
      </c>
      <c r="L127" cm="1">
        <f t="array" ref="L127">gamma_new(E127,A127,0.7,B127,D127,C127)</f>
        <v>2.3654347961507349E-2</v>
      </c>
      <c r="M127" cm="1">
        <f t="array" ref="M127">gamma_new(E127,A127,0.8,B127,D127,C127)</f>
        <v>2.2101737998123483E-2</v>
      </c>
      <c r="N127" cm="1">
        <f t="array" ref="N127">gamma_new(E127,A127,0.9,B127,D127,C127)</f>
        <v>2.0814289167512139E-2</v>
      </c>
      <c r="O127" cm="1">
        <f t="array" ref="O127">gamma_new(E127,A127,1,B127,D127,C127)</f>
        <v>1.9723966545394447E-2</v>
      </c>
      <c r="P127" cm="1">
        <f t="array" ref="P127">gamma_new(E127,A127,2,B127,D127,C127)</f>
        <v>1.3790926583135299E-2</v>
      </c>
      <c r="Q127" cm="1">
        <f t="array" ref="Q127">gamma_new(E127,A127,3,B127,D127,C127)</f>
        <v>1.1134276551152787E-2</v>
      </c>
      <c r="R127" cm="1">
        <f t="array" ref="R127">gamma_new(E127,A127,4,B127,D127,C127)</f>
        <v>9.5346953865131021E-3</v>
      </c>
      <c r="S127" cm="1">
        <f t="array" ref="S127">gamma_new(E127,A127,5,B127,D127,C127)</f>
        <v>8.4326874401380626E-3</v>
      </c>
    </row>
    <row r="128" spans="1:29" x14ac:dyDescent="0.3">
      <c r="A128">
        <v>100</v>
      </c>
      <c r="B128">
        <f t="shared" si="6"/>
        <v>0.01</v>
      </c>
      <c r="C128">
        <v>0.2</v>
      </c>
      <c r="D128">
        <v>0</v>
      </c>
      <c r="E128" s="5">
        <v>105</v>
      </c>
      <c r="F128" cm="1">
        <f t="array" ref="F128">gamma_new(E128,A128,0.1,B128,D128,C128)</f>
        <v>4.2961708392642114E-2</v>
      </c>
      <c r="G128" cm="1">
        <f t="array" ref="G128">gamma_new(E128,A128,0.2,B128,D128,C128)</f>
        <v>3.5212130286942138E-2</v>
      </c>
      <c r="H128" cm="1">
        <f t="array" ref="H128">gamma_new(E128,A128,0.3,B128,D128,C128)</f>
        <v>3.0178399358531966E-2</v>
      </c>
      <c r="I128" cm="1">
        <f t="array" ref="I128">gamma_new(E128,A128,0.4,B128,D128,C128)</f>
        <v>2.6761306237360675E-2</v>
      </c>
      <c r="J128" cm="1">
        <f t="array" ref="J128">gamma_new(E128,A128,0.5,B128,D128,C128)</f>
        <v>2.4267506445708336E-2</v>
      </c>
      <c r="K128" cm="1">
        <f t="array" ref="K128">gamma_new(E128,A128,0.6,B128,D128,C128)</f>
        <v>2.2348767206295854E-2</v>
      </c>
      <c r="L128" cm="1">
        <f t="array" ref="L128">gamma_new(E128,A128,0.7,B128,D128,C128)</f>
        <v>2.0814619144845087E-2</v>
      </c>
      <c r="M128" cm="1">
        <f t="array" ref="M128">gamma_new(E128,A128,0.8,B128,D128,C128)</f>
        <v>1.9552017122180458E-2</v>
      </c>
      <c r="N128" cm="1">
        <f t="array" ref="N128">gamma_new(E128,A128,0.9,B128,D128,C128)</f>
        <v>1.8489346824041981E-2</v>
      </c>
      <c r="O128" cm="1">
        <f t="array" ref="O128">gamma_new(E128,A128,1,B128,D128,C128)</f>
        <v>1.7578836087368842E-2</v>
      </c>
      <c r="P128" cm="1">
        <f t="array" ref="P128">gamma_new(E128,A128,2,B128,D128,C128)</f>
        <v>1.2475292570391814E-2</v>
      </c>
      <c r="Q128" cm="1">
        <f t="array" ref="Q128">gamma_new(E128,A128,3,B128,D128,C128)</f>
        <v>1.0122157910866229E-2</v>
      </c>
      <c r="R128" cm="1">
        <f t="array" ref="R128">gamma_new(E128,A128,4,B128,D128,C128)</f>
        <v>8.6895009017126795E-3</v>
      </c>
      <c r="S128" cm="1">
        <f t="array" ref="S128">gamma_new(E128,A128,5,B128,D128,C128)</f>
        <v>7.6966219777363509E-3</v>
      </c>
    </row>
    <row r="129" spans="1:19" x14ac:dyDescent="0.3">
      <c r="A129">
        <v>100</v>
      </c>
      <c r="B129">
        <f t="shared" si="6"/>
        <v>0.01</v>
      </c>
      <c r="C129">
        <v>0.2</v>
      </c>
      <c r="D129">
        <v>0</v>
      </c>
      <c r="E129" s="5">
        <v>110</v>
      </c>
      <c r="F129" cm="1">
        <f t="array" ref="F129">gamma_new(E129,A129,0.1,B129,D129,C129)</f>
        <v>1.7132125878144416E-2</v>
      </c>
      <c r="G129" cm="1">
        <f t="array" ref="G129">gamma_new(E129,A129,0.2,B129,D129,C129)</f>
        <v>2.1349081451222499E-2</v>
      </c>
      <c r="H129" cm="1">
        <f t="array" ref="H129">gamma_new(E129,A129,0.3,B129,D129,C129)</f>
        <v>2.1039503593612036E-2</v>
      </c>
      <c r="I129" cm="1">
        <f t="array" ref="I129">gamma_new(E129,A129,0.4,B129,D129,C129)</f>
        <v>2.0006577096239694E-2</v>
      </c>
      <c r="J129" cm="1">
        <f t="array" ref="J129">gamma_new(E129,A129,0.5,B129,D129,C129)</f>
        <v>1.8918485039079759E-2</v>
      </c>
      <c r="K129" cm="1">
        <f t="array" ref="K129">gamma_new(E129,A129,0.6,B129,D129,C129)</f>
        <v>1.7916173218194179E-2</v>
      </c>
      <c r="L129" cm="1">
        <f t="array" ref="L129">gamma_new(E129,A129,0.7,B129,D129,C129)</f>
        <v>1.7022556226213847E-2</v>
      </c>
      <c r="M129" cm="1">
        <f t="array" ref="M129">gamma_new(E129,A129,0.8,B129,D129,C129)</f>
        <v>1.6231040004613291E-2</v>
      </c>
      <c r="N129" cm="1">
        <f t="array" ref="N129">gamma_new(E129,A129,0.9,B129,D129,C129)</f>
        <v>1.5528543194402064E-2</v>
      </c>
      <c r="O129" cm="1">
        <f t="array" ref="O129">gamma_new(E129,A129,1,B129,D129,C129)</f>
        <v>1.4901938093572724E-2</v>
      </c>
      <c r="P129" cm="1">
        <f t="array" ref="P129">gamma_new(E129,A129,2,B129,D129,C129)</f>
        <v>1.1028059378052653E-2</v>
      </c>
      <c r="Q129" cm="1">
        <f t="array" ref="Q129">gamma_new(E129,A129,3,B129,D129,C129)</f>
        <v>9.0737477955800411E-3</v>
      </c>
      <c r="R129" cm="1">
        <f t="array" ref="R129">gamma_new(E129,A129,4,B129,D129,C129)</f>
        <v>7.8440625463605997E-3</v>
      </c>
      <c r="S129" cm="1">
        <f t="array" ref="S129">gamma_new(E129,A129,5,B129,D129,C129)</f>
        <v>6.9769553505238452E-3</v>
      </c>
    </row>
    <row r="130" spans="1:19" x14ac:dyDescent="0.3">
      <c r="A130">
        <v>100</v>
      </c>
      <c r="B130">
        <f t="shared" si="6"/>
        <v>0.01</v>
      </c>
      <c r="C130">
        <v>0.2</v>
      </c>
      <c r="D130">
        <v>0</v>
      </c>
      <c r="E130" s="5">
        <v>115</v>
      </c>
      <c r="F130" cm="1">
        <f t="array" ref="F130">gamma_new(E130,A130,0.1,B130,D130,C130)</f>
        <v>4.293033327812704E-3</v>
      </c>
      <c r="G130" cm="1">
        <f t="array" ref="G130">gamma_new(E130,A130,0.2,B130,D130,C130)</f>
        <v>1.0279303406877476E-2</v>
      </c>
      <c r="H130" cm="1">
        <f t="array" ref="H130">gamma_new(E130,A130,0.3,B130,D130,C130)</f>
        <v>1.259400347775148E-2</v>
      </c>
      <c r="I130" cm="1">
        <f t="array" ref="I130">gamma_new(E130,A130,0.4,B130,D130,C130)</f>
        <v>1.3352820984703353E-2</v>
      </c>
      <c r="J130" cm="1">
        <f t="array" ref="J130">gamma_new(E130,A130,0.5,B130,D130,C130)</f>
        <v>1.3478753756809105E-2</v>
      </c>
      <c r="K130" cm="1">
        <f t="array" ref="K130">gamma_new(E130,A130,0.6,B130,D130,C130)</f>
        <v>1.333267834934383E-2</v>
      </c>
      <c r="L130" cm="1">
        <f t="array" ref="L130">gamma_new(E130,A130,0.7,B130,D130,C130)</f>
        <v>1.306782132810054E-2</v>
      </c>
      <c r="M130" cm="1">
        <f t="array" ref="M130">gamma_new(E130,A130,0.8,B130,D130,C130)</f>
        <v>1.2754236173725023E-2</v>
      </c>
      <c r="N130" cm="1">
        <f t="array" ref="N130">gamma_new(E130,A130,0.9,B130,D130,C130)</f>
        <v>1.2425602990436633E-2</v>
      </c>
      <c r="O130" cm="1">
        <f t="array" ref="O130">gamma_new(E130,A130,1,B130,D130,C130)</f>
        <v>1.2098525266351955E-2</v>
      </c>
      <c r="P130" cm="1">
        <f t="array" ref="P130">gamma_new(E130,A130,2,B130,D130,C130)</f>
        <v>9.5576676672171172E-3</v>
      </c>
      <c r="Q130" cm="1">
        <f t="array" ref="Q130">gamma_new(E130,A130,3,B130,D130,C130)</f>
        <v>8.0369990403848408E-3</v>
      </c>
      <c r="R130" cm="1">
        <f t="array" ref="R130">gamma_new(E130,A130,4,B130,D130,C130)</f>
        <v>7.0238536178371452E-3</v>
      </c>
      <c r="S130" cm="1">
        <f t="array" ref="S130">gamma_new(E130,A130,5,B130,D130,C130)</f>
        <v>6.2883493733863101E-3</v>
      </c>
    </row>
    <row r="131" spans="1:19" x14ac:dyDescent="0.3">
      <c r="A131">
        <v>100</v>
      </c>
      <c r="B131">
        <f t="shared" si="6"/>
        <v>0.01</v>
      </c>
      <c r="C131">
        <v>0.2</v>
      </c>
      <c r="D131">
        <v>0</v>
      </c>
      <c r="E131" s="5">
        <v>120</v>
      </c>
      <c r="F131" cm="1">
        <f t="array" ref="F131">gamma_new(E131,A131,0.1,B131,D131,C131)</f>
        <v>7.1823787351586266E-4</v>
      </c>
      <c r="G131" cm="1">
        <f t="array" ref="G131">gamma_new(E131,A131,0.2,B131,D131,C131)</f>
        <v>4.0508179535475647E-3</v>
      </c>
      <c r="H131" cm="1">
        <f t="array" ref="H131">gamma_new(E131,A131,0.3,B131,D131,C131)</f>
        <v>6.6034037139998071E-3</v>
      </c>
      <c r="I131" cm="1">
        <f t="array" ref="I131">gamma_new(E131,A131,0.4,B131,D131,C131)</f>
        <v>8.0758746095868552E-3</v>
      </c>
      <c r="J131" cm="1">
        <f t="array" ref="J131">gamma_new(E131,A131,0.5,B131,D131,C131)</f>
        <v>8.881243547387634E-3</v>
      </c>
      <c r="K131" cm="1">
        <f t="array" ref="K131">gamma_new(E131,A131,0.6,B131,D131,C131)</f>
        <v>9.3013597568778472E-3</v>
      </c>
      <c r="L131" cm="1">
        <f t="array" ref="L131">gamma_new(E131,A131,0.7,B131,D131,C131)</f>
        <v>9.496205086649636E-3</v>
      </c>
      <c r="M131" cm="1">
        <f t="array" ref="M131">gamma_new(E131,A131,0.8,B131,D131,C131)</f>
        <v>9.5562993383245896E-3</v>
      </c>
      <c r="N131" cm="1">
        <f t="array" ref="N131">gamma_new(E131,A131,0.9,B131,D131,C131)</f>
        <v>9.5342861100476337E-3</v>
      </c>
      <c r="O131" cm="1">
        <f t="array" ref="O131">gamma_new(E131,A131,1,B131,D131,C131)</f>
        <v>9.46175015661453E-3</v>
      </c>
      <c r="P131" cm="1">
        <f t="array" ref="P131">gamma_new(E131,A131,2,B131,D131,C131)</f>
        <v>8.1432630811320347E-3</v>
      </c>
      <c r="Q131" cm="1">
        <f t="array" ref="Q131">gamma_new(E131,A131,3,B131,D131,C131)</f>
        <v>7.0460051549628569E-3</v>
      </c>
      <c r="R131" cm="1">
        <f t="array" ref="R131">gamma_new(E131,A131,4,B131,D131,C131)</f>
        <v>6.2463417557349936E-3</v>
      </c>
      <c r="S131" cm="1">
        <f t="array" ref="S131">gamma_new(E131,A131,5,B131,D131,C131)</f>
        <v>5.6403714114604637E-3</v>
      </c>
    </row>
    <row r="132" spans="1:19" x14ac:dyDescent="0.3">
      <c r="A132">
        <v>100</v>
      </c>
      <c r="B132">
        <f t="shared" si="6"/>
        <v>0.01</v>
      </c>
      <c r="C132">
        <v>0.2</v>
      </c>
      <c r="D132">
        <v>0</v>
      </c>
      <c r="E132" s="5">
        <v>125</v>
      </c>
      <c r="F132" cm="1">
        <f t="array" ref="F132">gamma_new(E132,A132,0.1,B132,D132,C132)</f>
        <v>8.4468232865850983E-5</v>
      </c>
      <c r="G132" cm="1">
        <f t="array" ref="G132">gamma_new(E132,A132,0.2,B132,D132,C132)</f>
        <v>1.3404252747399995E-3</v>
      </c>
      <c r="H132" cm="1">
        <f t="array" ref="H132">gamma_new(E132,A132,0.3,B132,D132,C132)</f>
        <v>3.0847927412867744E-3</v>
      </c>
      <c r="I132" cm="1">
        <f t="array" ref="I132">gamma_new(E132,A132,0.4,B132,D132,C132)</f>
        <v>4.4825674910614196E-3</v>
      </c>
      <c r="J132" cm="1">
        <f t="array" ref="J132">gamma_new(E132,A132,0.5,B132,D132,C132)</f>
        <v>5.4668672380470719E-3</v>
      </c>
      <c r="K132" cm="1">
        <f t="array" ref="K132">gamma_new(E132,A132,0.6,B132,D132,C132)</f>
        <v>6.1342693499021796E-3</v>
      </c>
      <c r="L132" cm="1">
        <f t="array" ref="L132">gamma_new(E132,A132,0.7,B132,D132,C132)</f>
        <v>6.5790096216856199E-3</v>
      </c>
      <c r="M132" cm="1">
        <f t="array" ref="M132">gamma_new(E132,A132,0.8,B132,D132,C132)</f>
        <v>6.8698255498420117E-3</v>
      </c>
      <c r="N132" cm="1">
        <f t="array" ref="N132">gamma_new(E132,A132,0.9,B132,D132,C132)</f>
        <v>7.0538139252298493E-3</v>
      </c>
      <c r="O132" cm="1">
        <f t="array" ref="O132">gamma_new(E132,A132,1,B132,D132,C132)</f>
        <v>7.162937779782763E-3</v>
      </c>
      <c r="P132" cm="1">
        <f t="array" ref="P132">gamma_new(E132,A132,2,B132,D132,C132)</f>
        <v>6.8366861897907437E-3</v>
      </c>
      <c r="Q132" cm="1">
        <f t="array" ref="Q132">gamma_new(E132,A132,3,B132,D132,C132)</f>
        <v>6.1230240136718661E-3</v>
      </c>
      <c r="R132" cm="1">
        <f t="array" ref="R132">gamma_new(E132,A132,4,B132,D132,C132)</f>
        <v>5.5225119093422646E-3</v>
      </c>
      <c r="S132" cm="1">
        <f t="array" ref="S132">gamma_new(E132,A132,5,B132,D132,C132)</f>
        <v>5.0386172534840892E-3</v>
      </c>
    </row>
    <row r="133" spans="1:19" x14ac:dyDescent="0.3">
      <c r="A133">
        <v>100</v>
      </c>
      <c r="B133">
        <f t="shared" si="6"/>
        <v>0.01</v>
      </c>
      <c r="C133">
        <v>0.2</v>
      </c>
      <c r="D133">
        <v>0</v>
      </c>
      <c r="E133" s="5">
        <v>130</v>
      </c>
      <c r="F133" cm="1">
        <f t="array" ref="F133">gamma_new(E133,A133,0.1,B133,D133,C133)</f>
        <v>7.2972234478141031E-6</v>
      </c>
      <c r="G133" cm="1">
        <f t="array" ref="G133">gamma_new(E133,A133,0.2,B133,D133,C133)</f>
        <v>3.806891985019321E-4</v>
      </c>
      <c r="H133" cm="1">
        <f t="array" ref="H133">gamma_new(E133,A133,0.3,B133,D133,C133)</f>
        <v>1.3026922814580186E-3</v>
      </c>
      <c r="I133" cm="1">
        <f t="array" ref="I133">gamma_new(E133,A133,0.4,B133,D133,C133)</f>
        <v>2.3082701661092642E-3</v>
      </c>
      <c r="J133" cm="1">
        <f t="array" ref="J133">gamma_new(E133,A133,0.5,B133,D133,C133)</f>
        <v>3.1709157235184286E-3</v>
      </c>
      <c r="K133" cm="1">
        <f t="array" ref="K133">gamma_new(E133,A133,0.6,B133,D133,C133)</f>
        <v>3.8518254155354287E-3</v>
      </c>
      <c r="L133" cm="1">
        <f t="array" ref="L133">gamma_new(E133,A133,0.7,B133,D133,C133)</f>
        <v>4.3719665660242645E-3</v>
      </c>
      <c r="M133" cm="1">
        <f t="array" ref="M133">gamma_new(E133,A133,0.8,B133,D133,C133)</f>
        <v>4.7634480986671439E-3</v>
      </c>
      <c r="N133" cm="1">
        <f t="array" ref="N133">gamma_new(E133,A133,0.9,B133,D133,C133)</f>
        <v>5.0554177985015743E-3</v>
      </c>
      <c r="O133" cm="1">
        <f t="array" ref="O133">gamma_new(E133,A133,1,B133,D133,C133)</f>
        <v>5.2712072632879253E-3</v>
      </c>
      <c r="P133" cm="1">
        <f t="array" ref="P133">gamma_new(E133,A133,2,B133,D133,C133)</f>
        <v>5.6669702285113378E-3</v>
      </c>
      <c r="Q133" cm="1">
        <f t="array" ref="Q133">gamma_new(E133,A133,3,B133,D133,C133)</f>
        <v>5.2808038728821578E-3</v>
      </c>
      <c r="R133" cm="1">
        <f t="array" ref="R133">gamma_new(E133,A133,4,B133,D133,C133)</f>
        <v>4.858308981287961E-3</v>
      </c>
      <c r="S133" cm="1">
        <f t="array" ref="S133">gamma_new(E133,A133,5,B133,D133,C133)</f>
        <v>4.4856819490140861E-3</v>
      </c>
    </row>
    <row r="134" spans="1:19" x14ac:dyDescent="0.3">
      <c r="A134">
        <v>100</v>
      </c>
      <c r="B134">
        <f t="shared" si="6"/>
        <v>0.01</v>
      </c>
      <c r="C134">
        <v>0.2</v>
      </c>
      <c r="D134">
        <v>0</v>
      </c>
      <c r="E134" s="5">
        <v>135</v>
      </c>
      <c r="F134" cm="1">
        <f t="array" ref="F134">gamma_new(E134,A134,0.1,B134,D134,C134)</f>
        <v>4.8093577566927407E-7</v>
      </c>
      <c r="G134" cm="1">
        <f t="array" ref="G134">gamma_new(E134,A134,0.2,B134,D134,C134)</f>
        <v>9.4556994587265296E-5</v>
      </c>
      <c r="H134" cm="1">
        <f t="array" ref="H134">gamma_new(E134,A134,0.3,B134,D134,C134)</f>
        <v>5.0353481185787989E-4</v>
      </c>
      <c r="I134" cm="1">
        <f t="array" ref="I134">gamma_new(E134,A134,0.4,B134,D134,C134)</f>
        <v>1.1130292486590083E-3</v>
      </c>
      <c r="J134" cm="1">
        <f t="array" ref="J134">gamma_new(E134,A134,0.5,B134,D134,C134)</f>
        <v>1.7459186523562449E-3</v>
      </c>
      <c r="K134" cm="1">
        <f t="array" ref="K134">gamma_new(E134,A134,0.6,B134,D134,C134)</f>
        <v>2.3169614647433378E-3</v>
      </c>
      <c r="L134" cm="1">
        <f t="array" ref="L134">gamma_new(E134,A134,0.7,B134,D134,C134)</f>
        <v>2.8013465758306819E-3</v>
      </c>
      <c r="M134" cm="1">
        <f t="array" ref="M134">gamma_new(E134,A134,0.8,B134,D134,C134)</f>
        <v>3.2002933770762325E-3</v>
      </c>
      <c r="N134" cm="1">
        <f t="array" ref="N134">gamma_new(E134,A134,0.9,B134,D134,C134)</f>
        <v>3.5239585209983202E-3</v>
      </c>
      <c r="O134" cm="1">
        <f t="array" ref="O134">gamma_new(E134,A134,1,B134,D134,C134)</f>
        <v>3.7843224261389784E-3</v>
      </c>
      <c r="P134" cm="1">
        <f t="array" ref="P134">gamma_new(E134,A134,2,B134,D134,C134)</f>
        <v>4.6456697775222461E-3</v>
      </c>
      <c r="Q134" cm="1">
        <f t="array" ref="Q134">gamma_new(E134,A134,3,B134,D134,C134)</f>
        <v>4.5248469998567702E-3</v>
      </c>
      <c r="R134" cm="1">
        <f t="array" ref="R134">gamma_new(E134,A134,4,B134,D134,C134)</f>
        <v>4.2559078918170063E-3</v>
      </c>
      <c r="S134" cm="1">
        <f t="array" ref="S134">gamma_new(E134,A134,5,B134,D134,C134)</f>
        <v>3.9819655859202495E-3</v>
      </c>
    </row>
    <row r="135" spans="1:19" x14ac:dyDescent="0.3">
      <c r="A135">
        <v>100</v>
      </c>
      <c r="B135">
        <f t="shared" si="6"/>
        <v>0.01</v>
      </c>
      <c r="C135">
        <v>0.2</v>
      </c>
      <c r="D135">
        <v>0</v>
      </c>
      <c r="E135" s="5">
        <v>140</v>
      </c>
      <c r="F135" cm="1">
        <f t="array" ref="F135">gamma_new(E135,A135,0.1,B135,D135,C135)</f>
        <v>2.4984119686305787E-8</v>
      </c>
      <c r="G135" cm="1">
        <f t="array" ref="G135">gamma_new(E135,A135,0.2,B135,D135,C135)</f>
        <v>2.0876714879530865E-5</v>
      </c>
      <c r="H135" cm="1">
        <f t="array" ref="H135">gamma_new(E135,A135,0.3,B135,D135,C135)</f>
        <v>1.800784918926651E-4</v>
      </c>
      <c r="I135" cm="1">
        <f t="array" ref="I135">gamma_new(E135,A135,0.4,B135,D135,C135)</f>
        <v>5.0660659975445025E-4</v>
      </c>
      <c r="J135" cm="1">
        <f t="array" ref="J135">gamma_new(E135,A135,0.5,B135,D135,C135)</f>
        <v>9.1839058774420643E-4</v>
      </c>
      <c r="K135" cm="1">
        <f t="array" ref="K135">gamma_new(E135,A135,0.6,B135,D135,C135)</f>
        <v>1.3421930911671856E-3</v>
      </c>
      <c r="L135" cm="1">
        <f t="array" ref="L135">gamma_new(E135,A135,0.7,B135,D135,C135)</f>
        <v>1.7385470025647581E-3</v>
      </c>
      <c r="M135" cm="1">
        <f t="array" ref="M135">gamma_new(E135,A135,0.8,B135,D135,C135)</f>
        <v>2.0914714572423773E-3</v>
      </c>
      <c r="N135" cm="1">
        <f t="array" ref="N135">gamma_new(E135,A135,0.9,B135,D135,C135)</f>
        <v>2.3974428180687469E-3</v>
      </c>
      <c r="O135" cm="1">
        <f t="array" ref="O135">gamma_new(E135,A135,1,B135,D135,C135)</f>
        <v>2.6587031941631986E-3</v>
      </c>
      <c r="P135" cm="1">
        <f t="array" ref="P135">gamma_new(E135,A135,2,B135,D135,C135)</f>
        <v>3.7719785580502146E-3</v>
      </c>
      <c r="Q135" cm="1">
        <f t="array" ref="Q135">gamma_new(E135,A135,3,B135,D135,C135)</f>
        <v>3.855415263882422E-3</v>
      </c>
      <c r="R135" cm="1">
        <f t="array" ref="R135">gamma_new(E135,A135,4,B135,D135,C135)</f>
        <v>3.7147763845488606E-3</v>
      </c>
      <c r="S135" cm="1">
        <f t="array" ref="S135">gamma_new(E135,A135,5,B135,D135,C135)</f>
        <v>3.5263212434632854E-3</v>
      </c>
    </row>
    <row r="137" spans="1:19" x14ac:dyDescent="0.3">
      <c r="A137" t="s">
        <v>13</v>
      </c>
      <c r="B137" t="s">
        <v>14</v>
      </c>
      <c r="C137" t="s">
        <v>15</v>
      </c>
      <c r="D137" t="s">
        <v>26</v>
      </c>
      <c r="F137" s="7">
        <v>0.1</v>
      </c>
      <c r="G137" s="7">
        <v>0.2</v>
      </c>
      <c r="H137" s="7">
        <v>0.3</v>
      </c>
      <c r="I137" s="7">
        <v>0.4</v>
      </c>
      <c r="J137" s="7">
        <v>0.5</v>
      </c>
      <c r="K137" s="7">
        <v>0.6</v>
      </c>
      <c r="L137" s="7">
        <v>0.7</v>
      </c>
      <c r="M137" s="7">
        <v>0.8</v>
      </c>
      <c r="N137" s="7">
        <v>0.9</v>
      </c>
      <c r="O137" s="7">
        <v>1</v>
      </c>
      <c r="P137" s="7">
        <v>2</v>
      </c>
      <c r="Q137" s="7">
        <v>3</v>
      </c>
      <c r="R137" s="7">
        <v>4</v>
      </c>
      <c r="S137" s="7">
        <v>5</v>
      </c>
    </row>
    <row r="138" spans="1:19" x14ac:dyDescent="0.3">
      <c r="A138">
        <v>100</v>
      </c>
      <c r="B138">
        <f>1/100</f>
        <v>0.01</v>
      </c>
      <c r="C138">
        <v>0.05</v>
      </c>
      <c r="D138">
        <v>0</v>
      </c>
      <c r="E138" s="5">
        <v>60</v>
      </c>
      <c r="F138" cm="1">
        <f t="array" ref="F138">gamma_new(E138,A138,0.1,B138,D138,C138)</f>
        <v>9.3101583467928755E-227</v>
      </c>
      <c r="G138" cm="1">
        <f t="array" ref="G138">gamma_new(E138,A138,0.2,B138,D138,C138)</f>
        <v>1.3911330426641347E-113</v>
      </c>
      <c r="H138" cm="1">
        <f t="array" ref="H138">gamma_new(E138,A138,0.3,B138,D138,C138)</f>
        <v>6.754072170560386E-76</v>
      </c>
      <c r="I138" cm="1">
        <f t="array" ref="I138">gamma_new(E138,A138,0.4,B138,D138,C138)</f>
        <v>4.5047221070812431E-57</v>
      </c>
      <c r="J138" cm="1">
        <f t="array" ref="J138">gamma_new(E138,A138,0.5,B138,D138,C138)</f>
        <v>8.6440303065242587E-46</v>
      </c>
      <c r="K138" cm="1">
        <f t="array" ref="K138">gamma_new(E138,A138,0.6,B138,D138,C138)</f>
        <v>2.8254963042635182E-38</v>
      </c>
      <c r="L138" cm="1">
        <f t="array" ref="L138">gamma_new(E138,A138,0.7,B138,D138,C138)</f>
        <v>6.5012888927915614E-33</v>
      </c>
      <c r="M138" cm="1">
        <f t="array" ref="M138">gamma_new(E138,A138,0.8,B138,D138,C138)</f>
        <v>6.7649135570946765E-29</v>
      </c>
      <c r="N138" cm="1">
        <f t="array" ref="N138">gamma_new(E138,A138,0.9,B138,D138,C138)</f>
        <v>8.9440011499927672E-26</v>
      </c>
      <c r="O138" cm="1">
        <f t="array" ref="O138">gamma_new(E138,A138,1,B138,D138,C138)</f>
        <v>2.7919647089365428E-23</v>
      </c>
      <c r="P138" cm="1">
        <f t="array" ref="P138">gamma_new(E138,A138,2,B138,D138,C138)</f>
        <v>4.1400390540221403E-12</v>
      </c>
      <c r="Q138" cm="1">
        <f t="array" ref="Q138">gamma_new(E138,A138,3,B138,D138,C138)</f>
        <v>1.9746945436819669E-8</v>
      </c>
      <c r="R138" cm="1">
        <f t="array" ref="R138">gamma_new(E138,A138,4,B138,D138,C138)</f>
        <v>1.2906383845160562E-6</v>
      </c>
      <c r="S138" cm="1">
        <f t="array" ref="S138">gamma_new(E138,A138,5,B138,D138,C138)</f>
        <v>1.5297369277765619E-5</v>
      </c>
    </row>
    <row r="139" spans="1:19" x14ac:dyDescent="0.3">
      <c r="A139">
        <v>100</v>
      </c>
      <c r="B139">
        <f t="shared" ref="B139:B154" si="7">1/100</f>
        <v>0.01</v>
      </c>
      <c r="C139">
        <v>0.05</v>
      </c>
      <c r="D139">
        <v>0</v>
      </c>
      <c r="E139" s="5">
        <v>65</v>
      </c>
      <c r="F139" cm="1">
        <f t="array" ref="F139">gamma_new(E139,A139,0.1,B139,D139,C139)</f>
        <v>1.747260734780941E-161</v>
      </c>
      <c r="G139" cm="1">
        <f t="array" ref="G139">gamma_new(E139,A139,0.2,B139,D139,C139)</f>
        <v>4.8358542051806851E-81</v>
      </c>
      <c r="H139" cm="1">
        <f t="array" ref="H139">gamma_new(E139,A139,0.3,B139,D139,C139)</f>
        <v>2.8833997555930231E-54</v>
      </c>
      <c r="I139" cm="1">
        <f t="array" ref="I139">gamma_new(E139,A139,0.4,B139,D139,C139)</f>
        <v>6.7394503624664835E-41</v>
      </c>
      <c r="J139" cm="1">
        <f t="array" ref="J139">gamma_new(E139,A139,0.5,B139,D139,C139)</f>
        <v>6.8935533867540711E-33</v>
      </c>
      <c r="K139" cm="1">
        <f t="array" ref="K139">gamma_new(E139,A139,0.6,B139,D139,C139)</f>
        <v>1.4813870081129445E-27</v>
      </c>
      <c r="L139" cm="1">
        <f t="array" ref="L139">gamma_new(E139,A139,0.7,B139,D139,C139)</f>
        <v>9.4165644966110279E-24</v>
      </c>
      <c r="M139" cm="1">
        <f t="array" ref="M139">gamma_new(E139,A139,0.8,B139,D139,C139)</f>
        <v>6.6396425029528092E-21</v>
      </c>
      <c r="N139" cm="1">
        <f t="array" ref="N139">gamma_new(E139,A139,0.9,B139,D139,C139)</f>
        <v>1.0818918358551828E-18</v>
      </c>
      <c r="O139" cm="1">
        <f t="array" ref="O139">gamma_new(E139,A139,1,B139,D139,C139)</f>
        <v>6.3267046889792577E-17</v>
      </c>
      <c r="P139" cm="1">
        <f t="array" ref="P139">gamma_new(E139,A139,2,B139,D139,C139)</f>
        <v>5.0008343065501171E-9</v>
      </c>
      <c r="Q139" cm="1">
        <f t="array" ref="Q139">gamma_new(E139,A139,3,B139,D139,C139)</f>
        <v>1.9340220277297138E-6</v>
      </c>
      <c r="R139" cm="1">
        <f t="array" ref="R139">gamma_new(E139,A139,4,B139,D139,C139)</f>
        <v>3.5993808243163999E-5</v>
      </c>
      <c r="S139" cm="1">
        <f t="array" ref="S139">gamma_new(E139,A139,5,B139,D139,C139)</f>
        <v>2.007784101236069E-4</v>
      </c>
    </row>
    <row r="140" spans="1:19" x14ac:dyDescent="0.3">
      <c r="A140">
        <v>100</v>
      </c>
      <c r="B140">
        <f t="shared" si="7"/>
        <v>0.01</v>
      </c>
      <c r="C140">
        <v>0.05</v>
      </c>
      <c r="D140">
        <v>0</v>
      </c>
      <c r="E140" s="5">
        <v>70</v>
      </c>
      <c r="F140" cm="1">
        <f t="array" ref="F140">gamma_new(E140,A140,0.1,B140,D140,C140)</f>
        <v>5.6689907148791594E-111</v>
      </c>
      <c r="G140" cm="1">
        <f t="array" ref="G140">gamma_new(E140,A140,0.2,B140,D140,C140)</f>
        <v>7.104595130701175E-56</v>
      </c>
      <c r="H140" cm="1">
        <f t="array" ref="H140">gamma_new(E140,A140,0.3,B140,D140,C140)</f>
        <v>1.5098843872617693E-37</v>
      </c>
      <c r="I140" cm="1">
        <f t="array" ref="I140">gamma_new(E140,A140,0.4,B140,D140,C140)</f>
        <v>2.1069278662432505E-28</v>
      </c>
      <c r="J140" cm="1">
        <f t="array" ref="J140">gamma_new(E140,A140,0.5,B140,D140,C140)</f>
        <v>6.2959336441173744E-23</v>
      </c>
      <c r="K140" cm="1">
        <f t="array" ref="K140">gamma_new(E140,A140,0.6,B140,D140,C140)</f>
        <v>2.7649040891237214E-19</v>
      </c>
      <c r="L140" cm="1">
        <f t="array" ref="L140">gamma_new(E140,A140,0.7,B140,D140,C140)</f>
        <v>1.0915483615128318E-16</v>
      </c>
      <c r="M140" cm="1">
        <f t="array" ref="M140">gamma_new(E140,A140,0.8,B140,D140,C140)</f>
        <v>9.575234332808064E-15</v>
      </c>
      <c r="N140" cm="1">
        <f t="array" ref="N140">gamma_new(E140,A140,0.9,B140,D140,C140)</f>
        <v>3.0845107171406094E-13</v>
      </c>
      <c r="O140" cm="1">
        <f t="array" ref="O140">gamma_new(E140,A140,1,B140,D140,C140)</f>
        <v>4.9314903037006552E-12</v>
      </c>
      <c r="P140" cm="1">
        <f t="array" ref="P140">gamma_new(E140,A140,2,B140,D140,C140)</f>
        <v>1.1387670594531286E-6</v>
      </c>
      <c r="Q140" cm="1">
        <f t="array" ref="Q140">gamma_new(E140,A140,3,B140,D140,C140)</f>
        <v>6.295802812150548E-5</v>
      </c>
      <c r="R140" cm="1">
        <f t="array" ref="R140">gamma_new(E140,A140,4,B140,D140,C140)</f>
        <v>4.4301265744328011E-4</v>
      </c>
      <c r="S140" cm="1">
        <f t="array" ref="S140">gamma_new(E140,A140,5,B140,D140,C140)</f>
        <v>1.3786833416076715E-3</v>
      </c>
    </row>
    <row r="141" spans="1:19" x14ac:dyDescent="0.3">
      <c r="A141">
        <v>100</v>
      </c>
      <c r="B141">
        <f t="shared" si="7"/>
        <v>0.01</v>
      </c>
      <c r="C141">
        <v>0.05</v>
      </c>
      <c r="D141">
        <v>0</v>
      </c>
      <c r="E141" s="5">
        <v>75</v>
      </c>
      <c r="F141" cm="1">
        <f t="array" ref="F141">gamma_new(E141,A141,0.1,B141,D141,C141)</f>
        <v>1.594903646367211E-72</v>
      </c>
      <c r="G141" cm="1">
        <f t="array" ref="G141">gamma_new(E141,A141,0.2,B141,D141,C141)</f>
        <v>9.8572284584125236E-37</v>
      </c>
      <c r="H141" cm="1">
        <f t="array" ref="H141">gamma_new(E141,A141,0.3,B141,D141,C141)</f>
        <v>7.6822442390038784E-25</v>
      </c>
      <c r="I141" cm="1">
        <f t="array" ref="I141">gamma_new(E141,A141,0.4,B141,D141,C141)</f>
        <v>6.4917015757332732E-19</v>
      </c>
      <c r="J141" cm="1">
        <f t="array" ref="J141">gamma_new(E141,A141,0.5,B141,D141,C141)</f>
        <v>2.2754521137474166E-15</v>
      </c>
      <c r="K141" cm="1">
        <f t="array" ref="K141">gamma_new(E141,A141,0.6,B141,D141,C141)</f>
        <v>5.15885610720555E-13</v>
      </c>
      <c r="L141" cm="1">
        <f t="array" ref="L141">gamma_new(E141,A141,0.7,B141,D141,C141)</f>
        <v>2.4520806151785581E-11</v>
      </c>
      <c r="M141" cm="1">
        <f t="array" ref="M141">gamma_new(E141,A141,0.8,B141,D141,C141)</f>
        <v>4.3964788356021363E-10</v>
      </c>
      <c r="N141" cm="1">
        <f t="array" ref="N141">gamma_new(E141,A141,0.9,B141,D141,C141)</f>
        <v>4.119418703534871E-9</v>
      </c>
      <c r="O141" cm="1">
        <f t="array" ref="O141">gamma_new(E141,A141,1,B141,D141,C141)</f>
        <v>2.4523536448340147E-8</v>
      </c>
      <c r="P141" cm="1">
        <f t="array" ref="P141">gamma_new(E141,A141,2,B141,D141,C141)</f>
        <v>6.6426059345663912E-5</v>
      </c>
      <c r="Q141" cm="1">
        <f t="array" ref="Q141">gamma_new(E141,A141,3,B141,D141,C141)</f>
        <v>8.3442556817073157E-4</v>
      </c>
      <c r="R141" cm="1">
        <f t="array" ref="R141">gamma_new(E141,A141,4,B141,D141,C141)</f>
        <v>2.7987819670287147E-3</v>
      </c>
      <c r="S141" cm="1">
        <f t="array" ref="S141">gamma_new(E141,A141,5,B141,D141,C141)</f>
        <v>5.5840246687423965E-3</v>
      </c>
    </row>
    <row r="142" spans="1:19" x14ac:dyDescent="0.3">
      <c r="A142">
        <v>100</v>
      </c>
      <c r="B142">
        <f t="shared" si="7"/>
        <v>0.01</v>
      </c>
      <c r="C142">
        <v>0.05</v>
      </c>
      <c r="D142">
        <v>0</v>
      </c>
      <c r="E142" s="5">
        <v>80</v>
      </c>
      <c r="F142" cm="1">
        <f t="array" ref="F142">gamma_new(E142,A142,0.1,B142,D142,C142)</f>
        <v>4.8323335546015566E-44</v>
      </c>
      <c r="G142" cm="1">
        <f t="array" ref="G142">gamma_new(E142,A142,0.2,B142,D142,C142)</f>
        <v>1.4367693634291653E-22</v>
      </c>
      <c r="H142" cm="1">
        <f t="array" ref="H142">gamma_new(E142,A142,0.3,B142,D142,C142)</f>
        <v>1.8902689834890249E-15</v>
      </c>
      <c r="I142" cm="1">
        <f t="array" ref="I142">gamma_new(E142,A142,0.4,B142,D142,C142)</f>
        <v>6.5628983163221472E-12</v>
      </c>
      <c r="J142" cm="1">
        <f t="array" ref="J142">gamma_new(E142,A142,0.5,B142,D142,C142)</f>
        <v>8.5118861694752196E-10</v>
      </c>
      <c r="K142" cm="1">
        <f t="array" ref="K142">gamma_new(E142,A142,0.6,B142,D142,C142)</f>
        <v>2.1428519843035006E-8</v>
      </c>
      <c r="L142" cm="1">
        <f t="array" ref="L142">gamma_new(E142,A142,0.7,B142,D142,C142)</f>
        <v>2.1192098747547225E-7</v>
      </c>
      <c r="M142" cm="1">
        <f t="array" ref="M142">gamma_new(E142,A142,0.8,B142,D142,C142)</f>
        <v>1.1705623764161017E-6</v>
      </c>
      <c r="N142" cm="1">
        <f t="array" ref="N142">gamma_new(E142,A142,0.9,B142,D142,C142)</f>
        <v>4.3894399894835313E-6</v>
      </c>
      <c r="O142" cm="1">
        <f t="array" ref="O142">gamma_new(E142,A142,1,B142,D142,C142)</f>
        <v>1.2559812667617155E-5</v>
      </c>
      <c r="P142" cm="1">
        <f t="array" ref="P142">gamma_new(E142,A142,2,B142,D142,C142)</f>
        <v>1.2588081064107146E-3</v>
      </c>
      <c r="Q142" cm="1">
        <f t="array" ref="Q142">gamma_new(E142,A142,3,B142,D142,C142)</f>
        <v>5.2692520247691749E-3</v>
      </c>
      <c r="R142" cm="1">
        <f t="array" ref="R142">gamma_new(E142,A142,4,B142,D142,C142)</f>
        <v>1.0202358921395951E-2</v>
      </c>
      <c r="S142" cm="1">
        <f t="array" ref="S142">gamma_new(E142,A142,5,B142,D142,C142)</f>
        <v>1.4638647635320289E-2</v>
      </c>
    </row>
    <row r="143" spans="1:19" x14ac:dyDescent="0.3">
      <c r="A143">
        <v>100</v>
      </c>
      <c r="B143">
        <f t="shared" si="7"/>
        <v>0.01</v>
      </c>
      <c r="C143">
        <v>0.05</v>
      </c>
      <c r="D143">
        <v>0</v>
      </c>
      <c r="E143" s="5">
        <v>85</v>
      </c>
      <c r="F143" cm="1">
        <f t="array" ref="F143">gamma_new(E143,A143,0.1,B143,D143,C143)</f>
        <v>7.0390717286316979E-24</v>
      </c>
      <c r="G143" cm="1">
        <f t="array" ref="G143">gamma_new(E143,A143,0.2,B143,D143,C143)</f>
        <v>1.4677825516503268E-12</v>
      </c>
      <c r="H143" cm="1">
        <f t="array" ref="H143">gamma_new(E143,A143,0.3,B143,D143,C143)</f>
        <v>7.9634940852201223E-9</v>
      </c>
      <c r="I143" cm="1">
        <f t="array" ref="I143">gamma_new(E143,A143,0.4,B143,D143,C143)</f>
        <v>5.6147241572816821E-7</v>
      </c>
      <c r="J143" cm="1">
        <f t="array" ref="J143">gamma_new(E143,A143,0.5,B143,D143,C143)</f>
        <v>7.0282981093247269E-6</v>
      </c>
      <c r="K143" cm="1">
        <f t="array" ref="K143">gamma_new(E143,A143,0.6,B143,D143,C143)</f>
        <v>3.7228678365683759E-5</v>
      </c>
      <c r="L143" cm="1">
        <f t="array" ref="L143">gamma_new(E143,A143,0.7,B143,D143,C143)</f>
        <v>1.2092932063345309E-4</v>
      </c>
      <c r="M143" cm="1">
        <f t="array" ref="M143">gamma_new(E143,A143,0.8,B143,D143,C143)</f>
        <v>2.8980532050387742E-4</v>
      </c>
      <c r="N143" cm="1">
        <f t="array" ref="N143">gamma_new(E143,A143,0.9,B143,D143,C143)</f>
        <v>5.6762697386015149E-4</v>
      </c>
      <c r="O143" cm="1">
        <f t="array" ref="O143">gamma_new(E143,A143,1,B143,D143,C143)</f>
        <v>9.6603033416123535E-4</v>
      </c>
      <c r="P143" cm="1">
        <f t="array" ref="P143">gamma_new(E143,A143,2,B143,D143,C143)</f>
        <v>9.3445577105268299E-3</v>
      </c>
      <c r="Q143" cm="1">
        <f t="array" ref="Q143">gamma_new(E143,A143,3,B143,D143,C143)</f>
        <v>1.7942325442778528E-2</v>
      </c>
      <c r="R143" cm="1">
        <f t="array" ref="R143">gamma_new(E143,A143,4,B143,D143,C143)</f>
        <v>2.3528575066977354E-2</v>
      </c>
      <c r="S143" cm="1">
        <f t="array" ref="S143">gamma_new(E143,A143,5,B143,D143,C143)</f>
        <v>2.6721150130813755E-2</v>
      </c>
    </row>
    <row r="144" spans="1:19" x14ac:dyDescent="0.3">
      <c r="A144">
        <v>100</v>
      </c>
      <c r="B144">
        <f t="shared" si="7"/>
        <v>0.01</v>
      </c>
      <c r="C144">
        <v>0.05</v>
      </c>
      <c r="D144">
        <v>0</v>
      </c>
      <c r="E144" s="5">
        <v>90</v>
      </c>
      <c r="F144" cm="1">
        <f t="array" ref="F144">gamma_new(E144,A144,0.1,B144,D144,C144)</f>
        <v>1.0243334389117949E-10</v>
      </c>
      <c r="G144" cm="1">
        <f t="array" ref="G144">gamma_new(E144,A144,0.2,B144,D144,C144)</f>
        <v>4.7847565457410146E-6</v>
      </c>
      <c r="H144" cm="1">
        <f t="array" ref="H144">gamma_new(E144,A144,0.3,B144,D144,C144)</f>
        <v>1.5766156796582912E-4</v>
      </c>
      <c r="I144" cm="1">
        <f t="array" ref="I144">gamma_new(E144,A144,0.4,B144,D144,C144)</f>
        <v>8.6628866509568772E-4</v>
      </c>
      <c r="J144" cm="1">
        <f t="array" ref="J144">gamma_new(E144,A144,0.5,B144,D144,C144)</f>
        <v>2.3453712521940293E-3</v>
      </c>
      <c r="K144" cm="1">
        <f t="array" ref="K144">gamma_new(E144,A144,0.6,B144,D144,C144)</f>
        <v>4.4763481165341866E-3</v>
      </c>
      <c r="L144" cm="1">
        <f t="array" ref="L144">gamma_new(E144,A144,0.7,B144,D144,C144)</f>
        <v>7.0133278491487849E-3</v>
      </c>
      <c r="M144" cm="1">
        <f t="array" ref="M144">gamma_new(E144,A144,0.8,B144,D144,C144)</f>
        <v>9.7276649245573409E-3</v>
      </c>
      <c r="N144" cm="1">
        <f t="array" ref="N144">gamma_new(E144,A144,0.9,B144,D144,C144)</f>
        <v>1.2452329709849587E-2</v>
      </c>
      <c r="O144" cm="1">
        <f t="array" ref="O144">gamma_new(E144,A144,1,B144,D144,C144)</f>
        <v>1.5080183297684395E-2</v>
      </c>
      <c r="P144" cm="1">
        <f t="array" ref="P144">gamma_new(E144,A144,2,B144,D144,C144)</f>
        <v>3.155017870683352E-2</v>
      </c>
      <c r="Q144" cm="1">
        <f t="array" ref="Q144">gamma_new(E144,A144,3,B144,D144,C144)</f>
        <v>3.6363376976884097E-2</v>
      </c>
      <c r="R144" cm="1">
        <f t="array" ref="R144">gamma_new(E144,A144,4,B144,D144,C144)</f>
        <v>3.6944713887083543E-2</v>
      </c>
      <c r="S144" cm="1">
        <f t="array" ref="S144">gamma_new(E144,A144,5,B144,D144,C144)</f>
        <v>3.6000998812288999E-2</v>
      </c>
    </row>
    <row r="145" spans="1:19" x14ac:dyDescent="0.3">
      <c r="A145">
        <v>100</v>
      </c>
      <c r="B145">
        <f t="shared" si="7"/>
        <v>0.01</v>
      </c>
      <c r="C145">
        <v>0.05</v>
      </c>
      <c r="D145">
        <v>0</v>
      </c>
      <c r="E145" s="5">
        <v>95</v>
      </c>
      <c r="F145" cm="1">
        <f t="array" ref="F145">gamma_new(E145,A145,0.1,B145,D145,C145)</f>
        <v>1.73022100813276E-3</v>
      </c>
      <c r="G145" cm="1">
        <f t="array" ref="G145">gamma_new(E145,A145,0.2,B145,D145,C145)</f>
        <v>1.6947941136303581E-2</v>
      </c>
      <c r="H145" cm="1">
        <f t="array" ref="H145">gamma_new(E145,A145,0.3,B145,D145,C145)</f>
        <v>3.3177875014810738E-2</v>
      </c>
      <c r="I145" cm="1">
        <f t="array" ref="I145">gamma_new(E145,A145,0.4,B145,D145,C145)</f>
        <v>4.4434282232026202E-2</v>
      </c>
      <c r="J145" cm="1">
        <f t="array" ref="J145">gamma_new(E145,A145,0.5,B145,D145,C145)</f>
        <v>5.1573525705671558E-2</v>
      </c>
      <c r="K145" cm="1">
        <f t="array" ref="K145">gamma_new(E145,A145,0.6,B145,D145,C145)</f>
        <v>5.5964445164286031E-2</v>
      </c>
      <c r="L145" cm="1">
        <f t="array" ref="L145">gamma_new(E145,A145,0.7,B145,D145,C145)</f>
        <v>5.8580144216244641E-2</v>
      </c>
      <c r="M145" cm="1">
        <f t="array" ref="M145">gamma_new(E145,A145,0.8,B145,D145,C145)</f>
        <v>6.004313471527823E-2</v>
      </c>
      <c r="N145" cm="1">
        <f t="array" ref="N145">gamma_new(E145,A145,0.9,B145,D145,C145)</f>
        <v>6.0747372987125806E-2</v>
      </c>
      <c r="O145" cm="1">
        <f t="array" ref="O145">gamma_new(E145,A145,1,B145,D145,C145)</f>
        <v>6.0945440301272615E-2</v>
      </c>
      <c r="P145" cm="1">
        <f t="array" ref="P145">gamma_new(E145,A145,2,B145,D145,C145)</f>
        <v>5.4663333092534912E-2</v>
      </c>
      <c r="Q145" cm="1">
        <f t="array" ref="Q145">gamma_new(E145,A145,3,B145,D145,C145)</f>
        <v>4.7505627206650643E-2</v>
      </c>
      <c r="R145" cm="1">
        <f t="array" ref="R145">gamma_new(E145,A145,4,B145,D145,C145)</f>
        <v>4.191084690578592E-2</v>
      </c>
      <c r="S145" cm="1">
        <f t="array" ref="S145">gamma_new(E145,A145,5,B145,D145,C145)</f>
        <v>3.7523612980548814E-2</v>
      </c>
    </row>
    <row r="146" spans="1:19" x14ac:dyDescent="0.3">
      <c r="A146">
        <v>100</v>
      </c>
      <c r="B146">
        <f t="shared" si="7"/>
        <v>0.01</v>
      </c>
      <c r="C146">
        <v>0.05</v>
      </c>
      <c r="D146">
        <v>0</v>
      </c>
      <c r="E146" s="5">
        <v>100</v>
      </c>
      <c r="F146" cm="1">
        <f t="array" ref="F146">gamma_new(E146,A146,0.1,B146,D146,C146)</f>
        <v>0.25167539191488181</v>
      </c>
      <c r="G146" cm="1">
        <f t="array" ref="G146">gamma_new(E146,A146,0.2,B146,D146,C146)</f>
        <v>0.17751148118577875</v>
      </c>
      <c r="H146" cm="1">
        <f t="array" ref="H146">gamma_new(E146,A146,0.3,B146,D146,C146)</f>
        <v>0.14457110830475553</v>
      </c>
      <c r="I146" cm="1">
        <f t="array" ref="I146">gamma_new(E146,A146,0.4,B146,D146,C146)</f>
        <v>0.12488573500507286</v>
      </c>
      <c r="J146" cm="1">
        <f t="array" ref="J146">gamma_new(E146,A146,0.5,B146,D146,C146)</f>
        <v>0.11141881104694058</v>
      </c>
      <c r="K146" cm="1">
        <f t="array" ref="K146">gamma_new(E146,A146,0.6,B146,D146,C146)</f>
        <v>0.10145386318349017</v>
      </c>
      <c r="L146" cm="1">
        <f t="array" ref="L146">gamma_new(E146,A146,0.7,B146,D146,C146)</f>
        <v>9.3690571075047593E-2</v>
      </c>
      <c r="M146" cm="1">
        <f t="array" ref="M146">gamma_new(E146,A146,0.8,B146,D146,C146)</f>
        <v>8.741794736449704E-2</v>
      </c>
      <c r="N146" cm="1">
        <f t="array" ref="N146">gamma_new(E146,A146,0.9,B146,D146,C146)</f>
        <v>8.2210073332029704E-2</v>
      </c>
      <c r="O146" cm="1">
        <f t="array" ref="O146">gamma_new(E146,A146,1,B146,D146,C146)</f>
        <v>7.7794157607349895E-2</v>
      </c>
      <c r="P146" cm="1">
        <f t="array" ref="P146">gamma_new(E146,A146,2,B146,D146,C146)</f>
        <v>5.3633841658164212E-2</v>
      </c>
      <c r="Q146" cm="1">
        <f t="array" ref="Q146">gamma_new(E146,A146,3,B146,D146,C146)</f>
        <v>4.2697278763395775E-2</v>
      </c>
      <c r="R146" cm="1">
        <f t="array" ref="R146">gamma_new(E146,A146,4,B146,D146,C146)</f>
        <v>3.6052696246164792E-2</v>
      </c>
      <c r="S146" cm="1">
        <f t="array" ref="S146">gamma_new(E146,A146,5,B146,D146,C146)</f>
        <v>3.1440515920966292E-2</v>
      </c>
    </row>
    <row r="147" spans="1:19" x14ac:dyDescent="0.3">
      <c r="A147">
        <v>100</v>
      </c>
      <c r="B147">
        <f t="shared" si="7"/>
        <v>0.01</v>
      </c>
      <c r="C147">
        <v>0.05</v>
      </c>
      <c r="D147">
        <v>0</v>
      </c>
      <c r="E147" s="5">
        <v>105</v>
      </c>
      <c r="F147" cm="1">
        <f t="array" ref="F147">gamma_new(E147,A147,0.1,B147,D147,C147)</f>
        <v>1.6467999615219246E-3</v>
      </c>
      <c r="G147" cm="1">
        <f t="array" ref="G147">gamma_new(E147,A147,0.2,B147,D147,C147)</f>
        <v>1.2556133445484136E-2</v>
      </c>
      <c r="H147" cm="1">
        <f t="array" ref="H147">gamma_new(E147,A147,0.3,B147,D147,C147)</f>
        <v>2.2611052516179498E-2</v>
      </c>
      <c r="I147" cm="1">
        <f t="array" ref="I147">gamma_new(E147,A147,0.4,B147,D147,C147)</f>
        <v>2.9044038192609204E-2</v>
      </c>
      <c r="J147" cm="1">
        <f t="array" ref="J147">gamma_new(E147,A147,0.5,B147,D147,C147)</f>
        <v>3.2876503484447317E-2</v>
      </c>
      <c r="K147" cm="1">
        <f t="array" ref="K147">gamma_new(E147,A147,0.6,B147,D147,C147)</f>
        <v>3.5084690564418715E-2</v>
      </c>
      <c r="L147" cm="1">
        <f t="array" ref="L147">gamma_new(E147,A147,0.7,B147,D147,C147)</f>
        <v>3.6288993115417542E-2</v>
      </c>
      <c r="M147" cm="1">
        <f t="array" ref="M147">gamma_new(E147,A147,0.8,B147,D147,C147)</f>
        <v>3.6863970917085223E-2</v>
      </c>
      <c r="N147" cm="1">
        <f t="array" ref="N147">gamma_new(E147,A147,0.9,B147,D147,C147)</f>
        <v>3.703770160268266E-2</v>
      </c>
      <c r="O147" cm="1">
        <f t="array" ref="O147">gamma_new(E147,A147,1,B147,D147,C147)</f>
        <v>3.6952171211840808E-2</v>
      </c>
      <c r="P147" cm="1">
        <f t="array" ref="P147">gamma_new(E147,A147,2,B147,D147,C147)</f>
        <v>3.2323235216493842E-2</v>
      </c>
      <c r="Q147" cm="1">
        <f t="array" ref="Q147">gamma_new(E147,A147,3,B147,D147,C147)</f>
        <v>2.7857176339322005E-2</v>
      </c>
      <c r="R147" cm="1">
        <f t="array" ref="R147">gamma_new(E147,A147,4,B147,D147,C147)</f>
        <v>2.4474010139679658E-2</v>
      </c>
      <c r="S147" cm="1">
        <f t="array" ref="S147">gamma_new(E147,A147,5,B147,D147,C147)</f>
        <v>2.1857241150467718E-2</v>
      </c>
    </row>
    <row r="148" spans="1:19" x14ac:dyDescent="0.3">
      <c r="A148">
        <v>100</v>
      </c>
      <c r="B148">
        <f t="shared" si="7"/>
        <v>0.01</v>
      </c>
      <c r="C148">
        <v>0.05</v>
      </c>
      <c r="D148">
        <v>0</v>
      </c>
      <c r="E148" s="5">
        <v>110</v>
      </c>
      <c r="F148" cm="1">
        <f t="array" ref="F148">gamma_new(E148,A148,0.1,B148,D148,C148)</f>
        <v>1.9181936774384374E-9</v>
      </c>
      <c r="G148" cm="1">
        <f t="array" ref="G148">gamma_new(E148,A148,0.2,B148,D148,C148)</f>
        <v>1.1924012275408867E-5</v>
      </c>
      <c r="H148" cm="1">
        <f t="array" ref="H148">gamma_new(E148,A148,0.3,B148,D148,C148)</f>
        <v>2.0059752270192206E-4</v>
      </c>
      <c r="I148" cm="1">
        <f t="array" ref="I148">gamma_new(E148,A148,0.4,B148,D148,C148)</f>
        <v>7.8755507296034036E-4</v>
      </c>
      <c r="J148" cm="1">
        <f t="array" ref="J148">gamma_new(E148,A148,0.5,B148,D148,C148)</f>
        <v>1.7427738925379489E-3</v>
      </c>
      <c r="K148" cm="1">
        <f t="array" ref="K148">gamma_new(E148,A148,0.6,B148,D148,C148)</f>
        <v>2.9077745568898174E-3</v>
      </c>
      <c r="L148" cm="1">
        <f t="array" ref="L148">gamma_new(E148,A148,0.7,B148,D148,C148)</f>
        <v>4.1385865503333411E-3</v>
      </c>
      <c r="M148" cm="1">
        <f t="array" ref="M148">gamma_new(E148,A148,0.8,B148,D148,C148)</f>
        <v>5.3413959170241568E-3</v>
      </c>
      <c r="N148" cm="1">
        <f t="array" ref="N148">gamma_new(E148,A148,0.9,B148,D148,C148)</f>
        <v>6.4649704130358135E-3</v>
      </c>
      <c r="O148" cm="1">
        <f t="array" ref="O148">gamma_new(E148,A148,1,B148,D148,C148)</f>
        <v>7.4861471767366855E-3</v>
      </c>
      <c r="P148" cm="1">
        <f t="array" ref="P148">gamma_new(E148,A148,2,B148,D148,C148)</f>
        <v>1.2801613487678231E-2</v>
      </c>
      <c r="Q148" cm="1">
        <f t="array" ref="Q148">gamma_new(E148,A148,3,B148,D148,C148)</f>
        <v>1.3795289249153533E-2</v>
      </c>
      <c r="R148" cm="1">
        <f t="array" ref="R148">gamma_new(E148,A148,4,B148,D148,C148)</f>
        <v>1.3552542188871291E-2</v>
      </c>
      <c r="S148" cm="1">
        <f t="array" ref="S148">gamma_new(E148,A148,5,B148,D148,C148)</f>
        <v>1.2942677357926544E-2</v>
      </c>
    </row>
    <row r="149" spans="1:19" x14ac:dyDescent="0.3">
      <c r="A149">
        <v>100</v>
      </c>
      <c r="B149">
        <f t="shared" si="7"/>
        <v>0.01</v>
      </c>
      <c r="C149">
        <v>0.05</v>
      </c>
      <c r="D149">
        <v>0</v>
      </c>
      <c r="E149" s="5">
        <v>115</v>
      </c>
      <c r="F149" cm="1">
        <f t="array" ref="F149">gamma_new(E149,A149,0.1,B149,D149,C149)</f>
        <v>1.2603945019359722E-18</v>
      </c>
      <c r="G149" cm="1">
        <f t="array" ref="G149">gamma_new(E149,A149,0.2,B149,D149,C149)</f>
        <v>2.7048317777097782E-10</v>
      </c>
      <c r="H149" cm="1">
        <f t="array" ref="H149">gamma_new(E149,A149,0.3,B149,D149,C149)</f>
        <v>1.481646767725482E-7</v>
      </c>
      <c r="I149" cm="1">
        <f t="array" ref="I149">gamma_new(E149,A149,0.4,B149,D149,C149)</f>
        <v>3.3193318974190836E-6</v>
      </c>
      <c r="J149" cm="1">
        <f t="array" ref="J149">gamma_new(E149,A149,0.5,B149,D149,C149)</f>
        <v>2.0884360030794242E-5</v>
      </c>
      <c r="K149" cm="1">
        <f t="array" ref="K149">gamma_new(E149,A149,0.6,B149,D149,C149)</f>
        <v>6.9932831332127887E-5</v>
      </c>
      <c r="L149" cm="1">
        <f t="array" ref="L149">gamma_new(E149,A149,0.7,B149,D149,C149)</f>
        <v>1.6370901766348724E-4</v>
      </c>
      <c r="M149" cm="1">
        <f t="array" ref="M149">gamma_new(E149,A149,0.8,B149,D149,C149)</f>
        <v>3.0686719695878099E-4</v>
      </c>
      <c r="N149" cm="1">
        <f t="array" ref="N149">gamma_new(E149,A149,0.9,B149,D149,C149)</f>
        <v>4.9650162794331008E-4</v>
      </c>
      <c r="O149" cm="1">
        <f t="array" ref="O149">gamma_new(E149,A149,1,B149,D149,C149)</f>
        <v>7.2520242441002014E-4</v>
      </c>
      <c r="P149" cm="1">
        <f t="array" ref="P149">gamma_new(E149,A149,2,B149,D149,C149)</f>
        <v>3.5259485996746286E-3</v>
      </c>
      <c r="Q149" cm="1">
        <f t="array" ref="Q149">gamma_new(E149,A149,3,B149,D149,C149)</f>
        <v>5.3828490839793056E-3</v>
      </c>
      <c r="R149" cm="1">
        <f t="array" ref="R149">gamma_new(E149,A149,4,B149,D149,C149)</f>
        <v>6.2941519657690485E-3</v>
      </c>
      <c r="S149" cm="1">
        <f t="array" ref="S149">gamma_new(E149,A149,5,B149,D149,C149)</f>
        <v>6.6730075984318864E-3</v>
      </c>
    </row>
    <row r="150" spans="1:19" x14ac:dyDescent="0.3">
      <c r="A150">
        <v>100</v>
      </c>
      <c r="B150">
        <f t="shared" si="7"/>
        <v>0.01</v>
      </c>
      <c r="C150">
        <v>0.05</v>
      </c>
      <c r="D150">
        <v>0</v>
      </c>
      <c r="E150" s="5">
        <v>120</v>
      </c>
      <c r="F150" cm="1">
        <f t="array" ref="F150">gamma_new(E150,A150,0.1,B150,D150,C150)</f>
        <v>1.2372224837677774E-30</v>
      </c>
      <c r="G150" cm="1">
        <f t="array" ref="G150">gamma_new(E150,A150,0.2,B150,D150,C150)</f>
        <v>2.3838643903555184E-16</v>
      </c>
      <c r="H150" cm="1">
        <f t="array" ref="H150">gamma_new(E150,A150,0.3,B150,D150,C150)</f>
        <v>1.2597546157315032E-11</v>
      </c>
      <c r="I150" cm="1">
        <f t="array" ref="I150">gamma_new(E150,A150,0.4,B150,D150,C150)</f>
        <v>2.7719918992984113E-9</v>
      </c>
      <c r="J150" cm="1">
        <f t="array" ref="J150">gamma_new(E150,A150,0.5,B150,D150,C150)</f>
        <v>6.8688249271277048E-8</v>
      </c>
      <c r="K150" cm="1">
        <f t="array" ref="K150">gamma_new(E150,A150,0.6,B150,D150,C150)</f>
        <v>5.7361749178651353E-7</v>
      </c>
      <c r="L150" cm="1">
        <f t="array" ref="L150">gamma_new(E150,A150,0.7,B150,D150,C150)</f>
        <v>2.579286532374726E-6</v>
      </c>
      <c r="M150" cm="1">
        <f t="array" ref="M150">gamma_new(E150,A150,0.8,B150,D150,C150)</f>
        <v>7.8884511305600306E-6</v>
      </c>
      <c r="N150" cm="1">
        <f t="array" ref="N150">gamma_new(E150,A150,0.9,B150,D150,C150)</f>
        <v>1.8677924521023903E-5</v>
      </c>
      <c r="O150" cm="1">
        <f t="array" ref="O150">gamma_new(E150,A150,1,B150,D150,C150)</f>
        <v>3.6996489716055837E-5</v>
      </c>
      <c r="P150" cm="1">
        <f t="array" ref="P150">gamma_new(E150,A150,2,B150,D150,C150)</f>
        <v>7.0843049486281199E-4</v>
      </c>
      <c r="Q150" cm="1">
        <f t="array" ref="Q150">gamma_new(E150,A150,3,B150,D150,C150)</f>
        <v>1.7079433975186139E-3</v>
      </c>
      <c r="R150" cm="1">
        <f t="array" ref="R150">gamma_new(E150,A150,4,B150,D150,C150)</f>
        <v>2.5096808328419675E-3</v>
      </c>
      <c r="S150" cm="1">
        <f t="array" ref="S150">gamma_new(E150,A150,5,B150,D150,C150)</f>
        <v>3.0516511716559619E-3</v>
      </c>
    </row>
    <row r="151" spans="1:19" x14ac:dyDescent="0.3">
      <c r="A151">
        <v>100</v>
      </c>
      <c r="B151">
        <f t="shared" si="7"/>
        <v>0.01</v>
      </c>
      <c r="C151">
        <v>0.05</v>
      </c>
      <c r="D151">
        <v>0</v>
      </c>
      <c r="E151" s="5">
        <v>125</v>
      </c>
      <c r="F151" cm="1">
        <f t="array" ref="F151">gamma_new(E151,A151,0.1,B151,D151,C151)</f>
        <v>4.150942916075281E-45</v>
      </c>
      <c r="G151" cm="1">
        <f t="array" ref="G151">gamma_new(E151,A151,0.2,B151,D151,C151)</f>
        <v>1.2341754855645672E-23</v>
      </c>
      <c r="H151" cm="1">
        <f t="array" ref="H151">gamma_new(E151,A151,0.3,B151,D151,C151)</f>
        <v>1.6237286929456729E-16</v>
      </c>
      <c r="I151" cm="1">
        <f t="array" ref="I151">gamma_new(E151,A151,0.4,B151,D151,C151)</f>
        <v>5.6374867271153429E-13</v>
      </c>
      <c r="J151" cm="1">
        <f t="array" ref="J151">gamma_new(E151,A151,0.5,B151,D151,C151)</f>
        <v>7.3116545450341144E-11</v>
      </c>
      <c r="K151" cm="1">
        <f t="array" ref="K151">gamma_new(E151,A151,0.6,B151,D151,C151)</f>
        <v>1.8406958385504377E-9</v>
      </c>
      <c r="L151" cm="1">
        <f t="array" ref="L151">gamma_new(E151,A151,0.7,B151,D151,C151)</f>
        <v>1.8203874210863437E-8</v>
      </c>
      <c r="M151" cm="1">
        <f t="array" ref="M151">gamma_new(E151,A151,0.8,B151,D151,C151)</f>
        <v>1.0055054249270339E-7</v>
      </c>
      <c r="N151" cm="1">
        <f t="array" ref="N151">gamma_new(E151,A151,0.9,B151,D151,C151)</f>
        <v>3.7705002405172564E-7</v>
      </c>
      <c r="O151" cm="1">
        <f t="array" ref="O151">gamma_new(E151,A151,1,B151,D151,C151)</f>
        <v>1.0788796930260339E-6</v>
      </c>
      <c r="P151" cm="1">
        <f t="array" ref="P151">gamma_new(E151,A151,2,B151,D151,C151)</f>
        <v>1.0813079297947399E-4</v>
      </c>
      <c r="Q151" cm="1">
        <f t="array" ref="Q151">gamma_new(E151,A151,3,B151,D151,C151)</f>
        <v>4.5262530241530716E-4</v>
      </c>
      <c r="R151" cm="1">
        <f t="array" ref="R151">gamma_new(E151,A151,4,B151,D151,C151)</f>
        <v>8.7637595818898875E-4</v>
      </c>
      <c r="S151" cm="1">
        <f t="array" ref="S151">gamma_new(E151,A151,5,B151,D151,C151)</f>
        <v>1.2574502570273684E-3</v>
      </c>
    </row>
    <row r="152" spans="1:19" x14ac:dyDescent="0.3">
      <c r="A152">
        <v>100</v>
      </c>
      <c r="B152">
        <f t="shared" si="7"/>
        <v>0.01</v>
      </c>
      <c r="C152">
        <v>0.05</v>
      </c>
      <c r="D152">
        <v>0</v>
      </c>
      <c r="E152" s="5">
        <v>130</v>
      </c>
      <c r="F152" cm="1">
        <f t="array" ref="F152">gamma_new(E152,A152,0.1,B152,D152,C152)</f>
        <v>9.6566096893110887E-62</v>
      </c>
      <c r="G152" cm="1">
        <f t="array" ref="G152">gamma_new(E152,A152,0.2,B152,D152,C152)</f>
        <v>5.344095263071139E-32</v>
      </c>
      <c r="H152" cm="1">
        <f t="array" ref="H152">gamma_new(E152,A152,0.3,B152,D152,C152)</f>
        <v>4.0143681049703234E-22</v>
      </c>
      <c r="I152" cm="1">
        <f t="array" ref="I152">gamma_new(E152,A152,0.4,B152,D152,C152)</f>
        <v>3.3303700096947418E-17</v>
      </c>
      <c r="J152" cm="1">
        <f t="array" ref="J152">gamma_new(E152,A152,0.5,B152,D152,C152)</f>
        <v>2.9000437821153298E-14</v>
      </c>
      <c r="K152" cm="1">
        <f t="array" ref="K152">gamma_new(E152,A152,0.6,B152,D152,C152)</f>
        <v>2.598317459048168E-12</v>
      </c>
      <c r="L152" cm="1">
        <f t="array" ref="L152">gamma_new(E152,A152,0.7,B152,D152,C152)</f>
        <v>6.3631905510395873E-11</v>
      </c>
      <c r="M152" cm="1">
        <f t="array" ref="M152">gamma_new(E152,A152,0.8,B152,D152,C152)</f>
        <v>6.9381903775030267E-10</v>
      </c>
      <c r="N152" cm="1">
        <f t="array" ref="N152">gamma_new(E152,A152,0.9,B152,D152,C152)</f>
        <v>4.4154805034580032E-9</v>
      </c>
      <c r="O152" cm="1">
        <f t="array" ref="O152">gamma_new(E152,A152,1,B152,D152,C152)</f>
        <v>1.9289713659538135E-8</v>
      </c>
      <c r="P152" cm="1">
        <f t="array" ref="P152">gamma_new(E152,A152,2,B152,D152,C152)</f>
        <v>1.2980280750592524E-5</v>
      </c>
      <c r="Q152" cm="1">
        <f t="array" ref="Q152">gamma_new(E152,A152,3,B152,D152,C152)</f>
        <v>1.0250243237476448E-4</v>
      </c>
      <c r="R152" cm="1">
        <f t="array" ref="R152">gamma_new(E152,A152,4,B152,D152,C152)</f>
        <v>2.7259389231645923E-4</v>
      </c>
      <c r="S152" cm="1">
        <f t="array" ref="S152">gamma_new(E152,A152,5,B152,D152,C152)</f>
        <v>4.7316724559099435E-4</v>
      </c>
    </row>
    <row r="153" spans="1:19" x14ac:dyDescent="0.3">
      <c r="A153">
        <v>100</v>
      </c>
      <c r="B153">
        <f t="shared" si="7"/>
        <v>0.01</v>
      </c>
      <c r="C153">
        <v>0.05</v>
      </c>
      <c r="D153">
        <v>0</v>
      </c>
      <c r="E153" s="5">
        <v>135</v>
      </c>
      <c r="F153" cm="1">
        <f t="array" ref="F153">gamma_new(E153,A153,0.1,B153,D153,C153)</f>
        <v>2.8607510988780266E-80</v>
      </c>
      <c r="G153" cm="1">
        <f t="array" ref="G153">gamma_new(E153,A153,0.2,B153,D153,C153)</f>
        <v>2.6219731763751313E-41</v>
      </c>
      <c r="H153" cm="1">
        <f t="array" ref="H153">gamma_new(E153,A153,0.3,B153,D153,C153)</f>
        <v>2.3302586702528868E-28</v>
      </c>
      <c r="I153" cm="1">
        <f t="array" ref="I153">gamma_new(E153,A153,0.4,B153,D153,C153)</f>
        <v>6.6496053217831917E-22</v>
      </c>
      <c r="J153" cm="1">
        <f t="array" ref="J153">gamma_new(E153,A153,0.5,B153,D153,C153)</f>
        <v>4.8374646273030467E-18</v>
      </c>
      <c r="K153" cm="1">
        <f t="array" ref="K153">gamma_new(E153,A153,0.6,B153,D153,C153)</f>
        <v>1.7844814451072081E-15</v>
      </c>
      <c r="L153" cm="1">
        <f t="array" ref="L153">gamma_new(E153,A153,0.7,B153,D153,C153)</f>
        <v>1.2008795570947284E-13</v>
      </c>
      <c r="M153" cm="1">
        <f t="array" ref="M153">gamma_new(E153,A153,0.8,B153,D153,C153)</f>
        <v>2.794629626717462E-12</v>
      </c>
      <c r="N153" cm="1">
        <f t="array" ref="N153">gamma_new(E153,A153,0.9,B153,D153,C153)</f>
        <v>3.2073185186166861E-11</v>
      </c>
      <c r="O153" cm="1">
        <f t="array" ref="O153">gamma_new(E153,A153,1,B153,D153,C153)</f>
        <v>2.245736307122208E-10</v>
      </c>
      <c r="P153" cm="1">
        <f t="array" ref="P153">gamma_new(E153,A153,2,B153,D153,C153)</f>
        <v>1.2624870473504024E-6</v>
      </c>
      <c r="Q153" cm="1">
        <f t="array" ref="Q153">gamma_new(E153,A153,3,B153,D153,C153)</f>
        <v>2.0229274383467877E-5</v>
      </c>
      <c r="R153" cm="1">
        <f t="array" ref="R153">gamma_new(E153,A153,4,B153,D153,C153)</f>
        <v>7.663265970618857E-5</v>
      </c>
      <c r="S153" cm="1">
        <f t="array" ref="S153">gamma_new(E153,A153,5,B153,D153,C153)</f>
        <v>1.6447634183663351E-4</v>
      </c>
    </row>
    <row r="154" spans="1:19" x14ac:dyDescent="0.3">
      <c r="A154">
        <v>100</v>
      </c>
      <c r="B154">
        <f t="shared" si="7"/>
        <v>0.01</v>
      </c>
      <c r="C154">
        <v>0.05</v>
      </c>
      <c r="D154">
        <v>0</v>
      </c>
      <c r="E154" s="5">
        <v>140</v>
      </c>
      <c r="F154" cm="1">
        <f t="array" ref="F154">gamma_new(E154,A154,0.1,B154,D154,C154)</f>
        <v>1.8242424684528806E-100</v>
      </c>
      <c r="G154" cm="1">
        <f t="array" ref="G154">gamma_new(E154,A154,0.2,B154,D154,C154)</f>
        <v>1.8945028104927562E-51</v>
      </c>
      <c r="H154" cm="1">
        <f t="array" ref="H154">gamma_new(E154,A154,0.3,B154,D154,C154)</f>
        <v>3.7817485497671273E-35</v>
      </c>
      <c r="I154" cm="1">
        <f t="array" ref="I154">gamma_new(E154,A154,0.4,B154,D154,C154)</f>
        <v>5.1144052719762048E-27</v>
      </c>
      <c r="J154" cm="1">
        <f t="array" ref="J154">gamma_new(E154,A154,0.5,B154,D154,C154)</f>
        <v>3.7674155366953856E-22</v>
      </c>
      <c r="K154" cm="1">
        <f t="array" ref="K154">gamma_new(E154,A154,0.6,B154,D154,C154)</f>
        <v>6.5046219455217613E-19</v>
      </c>
      <c r="L154" cm="1">
        <f t="array" ref="L154">gamma_new(E154,A154,0.7,B154,D154,C154)</f>
        <v>1.3182081010252938E-16</v>
      </c>
      <c r="M154" cm="1">
        <f t="array" ref="M154">gamma_new(E154,A154,0.8,B154,D154,C154)</f>
        <v>7.0127710274450392E-15</v>
      </c>
      <c r="N154" cm="1">
        <f t="array" ref="N154">gamma_new(E154,A154,0.9,B154,D154,C154)</f>
        <v>1.5310614357413522E-13</v>
      </c>
      <c r="O154" cm="1">
        <f t="array" ref="O154">gamma_new(E154,A154,1,B154,D154,C154)</f>
        <v>1.7932357427730701E-12</v>
      </c>
      <c r="P154" cm="1">
        <f t="array" ref="P154">gamma_new(E154,A154,2,B154,D154,C154)</f>
        <v>1.02077966415812E-7</v>
      </c>
      <c r="Q154" cm="1">
        <f t="array" ref="Q154">gamma_new(E154,A154,3,B154,D154,C154)</f>
        <v>3.538567905347554E-6</v>
      </c>
      <c r="R154" cm="1">
        <f t="array" ref="R154">gamma_new(E154,A154,4,B154,D154,C154)</f>
        <v>1.971660806386219E-5</v>
      </c>
      <c r="S154" cm="1">
        <f t="array" ref="S154">gamma_new(E154,A154,5,B154,D154,C154)</f>
        <v>5.3341397273610855E-5</v>
      </c>
    </row>
    <row r="156" spans="1:19" x14ac:dyDescent="0.3">
      <c r="A156" t="s">
        <v>13</v>
      </c>
      <c r="B156" t="s">
        <v>14</v>
      </c>
      <c r="C156" t="s">
        <v>15</v>
      </c>
      <c r="D156" t="s">
        <v>26</v>
      </c>
      <c r="F156" s="7">
        <v>0.1</v>
      </c>
      <c r="G156" s="7">
        <v>0.2</v>
      </c>
      <c r="H156" s="7">
        <v>0.3</v>
      </c>
      <c r="I156" s="7">
        <v>0.4</v>
      </c>
      <c r="J156" s="7">
        <v>0.5</v>
      </c>
      <c r="K156" s="7">
        <v>0.6</v>
      </c>
      <c r="L156" s="7">
        <v>0.7</v>
      </c>
      <c r="M156" s="7">
        <v>0.8</v>
      </c>
      <c r="N156" s="7">
        <v>0.9</v>
      </c>
      <c r="O156" s="7">
        <v>1</v>
      </c>
      <c r="P156" s="7">
        <v>2</v>
      </c>
      <c r="Q156" s="7">
        <v>3</v>
      </c>
      <c r="R156" s="7">
        <v>4</v>
      </c>
      <c r="S156" s="7">
        <v>5</v>
      </c>
    </row>
    <row r="157" spans="1:19" x14ac:dyDescent="0.3">
      <c r="A157">
        <v>100</v>
      </c>
      <c r="B157">
        <f>1/100</f>
        <v>0.01</v>
      </c>
      <c r="C157">
        <v>0.7</v>
      </c>
      <c r="D157">
        <v>0</v>
      </c>
      <c r="E157" s="5">
        <v>60</v>
      </c>
      <c r="F157" cm="1">
        <f t="array" ref="F157">gamma_new(E157,A157,0.1,B157,D157,C157)</f>
        <v>2.7154575862991734E-3</v>
      </c>
      <c r="G157" cm="1">
        <f t="array" ref="G157">gamma_new(E157,A157,0.2,B157,D157,C157)</f>
        <v>7.2217159619663825E-3</v>
      </c>
      <c r="H157" cm="1">
        <f t="array" ref="H157">gamma_new(E157,A157,0.3,B157,D157,C157)</f>
        <v>9.1294471252140325E-3</v>
      </c>
      <c r="I157" cm="1">
        <f t="array" ref="I157">gamma_new(E157,A157,0.4,B157,D157,C157)</f>
        <v>9.8052607012878296E-3</v>
      </c>
      <c r="J157" cm="1">
        <f t="array" ref="J157">gamma_new(E157,A157,0.5,B157,D157,C157)</f>
        <v>9.9527227696350144E-3</v>
      </c>
      <c r="K157" cm="1">
        <f t="array" ref="K157">gamma_new(E157,A157,0.6,B157,D157,C157)</f>
        <v>9.863156378949663E-3</v>
      </c>
      <c r="L157" cm="1">
        <f t="array" ref="L157">gamma_new(E157,A157,0.7,B157,D157,C157)</f>
        <v>9.6648237736529623E-3</v>
      </c>
      <c r="M157" cm="1">
        <f t="array" ref="M157">gamma_new(E157,A157,0.8,B157,D157,C157)</f>
        <v>9.4181612034618684E-3</v>
      </c>
      <c r="N157" cm="1">
        <f t="array" ref="N157">gamma_new(E157,A157,0.9,B157,D157,C157)</f>
        <v>9.1531203057101784E-3</v>
      </c>
      <c r="O157" cm="1">
        <f t="array" ref="O157">gamma_new(E157,A157,1,B157,D157,C157)</f>
        <v>8.8850023825808276E-3</v>
      </c>
      <c r="P157" cm="1">
        <f t="array" ref="P157">gamma_new(E157,A157,2,B157,D157,C157)</f>
        <v>6.7165403253841268E-3</v>
      </c>
      <c r="Q157" cm="1">
        <f t="array" ref="Q157">gamma_new(E157,A157,3,B157,D157,C157)</f>
        <v>5.3648403868242177E-3</v>
      </c>
      <c r="R157" cm="1">
        <f t="array" ref="R157">gamma_new(E157,A157,4,B157,D157,C157)</f>
        <v>4.4453675897363851E-3</v>
      </c>
      <c r="S157" cm="1">
        <f t="array" ref="S157">gamma_new(E157,A157,5,B157,D157,C157)</f>
        <v>3.7706679299040532E-3</v>
      </c>
    </row>
    <row r="158" spans="1:19" x14ac:dyDescent="0.3">
      <c r="A158">
        <v>100</v>
      </c>
      <c r="B158">
        <f t="shared" ref="B158:B173" si="8">1/100</f>
        <v>0.01</v>
      </c>
      <c r="C158">
        <v>0.7</v>
      </c>
      <c r="D158">
        <v>0</v>
      </c>
      <c r="E158" s="5">
        <v>65</v>
      </c>
      <c r="F158" cm="1">
        <f t="array" ref="F158">gamma_new(E158,A158,0.1,B158,D158,C158)</f>
        <v>5.1879222075930514E-3</v>
      </c>
      <c r="G158" cm="1">
        <f t="array" ref="G158">gamma_new(E158,A158,0.2,B158,D158,C158)</f>
        <v>9.392675614956169E-3</v>
      </c>
      <c r="H158" cm="1">
        <f t="array" ref="H158">gamma_new(E158,A158,0.3,B158,D158,C158)</f>
        <v>1.0445427717142672E-2</v>
      </c>
      <c r="I158" cm="1">
        <f t="array" ref="I158">gamma_new(E158,A158,0.4,B158,D158,C158)</f>
        <v>1.0522218366130657E-2</v>
      </c>
      <c r="J158" cm="1">
        <f t="array" ref="J158">gamma_new(E158,A158,0.5,B158,D158,C158)</f>
        <v>1.0277557643485058E-2</v>
      </c>
      <c r="K158" cm="1">
        <f t="array" ref="K158">gamma_new(E158,A158,0.6,B158,D158,C158)</f>
        <v>9.927285203018452E-3</v>
      </c>
      <c r="L158" cm="1">
        <f t="array" ref="L158">gamma_new(E158,A158,0.7,B158,D158,C158)</f>
        <v>9.5511588226675943E-3</v>
      </c>
      <c r="M158" cm="1">
        <f t="array" ref="M158">gamma_new(E158,A158,0.8,B158,D158,C158)</f>
        <v>9.1804486810206816E-3</v>
      </c>
      <c r="N158" cm="1">
        <f t="array" ref="N158">gamma_new(E158,A158,0.9,B158,D158,C158)</f>
        <v>8.8273028618729606E-3</v>
      </c>
      <c r="O158" cm="1">
        <f t="array" ref="O158">gamma_new(E158,A158,1,B158,D158,C158)</f>
        <v>8.4958191812492118E-3</v>
      </c>
      <c r="P158" cm="1">
        <f t="array" ref="P158">gamma_new(E158,A158,2,B158,D158,C158)</f>
        <v>6.1800670578926187E-3</v>
      </c>
      <c r="Q158" cm="1">
        <f t="array" ref="Q158">gamma_new(E158,A158,3,B158,D158,C158)</f>
        <v>4.8734627332123583E-3</v>
      </c>
      <c r="R158" cm="1">
        <f t="array" ref="R158">gamma_new(E158,A158,4,B158,D158,C158)</f>
        <v>4.0124087076406018E-3</v>
      </c>
      <c r="S158" cm="1">
        <f t="array" ref="S158">gamma_new(E158,A158,5,B158,D158,C158)</f>
        <v>3.3903595472959398E-3</v>
      </c>
    </row>
    <row r="159" spans="1:19" x14ac:dyDescent="0.3">
      <c r="A159">
        <v>100</v>
      </c>
      <c r="B159">
        <f t="shared" si="8"/>
        <v>0.01</v>
      </c>
      <c r="C159">
        <v>0.7</v>
      </c>
      <c r="D159">
        <v>0</v>
      </c>
      <c r="E159" s="5">
        <v>70</v>
      </c>
      <c r="F159" cm="1">
        <f t="array" ref="F159">gamma_new(E159,A159,0.1,B159,D159,C159)</f>
        <v>8.4076123696712399E-3</v>
      </c>
      <c r="G159" cm="1">
        <f t="array" ref="G159">gamma_new(E159,A159,0.2,B159,D159,C159)</f>
        <v>1.1302174511873151E-2</v>
      </c>
      <c r="H159" cm="1">
        <f t="array" ref="H159">gamma_new(E159,A159,0.3,B159,D159,C159)</f>
        <v>1.138142741252916E-2</v>
      </c>
      <c r="I159" cm="1">
        <f t="array" ref="I159">gamma_new(E159,A159,0.4,B159,D159,C159)</f>
        <v>1.0910049605080302E-2</v>
      </c>
      <c r="J159" cm="1">
        <f t="array" ref="J159">gamma_new(E159,A159,0.5,B159,D159,C159)</f>
        <v>1.0343765876649282E-2</v>
      </c>
      <c r="K159" cm="1">
        <f t="array" ref="K159">gamma_new(E159,A159,0.6,B159,D159,C159)</f>
        <v>9.794873325577531E-3</v>
      </c>
      <c r="L159" cm="1">
        <f t="array" ref="L159">gamma_new(E159,A159,0.7,B159,D159,C159)</f>
        <v>9.2910957833450217E-3</v>
      </c>
      <c r="M159" cm="1">
        <f t="array" ref="M159">gamma_new(E159,A159,0.8,B159,D159,C159)</f>
        <v>8.8360199340148781E-3</v>
      </c>
      <c r="N159" cm="1">
        <f t="array" ref="N159">gamma_new(E159,A159,0.9,B159,D159,C159)</f>
        <v>8.4261455897775804E-3</v>
      </c>
      <c r="O159" cm="1">
        <f t="array" ref="O159">gamma_new(E159,A159,1,B159,D159,C159)</f>
        <v>8.0562458940864039E-3</v>
      </c>
      <c r="P159" cm="1">
        <f t="array" ref="P159">gamma_new(E159,A159,2,B159,D159,C159)</f>
        <v>5.6883981459589401E-3</v>
      </c>
      <c r="Q159" cm="1">
        <f t="array" ref="Q159">gamma_new(E159,A159,3,B159,D159,C159)</f>
        <v>4.441444403254966E-3</v>
      </c>
      <c r="R159" cm="1">
        <f t="array" ref="R159">gamma_new(E159,A159,4,B159,D159,C159)</f>
        <v>3.6386194436541009E-3</v>
      </c>
      <c r="S159" cm="1">
        <f t="array" ref="S159">gamma_new(E159,A159,5,B159,D159,C159)</f>
        <v>3.0653789008987294E-3</v>
      </c>
    </row>
    <row r="160" spans="1:19" x14ac:dyDescent="0.3">
      <c r="A160">
        <v>100</v>
      </c>
      <c r="B160">
        <f t="shared" si="8"/>
        <v>0.01</v>
      </c>
      <c r="C160">
        <v>0.7</v>
      </c>
      <c r="D160">
        <v>0</v>
      </c>
      <c r="E160" s="5">
        <v>75</v>
      </c>
      <c r="F160" cm="1">
        <f t="array" ref="F160">gamma_new(E160,A160,0.1,B160,D160,C160)</f>
        <v>1.1915895612871343E-2</v>
      </c>
      <c r="G160" cm="1">
        <f t="array" ref="G160">gamma_new(E160,A160,0.2,B160,D160,C160)</f>
        <v>1.2767646471421213E-2</v>
      </c>
      <c r="H160" cm="1">
        <f t="array" ref="H160">gamma_new(E160,A160,0.3,B160,D160,C160)</f>
        <v>1.1920940394801351E-2</v>
      </c>
      <c r="I160" cm="1">
        <f t="array" ref="I160">gamma_new(E160,A160,0.4,B160,D160,C160)</f>
        <v>1.1003300673092456E-2</v>
      </c>
      <c r="J160" cm="1">
        <f t="array" ref="J160">gamma_new(E160,A160,0.5,B160,D160,C160)</f>
        <v>1.0198221031354619E-2</v>
      </c>
      <c r="K160" cm="1">
        <f t="array" ref="K160">gamma_new(E160,A160,0.6,B160,D160,C160)</f>
        <v>9.5121250451313342E-3</v>
      </c>
      <c r="L160" cm="1">
        <f t="array" ref="L160">gamma_new(E160,A160,0.7,B160,D160,C160)</f>
        <v>8.9259601176211682E-3</v>
      </c>
      <c r="M160" cm="1">
        <f t="array" ref="M160">gamma_new(E160,A160,0.8,B160,D160,C160)</f>
        <v>8.4202822598748676E-3</v>
      </c>
      <c r="N160" cm="1">
        <f t="array" ref="N160">gamma_new(E160,A160,0.9,B160,D160,C160)</f>
        <v>7.9792609263713739E-3</v>
      </c>
      <c r="O160" cm="1">
        <f t="array" ref="O160">gamma_new(E160,A160,1,B160,D160,C160)</f>
        <v>7.59062292615101E-3</v>
      </c>
      <c r="P160" cm="1">
        <f t="array" ref="P160">gamma_new(E160,A160,2,B160,D160,C160)</f>
        <v>5.2394315836600787E-3</v>
      </c>
      <c r="Q160" cm="1">
        <f t="array" ref="Q160">gamma_new(E160,A160,3,B160,D160,C160)</f>
        <v>4.0600830005659075E-3</v>
      </c>
      <c r="R160" cm="1">
        <f t="array" ref="R160">gamma_new(E160,A160,4,B160,D160,C160)</f>
        <v>3.3136418379448021E-3</v>
      </c>
      <c r="S160" cm="1">
        <f t="array" ref="S160">gamma_new(E160,A160,5,B160,D160,C160)</f>
        <v>2.7852747442533334E-3</v>
      </c>
    </row>
    <row r="161" spans="1:29" x14ac:dyDescent="0.3">
      <c r="A161">
        <v>100</v>
      </c>
      <c r="B161">
        <f t="shared" si="8"/>
        <v>0.01</v>
      </c>
      <c r="C161">
        <v>0.7</v>
      </c>
      <c r="D161">
        <v>0</v>
      </c>
      <c r="E161" s="5">
        <v>80</v>
      </c>
      <c r="F161" cm="1">
        <f t="array" ref="F161">gamma_new(E161,A161,0.1,B161,D161,C161)</f>
        <v>1.512207856291759E-2</v>
      </c>
      <c r="G161" cm="1">
        <f t="array" ref="G161">gamma_new(E161,A161,0.2,B161,D161,C161)</f>
        <v>1.3694484813266612E-2</v>
      </c>
      <c r="H161" cm="1">
        <f t="array" ref="H161">gamma_new(E161,A161,0.3,B161,D161,C161)</f>
        <v>1.2089139332682337E-2</v>
      </c>
      <c r="I161" cm="1">
        <f t="array" ref="I161">gamma_new(E161,A161,0.4,B161,D161,C161)</f>
        <v>1.0850077877931668E-2</v>
      </c>
      <c r="J161" cm="1">
        <f t="array" ref="J161">gamma_new(E161,A161,0.5,B161,D161,C161)</f>
        <v>9.8884745536480436E-3</v>
      </c>
      <c r="K161" cm="1">
        <f t="array" ref="K161">gamma_new(E161,A161,0.6,B161,D161,C161)</f>
        <v>9.1203695095341143E-3</v>
      </c>
      <c r="L161" cm="1">
        <f t="array" ref="L161">gamma_new(E161,A161,0.7,B161,D161,C161)</f>
        <v>8.4900697102939706E-3</v>
      </c>
      <c r="M161" cm="1">
        <f t="array" ref="M161">gamma_new(E161,A161,0.8,B161,D161,C161)</f>
        <v>7.9611175631887493E-3</v>
      </c>
      <c r="N161" cm="1">
        <f t="array" ref="N161">gamma_new(E161,A161,0.9,B161,D161,C161)</f>
        <v>7.5089789878269135E-3</v>
      </c>
      <c r="O161" cm="1">
        <f t="array" ref="O161">gamma_new(E161,A161,1,B161,D161,C161)</f>
        <v>7.1165959261330763E-3</v>
      </c>
      <c r="P161" cm="1">
        <f t="array" ref="P161">gamma_new(E161,A161,2,B161,D161,C161)</f>
        <v>4.8302995978265562E-3</v>
      </c>
      <c r="Q161" cm="1">
        <f t="array" ref="Q161">gamma_new(E161,A161,3,B161,D161,C161)</f>
        <v>3.7221151829118729E-3</v>
      </c>
      <c r="R161" cm="1">
        <f t="array" ref="R161">gamma_new(E161,A161,4,B161,D161,C161)</f>
        <v>3.029304725418804E-3</v>
      </c>
      <c r="S161" cm="1">
        <f t="array" ref="S161">gamma_new(E161,A161,5,B161,D161,C161)</f>
        <v>2.5419964458934245E-3</v>
      </c>
    </row>
    <row r="162" spans="1:29" x14ac:dyDescent="0.3">
      <c r="A162">
        <v>100</v>
      </c>
      <c r="B162">
        <f t="shared" si="8"/>
        <v>0.01</v>
      </c>
      <c r="C162">
        <v>0.7</v>
      </c>
      <c r="D162">
        <v>0</v>
      </c>
      <c r="E162" s="5">
        <v>85</v>
      </c>
      <c r="F162" cm="1">
        <f t="array" ref="F162">gamma_new(E162,A162,0.1,B162,D162,C162)</f>
        <v>1.7506279455103677E-2</v>
      </c>
      <c r="G162" cm="1">
        <f t="array" ref="G162">gamma_new(E162,A162,0.2,B162,D162,C162)</f>
        <v>1.4070888301147078E-2</v>
      </c>
      <c r="H162" cm="1">
        <f t="array" ref="H162">gamma_new(E162,A162,0.3,B162,D162,C162)</f>
        <v>1.1937196688429587E-2</v>
      </c>
      <c r="I162" cm="1">
        <f t="array" ref="I162">gamma_new(E162,A162,0.4,B162,D162,C162)</f>
        <v>1.0502807294041915E-2</v>
      </c>
      <c r="J162" cm="1">
        <f t="array" ref="J162">gamma_new(E162,A162,0.5,B162,D162,C162)</f>
        <v>9.4584764524979301E-3</v>
      </c>
      <c r="K162" cm="1">
        <f t="array" ref="K162">gamma_new(E162,A162,0.6,B162,D162,C162)</f>
        <v>8.6546707511022287E-3</v>
      </c>
      <c r="L162" cm="1">
        <f t="array" ref="L162">gamma_new(E162,A162,0.7,B162,D162,C162)</f>
        <v>8.0109199913862283E-3</v>
      </c>
      <c r="M162" cm="1">
        <f t="array" ref="M162">gamma_new(E162,A162,0.8,B162,D162,C162)</f>
        <v>7.4798853549655582E-3</v>
      </c>
      <c r="N162" cm="1">
        <f t="array" ref="N162">gamma_new(E162,A162,0.9,B162,D162,C162)</f>
        <v>7.0317386747435484E-3</v>
      </c>
      <c r="O162" cm="1">
        <f t="array" ref="O162">gamma_new(E162,A162,1,B162,D162,C162)</f>
        <v>6.6466511339121548E-3</v>
      </c>
      <c r="P162" cm="1">
        <f t="array" ref="P162">gamma_new(E162,A162,2,B162,D162,C162)</f>
        <v>4.4578350053947075E-3</v>
      </c>
      <c r="Q162" cm="1">
        <f t="array" ref="Q162">gamma_new(E162,A162,3,B162,D162,C162)</f>
        <v>3.4214708567202783E-3</v>
      </c>
      <c r="R162" cm="1">
        <f t="array" ref="R162">gamma_new(E162,A162,4,B162,D162,C162)</f>
        <v>2.7790896477325028E-3</v>
      </c>
      <c r="S162" cm="1">
        <f t="array" ref="S162">gamma_new(E162,A162,5,B162,D162,C162)</f>
        <v>2.3292519494929123E-3</v>
      </c>
    </row>
    <row r="163" spans="1:29" x14ac:dyDescent="0.3">
      <c r="A163">
        <v>100</v>
      </c>
      <c r="B163">
        <f t="shared" si="8"/>
        <v>0.01</v>
      </c>
      <c r="C163">
        <v>0.7</v>
      </c>
      <c r="D163">
        <v>0</v>
      </c>
      <c r="E163" s="5">
        <v>90</v>
      </c>
      <c r="F163" cm="1">
        <f t="array" ref="F163">gamma_new(E163,A163,0.1,B163,D163,C163)</f>
        <v>1.8763171287037556E-2</v>
      </c>
      <c r="G163" cm="1">
        <f t="array" ref="G163">gamma_new(E163,A163,0.2,B163,D163,C163)</f>
        <v>1.3947832362284899E-2</v>
      </c>
      <c r="H163" cm="1">
        <f t="array" ref="H163">gamma_new(E163,A163,0.3,B163,D163,C163)</f>
        <v>1.1528651001966912E-2</v>
      </c>
      <c r="I163" cm="1">
        <f t="array" ref="I163">gamma_new(E163,A163,0.4,B163,D163,C163)</f>
        <v>1.0012142200574333E-2</v>
      </c>
      <c r="J163" cm="1">
        <f t="array" ref="J163">gamma_new(E163,A163,0.5,B163,D163,C163)</f>
        <v>8.9464364387751641E-3</v>
      </c>
      <c r="K163" cm="1">
        <f t="array" ref="K163">gamma_new(E163,A163,0.6,B163,D163,C163)</f>
        <v>8.1436224754940795E-3</v>
      </c>
      <c r="L163" cm="1">
        <f t="array" ref="L163">gamma_new(E163,A163,0.7,B163,D163,C163)</f>
        <v>7.5098955326584468E-3</v>
      </c>
      <c r="M163" cm="1">
        <f t="array" ref="M163">gamma_new(E163,A163,0.8,B163,D163,C163)</f>
        <v>6.9925367544672852E-3</v>
      </c>
      <c r="N163" cm="1">
        <f t="array" ref="N163">gamma_new(E163,A163,0.9,B163,D163,C163)</f>
        <v>6.5593396087650123E-3</v>
      </c>
      <c r="O163" cm="1">
        <f t="array" ref="O163">gamma_new(E163,A163,1,B163,D163,C163)</f>
        <v>6.1893685180633333E-3</v>
      </c>
      <c r="P163" cm="1">
        <f t="array" ref="P163">gamma_new(E163,A163,2,B163,D163,C163)</f>
        <v>4.1188381736987972E-3</v>
      </c>
      <c r="Q163" cm="1">
        <f t="array" ref="Q163">gamma_new(E163,A163,3,B163,D163,C163)</f>
        <v>3.1530632155964871E-3</v>
      </c>
      <c r="R163" cm="1">
        <f t="array" ref="R163">gamma_new(E163,A163,4,B163,D163,C163)</f>
        <v>2.5577431854549035E-3</v>
      </c>
      <c r="S163" cm="1">
        <f t="array" ref="S163">gamma_new(E163,A163,5,B163,D163,C163)</f>
        <v>2.1420597247192564E-3</v>
      </c>
    </row>
    <row r="164" spans="1:29" x14ac:dyDescent="0.3">
      <c r="A164">
        <v>100</v>
      </c>
      <c r="B164">
        <f t="shared" si="8"/>
        <v>0.01</v>
      </c>
      <c r="C164">
        <v>0.7</v>
      </c>
      <c r="D164">
        <v>0</v>
      </c>
      <c r="E164" s="5">
        <v>95</v>
      </c>
      <c r="F164" cm="1">
        <f t="array" ref="F164">gamma_new(E164,A164,0.1,B164,D164,C164)</f>
        <v>1.8842569212975283E-2</v>
      </c>
      <c r="G164" cm="1">
        <f t="array" ref="G164">gamma_new(E164,A164,0.2,B164,D164,C164)</f>
        <v>1.3414461151326138E-2</v>
      </c>
      <c r="H164" cm="1">
        <f t="array" ref="H164">gamma_new(E164,A164,0.3,B164,D164,C164)</f>
        <v>1.0929221247796123E-2</v>
      </c>
      <c r="I164" cm="1">
        <f t="array" ref="I164">gamma_new(E164,A164,0.4,B164,D164,C164)</f>
        <v>9.4234480526326336E-3</v>
      </c>
      <c r="J164" cm="1">
        <f t="array" ref="J164">gamma_new(E164,A164,0.5,B164,D164,C164)</f>
        <v>8.3840947195449964E-3</v>
      </c>
      <c r="K164" cm="1">
        <f t="array" ref="K164">gamma_new(E164,A164,0.6,B164,D164,C164)</f>
        <v>7.6097882126479046E-3</v>
      </c>
      <c r="L164" cm="1">
        <f t="array" ref="L164">gamma_new(E164,A164,0.7,B164,D164,C164)</f>
        <v>7.0031777524387365E-3</v>
      </c>
      <c r="M164" cm="1">
        <f t="array" ref="M164">gamma_new(E164,A164,0.8,B164,D164,C164)</f>
        <v>6.5106709815982702E-3</v>
      </c>
      <c r="N164" cm="1">
        <f t="array" ref="N164">gamma_new(E164,A164,0.9,B164,D164,C164)</f>
        <v>6.0999993999436902E-3</v>
      </c>
      <c r="O164" cm="1">
        <f t="array" ref="O164">gamma_new(E164,A164,1,B164,D164,C164)</f>
        <v>5.750412034701469E-3</v>
      </c>
      <c r="P164" cm="1">
        <f t="array" ref="P164">gamma_new(E164,A164,2,B164,D164,C164)</f>
        <v>3.8102249421828774E-3</v>
      </c>
      <c r="Q164" cm="1">
        <f t="array" ref="Q164">gamma_new(E164,A164,3,B164,D164,C164)</f>
        <v>2.9126143554548539E-3</v>
      </c>
      <c r="R164" cm="1">
        <f t="array" ref="R164">gamma_new(E164,A164,4,B164,D164,C164)</f>
        <v>2.3609916687893102E-3</v>
      </c>
      <c r="S164" cm="1">
        <f t="array" ref="S164">gamma_new(E164,A164,5,B164,D164,C164)</f>
        <v>1.9764299224360521E-3</v>
      </c>
    </row>
    <row r="165" spans="1:29" x14ac:dyDescent="0.3">
      <c r="A165">
        <v>100</v>
      </c>
      <c r="B165">
        <f t="shared" si="8"/>
        <v>0.01</v>
      </c>
      <c r="C165">
        <v>0.7</v>
      </c>
      <c r="D165">
        <v>0</v>
      </c>
      <c r="E165" s="5">
        <v>100</v>
      </c>
      <c r="F165" cm="1">
        <f t="array" ref="F165">gamma_new(E165,A165,0.1,B165,D165,C165)</f>
        <v>1.790318887002601E-2</v>
      </c>
      <c r="G165" cm="1">
        <f t="array" ref="G165">gamma_new(E165,A165,0.2,B165,D165,C165)</f>
        <v>1.257574616977287E-2</v>
      </c>
      <c r="H165" cm="1">
        <f t="array" ref="H165">gamma_new(E165,A165,0.3,B165,D165,C165)</f>
        <v>1.0200148649313848E-2</v>
      </c>
      <c r="I165" cm="1">
        <f t="array" ref="I165">gamma_new(E165,A165,0.4,B165,D165,C165)</f>
        <v>8.7751692186150924E-3</v>
      </c>
      <c r="J165" cm="1">
        <f t="array" ref="J165">gamma_new(E165,A165,0.5,B165,D165,C165)</f>
        <v>7.7968442897921363E-3</v>
      </c>
      <c r="K165" cm="1">
        <f t="array" ref="K165">gamma_new(E165,A165,0.6,B165,D165,C165)</f>
        <v>7.0704426751327307E-3</v>
      </c>
      <c r="L165" cm="1">
        <f t="array" ref="L165">gamma_new(E165,A165,0.7,B165,D165,C165)</f>
        <v>6.5026679538459035E-3</v>
      </c>
      <c r="M165" cm="1">
        <f t="array" ref="M165">gamma_new(E165,A165,0.8,B165,D165,C165)</f>
        <v>6.0424626159938421E-3</v>
      </c>
      <c r="N165" cm="1">
        <f t="array" ref="N165">gamma_new(E165,A165,0.9,B165,D165,C165)</f>
        <v>5.6592134992071875E-3</v>
      </c>
      <c r="O165" cm="1">
        <f t="array" ref="O165">gamma_new(E165,A165,1,B165,D165,C165)</f>
        <v>5.3332961566101462E-3</v>
      </c>
      <c r="P165" cm="1">
        <f t="array" ref="P165">gamma_new(E165,A165,2,B165,D165,C165)</f>
        <v>3.5291033557682504E-3</v>
      </c>
      <c r="Q165" cm="1">
        <f t="array" ref="Q165">gamma_new(E165,A165,3,B165,D165,C165)</f>
        <v>2.6965124070293198E-3</v>
      </c>
      <c r="R165" cm="1">
        <f t="array" ref="R165">gamma_new(E165,A165,4,B165,D165,C165)</f>
        <v>2.1853284987025409E-3</v>
      </c>
      <c r="S165" cm="1">
        <f t="array" ref="S165">gamma_new(E165,A165,5,B165,D165,C165)</f>
        <v>1.8291334743538701E-3</v>
      </c>
    </row>
    <row r="166" spans="1:29" x14ac:dyDescent="0.3">
      <c r="A166">
        <v>100</v>
      </c>
      <c r="B166">
        <f t="shared" si="8"/>
        <v>0.01</v>
      </c>
      <c r="C166">
        <v>0.7</v>
      </c>
      <c r="D166">
        <v>0</v>
      </c>
      <c r="E166" s="5">
        <v>105</v>
      </c>
      <c r="F166" cm="1">
        <f t="array" ref="F166">gamma_new(E166,A166,0.1,B166,D166,C166)</f>
        <v>1.6224253767706826E-2</v>
      </c>
      <c r="G166" cm="1">
        <f t="array" ref="G166">gamma_new(E166,A166,0.2,B166,D166,C166)</f>
        <v>1.1535667775089862E-2</v>
      </c>
      <c r="H166" cm="1">
        <f t="array" ref="H166">gamma_new(E166,A166,0.3,B166,D166,C166)</f>
        <v>9.3945004410633474E-3</v>
      </c>
      <c r="I166" cm="1">
        <f t="array" ref="I166">gamma_new(E166,A166,0.4,B166,D166,C166)</f>
        <v>8.0984479813760984E-3</v>
      </c>
      <c r="J166" cm="1">
        <f t="array" ref="J166">gamma_new(E166,A166,0.5,B166,D166,C166)</f>
        <v>7.2043138109331118E-3</v>
      </c>
      <c r="K166" cm="1">
        <f t="array" ref="K166">gamma_new(E166,A166,0.6,B166,D166,C166)</f>
        <v>6.5384078750732339E-3</v>
      </c>
      <c r="L166" cm="1">
        <f t="array" ref="L166">gamma_new(E166,A166,0.7,B166,D166,C166)</f>
        <v>6.0168357342887122E-3</v>
      </c>
      <c r="M166" cm="1">
        <f t="array" ref="M166">gamma_new(E166,A166,0.8,B166,D166,C166)</f>
        <v>5.5934392932560292E-3</v>
      </c>
      <c r="N166" cm="1">
        <f t="array" ref="N166">gamma_new(E166,A166,0.9,B166,D166,C166)</f>
        <v>5.2404375873382055E-3</v>
      </c>
      <c r="O166" cm="1">
        <f t="array" ref="O166">gamma_new(E166,A166,1,B166,D166,C166)</f>
        <v>4.9399708860726702E-3</v>
      </c>
      <c r="P166" cm="1">
        <f t="array" ref="P166">gamma_new(E166,A166,2,B166,D166,C166)</f>
        <v>3.272808017122434E-3</v>
      </c>
      <c r="Q166" cm="1">
        <f t="array" ref="Q166">gamma_new(E166,A166,3,B166,D166,C166)</f>
        <v>2.501695209650265E-3</v>
      </c>
      <c r="R166" cm="1">
        <f t="array" ref="R166">gamma_new(E166,A166,4,B166,D166,C166)</f>
        <v>2.0278536748316403E-3</v>
      </c>
      <c r="S166" cm="1">
        <f t="array" ref="S166">gamma_new(E166,A166,5,B166,D166,C166)</f>
        <v>1.697532230431444E-3</v>
      </c>
    </row>
    <row r="167" spans="1:29" x14ac:dyDescent="0.3">
      <c r="A167">
        <v>100</v>
      </c>
      <c r="B167">
        <f t="shared" si="8"/>
        <v>0.01</v>
      </c>
      <c r="C167">
        <v>0.7</v>
      </c>
      <c r="D167">
        <v>0</v>
      </c>
      <c r="E167" s="5">
        <v>110</v>
      </c>
      <c r="F167" cm="1">
        <f t="array" ref="F167">gamma_new(E167,A167,0.1,B167,D167,C167)</f>
        <v>1.4116922897835803E-2</v>
      </c>
      <c r="G167" cm="1">
        <f t="array" ref="G167">gamma_new(E167,A167,0.2,B167,D167,C167)</f>
        <v>1.0386559168173571E-2</v>
      </c>
      <c r="H167" cm="1">
        <f t="array" ref="H167">gamma_new(E167,A167,0.3,B167,D167,C167)</f>
        <v>8.5556668744456929E-3</v>
      </c>
      <c r="I167" cm="1">
        <f t="array" ref="I167">gamma_new(E167,A167,0.4,B167,D167,C167)</f>
        <v>7.4175004292191017E-3</v>
      </c>
      <c r="J167" cm="1">
        <f t="array" ref="J167">gamma_new(E167,A167,0.5,B167,D167,C167)</f>
        <v>6.6211552294550271E-3</v>
      </c>
      <c r="K167" cm="1">
        <f t="array" ref="K167">gamma_new(E167,A167,0.6,B167,D167,C167)</f>
        <v>6.0228687626333295E-3</v>
      </c>
      <c r="L167" cm="1">
        <f t="array" ref="L167">gamma_new(E167,A167,0.7,B167,D167,C167)</f>
        <v>5.551455496091982E-3</v>
      </c>
      <c r="M167" cm="1">
        <f t="array" ref="M167">gamma_new(E167,A167,0.8,B167,D167,C167)</f>
        <v>5.1671149596590072E-3</v>
      </c>
      <c r="N167" cm="1">
        <f t="array" ref="N167">gamma_new(E167,A167,0.9,B167,D167,C167)</f>
        <v>4.8456199569113729E-3</v>
      </c>
      <c r="O167" cm="1">
        <f t="array" ref="O167">gamma_new(E167,A167,1,B167,D167,C167)</f>
        <v>4.5712636144106178E-3</v>
      </c>
      <c r="P167" cm="1">
        <f t="array" ref="P167">gamma_new(E167,A167,2,B167,D167,C167)</f>
        <v>3.0389095397050079E-3</v>
      </c>
      <c r="Q167" cm="1">
        <f t="array" ref="Q167">gamma_new(E167,A167,3,B167,D167,C167)</f>
        <v>2.3255557791736149E-3</v>
      </c>
      <c r="R167" cm="1">
        <f t="array" ref="R167">gamma_new(E167,A167,4,B167,D167,C167)</f>
        <v>1.8861513492504586E-3</v>
      </c>
      <c r="S167" cm="1">
        <f t="array" ref="S167">gamma_new(E167,A167,5,B167,D167,C167)</f>
        <v>1.579452209795883E-3</v>
      </c>
    </row>
    <row r="168" spans="1:29" x14ac:dyDescent="0.3">
      <c r="A168">
        <v>100</v>
      </c>
      <c r="B168">
        <f t="shared" si="8"/>
        <v>0.01</v>
      </c>
      <c r="C168">
        <v>0.7</v>
      </c>
      <c r="D168">
        <v>0</v>
      </c>
      <c r="E168" s="5">
        <v>115</v>
      </c>
      <c r="F168" cm="1">
        <f t="array" ref="F168">gamma_new(E168,A168,0.1,B168,D168,C168)</f>
        <v>1.1859903232702466E-2</v>
      </c>
      <c r="G168" cm="1">
        <f t="array" ref="G168">gamma_new(E168,A168,0.2,B168,D168,C168)</f>
        <v>9.203783475584499E-3</v>
      </c>
      <c r="H168" cm="1">
        <f t="array" ref="H168">gamma_new(E168,A168,0.3,B168,D168,C168)</f>
        <v>7.7173184886323099E-3</v>
      </c>
      <c r="I168" cm="1">
        <f t="array" ref="I168">gamma_new(E168,A168,0.4,B168,D168,C168)</f>
        <v>6.7503931783214387E-3</v>
      </c>
      <c r="J168" cm="1">
        <f t="array" ref="J168">gamma_new(E168,A168,0.5,B168,D168,C168)</f>
        <v>6.057879326849697E-3</v>
      </c>
      <c r="K168" cm="1">
        <f t="array" ref="K168">gamma_new(E168,A168,0.6,B168,D168,C168)</f>
        <v>5.5301106483689197E-3</v>
      </c>
      <c r="L168" cm="1">
        <f t="array" ref="L168">gamma_new(E168,A168,0.7,B168,D168,C168)</f>
        <v>5.110222800877787E-3</v>
      </c>
      <c r="M168" cm="1">
        <f t="array" ref="M168">gamma_new(E168,A168,0.8,B168,D168,C168)</f>
        <v>4.7654949177442568E-3</v>
      </c>
      <c r="N168" cm="1">
        <f t="array" ref="N168">gamma_new(E168,A168,0.9,B168,D168,C168)</f>
        <v>4.4756116058880871E-3</v>
      </c>
      <c r="O168" cm="1">
        <f t="array" ref="O168">gamma_new(E168,A168,1,B168,D168,C168)</f>
        <v>4.2272100949932393E-3</v>
      </c>
      <c r="P168" cm="1">
        <f t="array" ref="P168">gamma_new(E168,A168,2,B168,D168,C168)</f>
        <v>2.8252097596136601E-3</v>
      </c>
      <c r="Q168" cm="1">
        <f t="array" ref="Q168">gamma_new(E168,A168,3,B168,D168,C168)</f>
        <v>2.1658654446295063E-3</v>
      </c>
      <c r="R168" cm="1">
        <f t="array" ref="R168">gamma_new(E168,A168,4,B168,D168,C168)</f>
        <v>1.7581954164242323E-3</v>
      </c>
      <c r="S168" cm="1">
        <f t="array" ref="S168">gamma_new(E168,A168,5,B168,D168,C168)</f>
        <v>1.4730877927904098E-3</v>
      </c>
    </row>
    <row r="169" spans="1:29" x14ac:dyDescent="0.3">
      <c r="A169">
        <v>100</v>
      </c>
      <c r="B169">
        <f t="shared" si="8"/>
        <v>0.01</v>
      </c>
      <c r="C169">
        <v>0.7</v>
      </c>
      <c r="D169">
        <v>0</v>
      </c>
      <c r="E169" s="5">
        <v>120</v>
      </c>
      <c r="F169" cm="1">
        <f t="array" ref="F169">gamma_new(E169,A169,0.1,B169,D169,C169)</f>
        <v>9.6656682737553817E-3</v>
      </c>
      <c r="G169" cm="1">
        <f t="array" ref="G169">gamma_new(E169,A169,0.2,B169,D169,C169)</f>
        <v>8.0443434228638505E-3</v>
      </c>
      <c r="H169" cm="1">
        <f t="array" ref="H169">gamma_new(E169,A169,0.3,B169,D169,C169)</f>
        <v>6.9042279757614029E-3</v>
      </c>
      <c r="I169" cm="1">
        <f t="array" ref="I169">gamma_new(E169,A169,0.4,B169,D169,C169)</f>
        <v>6.1099831647887133E-3</v>
      </c>
      <c r="J169" cm="1">
        <f t="array" ref="J169">gamma_new(E169,A169,0.5,B169,D169,C169)</f>
        <v>5.521650440987385E-3</v>
      </c>
      <c r="K169" cm="1">
        <f t="array" ref="K169">gamma_new(E169,A169,0.6,B169,D169,C169)</f>
        <v>5.0641552384961992E-3</v>
      </c>
      <c r="L169" cm="1">
        <f t="array" ref="L169">gamma_new(E169,A169,0.7,B169,D169,C169)</f>
        <v>4.695257124921806E-3</v>
      </c>
      <c r="M169" cm="1">
        <f t="array" ref="M169">gamma_new(E169,A169,0.8,B169,D169,C169)</f>
        <v>4.389472398679462E-3</v>
      </c>
      <c r="N169" cm="1">
        <f t="array" ref="N169">gamma_new(E169,A169,0.9,B169,D169,C169)</f>
        <v>4.1304789251975565E-3</v>
      </c>
      <c r="O169" cm="1">
        <f t="array" ref="O169">gamma_new(E169,A169,1,B169,D169,C169)</f>
        <v>3.9073005483939759E-3</v>
      </c>
      <c r="P169" cm="1">
        <f t="array" ref="P169">gamma_new(E169,A169,2,B169,D169,C169)</f>
        <v>2.6297292078183562E-3</v>
      </c>
      <c r="Q169" cm="1">
        <f t="array" ref="Q169">gamma_new(E169,A169,3,B169,D169,C169)</f>
        <v>2.0207112229770128E-3</v>
      </c>
      <c r="R169" cm="1">
        <f t="array" ref="R169">gamma_new(E169,A169,4,B169,D169,C169)</f>
        <v>1.642276011148893E-3</v>
      </c>
      <c r="S169" cm="1">
        <f t="array" ref="S169">gamma_new(E169,A169,5,B169,D169,C169)</f>
        <v>1.3769284422211071E-3</v>
      </c>
    </row>
    <row r="170" spans="1:29" x14ac:dyDescent="0.3">
      <c r="A170">
        <v>100</v>
      </c>
      <c r="B170">
        <f t="shared" si="8"/>
        <v>0.01</v>
      </c>
      <c r="C170">
        <v>0.7</v>
      </c>
      <c r="D170">
        <v>0</v>
      </c>
      <c r="E170" s="5">
        <v>125</v>
      </c>
      <c r="F170" cm="1">
        <f t="array" ref="F170">gamma_new(E170,A170,0.1,B170,D170,C170)</f>
        <v>7.6723064320762075E-3</v>
      </c>
      <c r="G170" cm="1">
        <f t="array" ref="G170">gamma_new(E170,A170,0.2,B170,D170,C170)</f>
        <v>6.9480054266114043E-3</v>
      </c>
      <c r="H170" cm="1">
        <f t="array" ref="H170">gamma_new(E170,A170,0.3,B170,D170,C170)</f>
        <v>6.1335206714141742E-3</v>
      </c>
      <c r="I170" cm="1">
        <f t="array" ref="I170">gamma_new(E170,A170,0.4,B170,D170,C170)</f>
        <v>5.5048730202683178E-3</v>
      </c>
      <c r="J170" cm="1">
        <f t="array" ref="J170">gamma_new(E170,A170,0.5,B170,D170,C170)</f>
        <v>5.0169959510340143E-3</v>
      </c>
      <c r="K170" cm="1">
        <f t="array" ref="K170">gamma_new(E170,A170,0.6,B170,D170,C170)</f>
        <v>4.6272917681105998E-3</v>
      </c>
      <c r="L170" cm="1">
        <f t="array" ref="L170">gamma_new(E170,A170,0.7,B170,D170,C170)</f>
        <v>4.307504168560297E-3</v>
      </c>
      <c r="M170" cm="1">
        <f t="array" ref="M170">gamma_new(E170,A170,0.8,B170,D170,C170)</f>
        <v>4.0391361037065907E-3</v>
      </c>
      <c r="N170" cm="1">
        <f t="array" ref="N170">gamma_new(E170,A170,0.9,B170,D170,C170)</f>
        <v>3.8097400133804268E-3</v>
      </c>
      <c r="O170" cm="1">
        <f t="array" ref="O170">gamma_new(E170,A170,1,B170,D170,C170)</f>
        <v>3.6106613565975105E-3</v>
      </c>
      <c r="P170" cm="1">
        <f t="array" ref="P170">gamma_new(E170,A170,2,B170,D170,C170)</f>
        <v>2.4506907908901717E-3</v>
      </c>
      <c r="Q170" cm="1">
        <f t="array" ref="Q170">gamma_new(E170,A170,3,B170,D170,C170)</f>
        <v>1.8884446433714054E-3</v>
      </c>
      <c r="R170" cm="1">
        <f t="array" ref="R170">gamma_new(E170,A170,4,B170,D170,C170)</f>
        <v>1.5369417658325788E-3</v>
      </c>
      <c r="S170" cm="1">
        <f t="array" ref="S170">gamma_new(E170,A170,5,B170,D170,C170)</f>
        <v>1.2897020473077189E-3</v>
      </c>
    </row>
    <row r="171" spans="1:29" x14ac:dyDescent="0.3">
      <c r="A171">
        <v>100</v>
      </c>
      <c r="B171">
        <f t="shared" si="8"/>
        <v>0.01</v>
      </c>
      <c r="C171">
        <v>0.7</v>
      </c>
      <c r="D171">
        <v>0</v>
      </c>
      <c r="E171" s="5">
        <v>130</v>
      </c>
      <c r="F171" cm="1">
        <f t="array" ref="F171">gamma_new(E171,A171,0.1,B171,D171,C171)</f>
        <v>5.951718749672371E-3</v>
      </c>
      <c r="G171" cm="1">
        <f t="array" ref="G171">gamma_new(E171,A171,0.2,B171,D171,C171)</f>
        <v>5.9397691302322852E-3</v>
      </c>
      <c r="H171" cm="1">
        <f t="array" ref="H171">gamma_new(E171,A171,0.3,B171,D171,C171)</f>
        <v>5.416061259655958E-3</v>
      </c>
      <c r="I171" cm="1">
        <f t="array" ref="I171">gamma_new(E171,A171,0.4,B171,D171,C171)</f>
        <v>4.9402986041263012E-3</v>
      </c>
      <c r="J171" cm="1">
        <f t="array" ref="J171">gamma_new(E171,A171,0.5,B171,D171,C171)</f>
        <v>4.5464135777578659E-3</v>
      </c>
      <c r="K171" cm="1">
        <f t="array" ref="K171">gamma_new(E171,A171,0.6,B171,D171,C171)</f>
        <v>4.2205100377974841E-3</v>
      </c>
      <c r="L171" cm="1">
        <f t="array" ref="L171">gamma_new(E171,A171,0.7,B171,D171,C171)</f>
        <v>3.9470529091205717E-3</v>
      </c>
      <c r="M171" cm="1">
        <f t="array" ref="M171">gamma_new(E171,A171,0.8,B171,D171,C171)</f>
        <v>3.7140061659351694E-3</v>
      </c>
      <c r="N171" cm="1">
        <f t="array" ref="N171">gamma_new(E171,A171,0.9,B171,D171,C171)</f>
        <v>3.512541780690544E-3</v>
      </c>
      <c r="O171" cm="1">
        <f t="array" ref="O171">gamma_new(E171,A171,1,B171,D171,C171)</f>
        <v>3.3361881745004036E-3</v>
      </c>
      <c r="P171" cm="1">
        <f t="array" ref="P171">gamma_new(E171,A171,2,B171,D171,C171)</f>
        <v>2.2865020500445546E-3</v>
      </c>
      <c r="Q171" cm="1">
        <f t="array" ref="Q171">gamma_new(E171,A171,3,B171,D171,C171)</f>
        <v>1.7676397810746783E-3</v>
      </c>
      <c r="R171" cm="1">
        <f t="array" ref="R171">gamma_new(E171,A171,4,B171,D171,C171)</f>
        <v>1.4409540654072789E-3</v>
      </c>
      <c r="S171" cm="1">
        <f t="array" ref="S171">gamma_new(E171,A171,5,B171,D171,C171)</f>
        <v>1.2103306821647387E-3</v>
      </c>
    </row>
    <row r="172" spans="1:29" x14ac:dyDescent="0.3">
      <c r="A172">
        <v>100</v>
      </c>
      <c r="B172">
        <f t="shared" si="8"/>
        <v>0.01</v>
      </c>
      <c r="C172">
        <v>0.7</v>
      </c>
      <c r="D172">
        <v>0</v>
      </c>
      <c r="E172" s="5">
        <v>135</v>
      </c>
      <c r="F172" cm="1">
        <f t="array" ref="F172">gamma_new(E172,A172,0.1,B172,D172,C172)</f>
        <v>4.5253257044277663E-3</v>
      </c>
      <c r="G172" cm="1">
        <f t="array" ref="G172">gamma_new(E172,A172,0.2,B172,D172,C172)</f>
        <v>5.032841168770865E-3</v>
      </c>
      <c r="H172" cm="1">
        <f t="array" ref="H172">gamma_new(E172,A172,0.3,B172,D172,C172)</f>
        <v>4.7577976437139921E-3</v>
      </c>
      <c r="I172" cm="1">
        <f t="array" ref="I172">gamma_new(E172,A172,0.4,B172,D172,C172)</f>
        <v>4.418908085173273E-3</v>
      </c>
      <c r="J172" cm="1">
        <f t="array" ref="J172">gamma_new(E172,A172,0.5,B172,D172,C172)</f>
        <v>4.1108755593961786E-3</v>
      </c>
      <c r="K172" cm="1">
        <f t="array" ref="K172">gamma_new(E172,A172,0.6,B172,D172,C172)</f>
        <v>3.843846849379262E-3</v>
      </c>
      <c r="L172" cm="1">
        <f t="array" ref="L172">gamma_new(E172,A172,0.7,B172,D172,C172)</f>
        <v>3.6133822440573074E-3</v>
      </c>
      <c r="M172" cm="1">
        <f t="array" ref="M172">gamma_new(E172,A172,0.8,B172,D172,C172)</f>
        <v>3.4132134114907699E-3</v>
      </c>
      <c r="N172" cm="1">
        <f t="array" ref="N172">gamma_new(E172,A172,0.9,B172,D172,C172)</f>
        <v>3.2377915355785258E-3</v>
      </c>
      <c r="O172" cm="1">
        <f t="array" ref="O172">gamma_new(E172,A172,1,B172,D172,C172)</f>
        <v>3.0826425769667001E-3</v>
      </c>
      <c r="P172" cm="1">
        <f t="array" ref="P172">gamma_new(E172,A172,2,B172,D172,C172)</f>
        <v>2.135737389598717E-3</v>
      </c>
      <c r="Q172" cm="1">
        <f t="array" ref="Q172">gamma_new(E172,A172,3,B172,D172,C172)</f>
        <v>1.6570587123427086E-3</v>
      </c>
      <c r="R172" cm="1">
        <f t="array" ref="R172">gamma_new(E172,A172,4,B172,D172,C172)</f>
        <v>1.3532505216783844E-3</v>
      </c>
      <c r="S172" cm="1">
        <f t="array" ref="S172">gamma_new(E172,A172,5,B172,D172,C172)</f>
        <v>1.1378957402150721E-3</v>
      </c>
    </row>
    <row r="173" spans="1:29" x14ac:dyDescent="0.3">
      <c r="A173">
        <v>100</v>
      </c>
      <c r="B173">
        <f t="shared" si="8"/>
        <v>0.01</v>
      </c>
      <c r="C173">
        <v>0.7</v>
      </c>
      <c r="D173">
        <v>0</v>
      </c>
      <c r="E173" s="5">
        <v>140</v>
      </c>
      <c r="F173" cm="1">
        <f t="array" ref="F173">gamma_new(E173,A173,0.1,B173,D173,C173)</f>
        <v>3.3809719972766094E-3</v>
      </c>
      <c r="G173" cm="1">
        <f t="array" ref="G173">gamma_new(E173,A173,0.2,B173,D173,C173)</f>
        <v>4.2315767668887148E-3</v>
      </c>
      <c r="H173" cm="1">
        <f t="array" ref="H173">gamma_new(E173,A173,0.3,B173,D173,C173)</f>
        <v>4.1609649306336869E-3</v>
      </c>
      <c r="I173" cm="1">
        <f t="array" ref="I173">gamma_new(E173,A173,0.4,B173,D173,C173)</f>
        <v>3.9414189602814571E-3</v>
      </c>
      <c r="J173" cm="1">
        <f t="array" ref="J173">gamma_new(E173,A173,0.5,B173,D173,C173)</f>
        <v>3.7102373281194712E-3</v>
      </c>
      <c r="K173" cm="1">
        <f t="array" ref="K173">gamma_new(E173,A173,0.6,B173,D173,C173)</f>
        <v>3.4966587776716893E-3</v>
      </c>
      <c r="L173" cm="1">
        <f t="array" ref="L173">gamma_new(E173,A173,0.7,B173,D173,C173)</f>
        <v>3.3055506117879098E-3</v>
      </c>
      <c r="M173" cm="1">
        <f t="array" ref="M173">gamma_new(E173,A173,0.8,B173,D173,C173)</f>
        <v>3.1356342078068698E-3</v>
      </c>
      <c r="N173" cm="1">
        <f t="array" ref="N173">gamma_new(E173,A173,0.9,B173,D173,C173)</f>
        <v>2.9842538150227291E-3</v>
      </c>
      <c r="O173" cm="1">
        <f t="array" ref="O173">gamma_new(E173,A173,1,B173,D173,C173)</f>
        <v>2.848721453124078E-3</v>
      </c>
      <c r="P173" cm="1">
        <f t="array" ref="P173">gamma_new(E173,A173,2,B173,D173,C173)</f>
        <v>1.9971210590788288E-3</v>
      </c>
      <c r="Q173" cm="1">
        <f t="array" ref="Q173">gamma_new(E173,A173,3,B173,D173,C173)</f>
        <v>1.5556229650607702E-3</v>
      </c>
      <c r="R173" cm="1">
        <f t="array" ref="R173">gamma_new(E173,A173,4,B173,D173,C173)</f>
        <v>1.2729155943916081E-3</v>
      </c>
      <c r="S173" cm="1">
        <f t="array" ref="S173">gamma_new(E173,A173,5,B173,D173,C173)</f>
        <v>1.0716102231972905E-3</v>
      </c>
    </row>
    <row r="175" spans="1:29" x14ac:dyDescent="0.3">
      <c r="A175" s="6" t="s">
        <v>30</v>
      </c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</row>
    <row r="176" spans="1:29" x14ac:dyDescent="0.3">
      <c r="A176" t="s">
        <v>13</v>
      </c>
      <c r="B176" t="s">
        <v>14</v>
      </c>
      <c r="C176" t="s">
        <v>15</v>
      </c>
      <c r="D176" t="s">
        <v>26</v>
      </c>
      <c r="F176" s="7">
        <v>0.1</v>
      </c>
      <c r="G176" s="7">
        <v>0.2</v>
      </c>
      <c r="H176" s="7">
        <v>0.3</v>
      </c>
      <c r="I176" s="7">
        <v>0.4</v>
      </c>
      <c r="J176" s="7">
        <v>0.5</v>
      </c>
      <c r="K176" s="7">
        <v>0.6</v>
      </c>
      <c r="L176" s="7">
        <v>0.7</v>
      </c>
      <c r="M176" s="7">
        <v>0.8</v>
      </c>
      <c r="N176" s="7">
        <v>0.9</v>
      </c>
      <c r="O176" s="7">
        <v>1</v>
      </c>
      <c r="P176" s="7">
        <v>2</v>
      </c>
      <c r="Q176" s="7">
        <v>3</v>
      </c>
      <c r="R176" s="7">
        <v>4</v>
      </c>
      <c r="S176" s="7">
        <v>5</v>
      </c>
    </row>
    <row r="177" spans="1:19" x14ac:dyDescent="0.3">
      <c r="A177">
        <v>100</v>
      </c>
      <c r="B177">
        <f>1/100</f>
        <v>0.01</v>
      </c>
      <c r="C177">
        <v>0.2</v>
      </c>
      <c r="D177">
        <v>0</v>
      </c>
      <c r="E177" s="5">
        <v>60</v>
      </c>
      <c r="F177" cm="1">
        <f t="array" ref="F177">vega_new(E177,A177,0.1,B177,D177,C177)</f>
        <v>7.5719207361531471E-14</v>
      </c>
      <c r="G177" cm="1">
        <f t="array" ref="G177">vega_new(E177,A177,0.2,B177,D177,C177)</f>
        <v>1.2945209838663301E-6</v>
      </c>
      <c r="H177" cm="1">
        <f t="array" ref="H177">vega_new(E177,A177,0.3,B177,D177,C177)</f>
        <v>3.6360095554575553E-4</v>
      </c>
      <c r="I177" cm="1">
        <f t="array" ref="I177">vega_new(E177,A177,0.4,B177,D177,C177)</f>
        <v>6.354556411051324E-3</v>
      </c>
      <c r="J177" cm="1">
        <f t="array" ref="J177">vega_new(E177,A177,0.5,B177,D177,C177)</f>
        <v>3.6252613967393155E-2</v>
      </c>
      <c r="K177" cm="1">
        <f t="array" ref="K177">vega_new(E177,A177,0.6,B177,D177,C177)</f>
        <v>0.11766116464443557</v>
      </c>
      <c r="L177" cm="1">
        <f t="array" ref="L177">vega_new(E177,A177,0.7,B177,D177,C177)</f>
        <v>0.27599282724645069</v>
      </c>
      <c r="M177" cm="1">
        <f t="array" ref="M177">vega_new(E177,A177,0.8,B177,D177,C177)</f>
        <v>0.52767323580423287</v>
      </c>
      <c r="N177" cm="1">
        <f t="array" ref="N177">vega_new(E177,A177,0.9,B177,D177,C177)</f>
        <v>0.87942603690305721</v>
      </c>
      <c r="O177" cm="1">
        <f t="array" ref="O177">vega_new(E177,A177,1,B177,D177,C177)</f>
        <v>1.3304138019690321</v>
      </c>
      <c r="P177" cm="1">
        <f t="array" ref="P177">vega_new(E177,A177,2,B177,D177,C177)</f>
        <v>9.5039378692490786</v>
      </c>
      <c r="Q177" cm="1">
        <f t="array" ref="Q177">vega_new(E177,A177,3,B177,D177,C177)</f>
        <v>19.822539521715424</v>
      </c>
      <c r="R177" cm="1">
        <f t="array" ref="R177">vega_new(E177,A177,4,B177,D177,C177)</f>
        <v>29.702348640212861</v>
      </c>
      <c r="S177" cm="1">
        <f t="array" ref="S177">vega_new(E177,A177,5,B177,D177,C177)</f>
        <v>38.653493471867854</v>
      </c>
    </row>
    <row r="178" spans="1:19" x14ac:dyDescent="0.3">
      <c r="A178">
        <v>100</v>
      </c>
      <c r="B178">
        <f t="shared" ref="B178:B193" si="9">1/100</f>
        <v>0.01</v>
      </c>
      <c r="C178">
        <v>0.2</v>
      </c>
      <c r="D178">
        <v>0</v>
      </c>
      <c r="E178" s="5">
        <v>65</v>
      </c>
      <c r="F178" cm="1">
        <f t="array" ref="F178">vega_new(E178,A178,0.1,B178,D178,C178)</f>
        <v>9.5374791219906021E-10</v>
      </c>
      <c r="G178" cm="1">
        <f t="array" ref="G178">vega_new(E178,A178,0.2,B178,D178,C178)</f>
        <v>1.4674662728048757E-4</v>
      </c>
      <c r="H178" cm="1">
        <f t="array" ref="H178">vega_new(E178,A178,0.3,B178,D178,C178)</f>
        <v>8.57356044392623E-3</v>
      </c>
      <c r="I178" cm="1">
        <f t="array" ref="I178">vega_new(E178,A178,0.4,B178,D178,C178)</f>
        <v>6.8337646766849905E-2</v>
      </c>
      <c r="J178" cm="1">
        <f t="array" ref="J178">vega_new(E178,A178,0.5,B178,D178,C178)</f>
        <v>0.24340934965576377</v>
      </c>
      <c r="K178" cm="1">
        <f t="array" ref="K178">vega_new(E178,A178,0.6,B178,D178,C178)</f>
        <v>0.57709392847973573</v>
      </c>
      <c r="L178" cm="1">
        <f t="array" ref="L178">vega_new(E178,A178,0.7,B178,D178,C178)</f>
        <v>1.0816670734477618</v>
      </c>
      <c r="M178" cm="1">
        <f t="array" ref="M178">vega_new(E178,A178,0.8,B178,D178,C178)</f>
        <v>1.747824087361423</v>
      </c>
      <c r="N178" cm="1">
        <f t="array" ref="N178">vega_new(E178,A178,0.9,B178,D178,C178)</f>
        <v>2.5556717355709924</v>
      </c>
      <c r="O178" cm="1">
        <f t="array" ref="O178">vega_new(E178,A178,1,B178,D178,C178)</f>
        <v>3.4820176623168373</v>
      </c>
      <c r="P178" cm="1">
        <f t="array" ref="P178">vega_new(E178,A178,2,B178,D178,C178)</f>
        <v>15.529982480581037</v>
      </c>
      <c r="Q178" cm="1">
        <f t="array" ref="Q178">vega_new(E178,A178,3,B178,D178,C178)</f>
        <v>27.684353502761887</v>
      </c>
      <c r="R178" cm="1">
        <f t="array" ref="R178">vega_new(E178,A178,4,B178,D178,C178)</f>
        <v>38.350386340459217</v>
      </c>
      <c r="S178" cm="1">
        <f t="array" ref="S178">vega_new(E178,A178,5,B178,D178,C178)</f>
        <v>47.611297617669926</v>
      </c>
    </row>
    <row r="179" spans="1:19" x14ac:dyDescent="0.3">
      <c r="A179">
        <v>100</v>
      </c>
      <c r="B179">
        <f t="shared" si="9"/>
        <v>0.01</v>
      </c>
      <c r="C179">
        <v>0.2</v>
      </c>
      <c r="D179">
        <v>0</v>
      </c>
      <c r="E179" s="5">
        <v>70</v>
      </c>
      <c r="F179" cm="1">
        <f t="array" ref="F179">vega_new(E179,A179,0.1,B179,D179,C179)</f>
        <v>1.4305070674681113E-6</v>
      </c>
      <c r="G179" cm="1">
        <f t="array" ref="G179">vega_new(E179,A179,0.2,B179,D179,C179)</f>
        <v>5.7361357105493501E-3</v>
      </c>
      <c r="H179" cm="1">
        <f t="array" ref="H179">vega_new(E179,A179,0.3,B179,D179,C179)</f>
        <v>9.9359820227649887E-2</v>
      </c>
      <c r="I179" cm="1">
        <f t="array" ref="I179">vega_new(E179,A179,0.4,B179,D179,C179)</f>
        <v>0.43122978474392237</v>
      </c>
      <c r="J179" cm="1">
        <f t="array" ref="J179">vega_new(E179,A179,0.5,B179,D179,C179)</f>
        <v>1.0665604474636938</v>
      </c>
      <c r="K179" cm="1">
        <f t="array" ref="K179">vega_new(E179,A179,0.6,B179,D179,C179)</f>
        <v>1.9828706392671893</v>
      </c>
      <c r="L179" cm="1">
        <f t="array" ref="L179">vega_new(E179,A179,0.7,B179,D179,C179)</f>
        <v>3.1240118425491601</v>
      </c>
      <c r="M179" cm="1">
        <f t="array" ref="M179">vega_new(E179,A179,0.8,B179,D179,C179)</f>
        <v>4.4314430319658937</v>
      </c>
      <c r="N179" cm="1">
        <f t="array" ref="N179">vega_new(E179,A179,0.9,B179,D179,C179)</f>
        <v>5.855343505406033</v>
      </c>
      <c r="O179" cm="1">
        <f t="array" ref="O179">vega_new(E179,A179,1,B179,D179,C179)</f>
        <v>7.3566173019582468</v>
      </c>
      <c r="P179" cm="1">
        <f t="array" ref="P179">vega_new(E179,A179,2,B179,D179,C179)</f>
        <v>22.783353493544929</v>
      </c>
      <c r="Q179" cm="1">
        <f t="array" ref="Q179">vega_new(E179,A179,3,B179,D179,C179)</f>
        <v>35.965069029119611</v>
      </c>
      <c r="R179" cm="1">
        <f t="array" ref="R179">vega_new(E179,A179,4,B179,D179,C179)</f>
        <v>46.883083785060734</v>
      </c>
      <c r="S179" cm="1">
        <f t="array" ref="S179">vega_new(E179,A179,5,B179,D179,C179)</f>
        <v>56.119836056730875</v>
      </c>
    </row>
    <row r="180" spans="1:19" x14ac:dyDescent="0.3">
      <c r="A180">
        <v>100</v>
      </c>
      <c r="B180">
        <f t="shared" si="9"/>
        <v>0.01</v>
      </c>
      <c r="C180">
        <v>0.2</v>
      </c>
      <c r="D180">
        <v>0</v>
      </c>
      <c r="E180" s="5">
        <v>75</v>
      </c>
      <c r="F180" cm="1">
        <f t="array" ref="F180">vega_new(E180,A180,0.1,B180,D180,C180)</f>
        <v>3.770139897571843E-4</v>
      </c>
      <c r="G180" cm="1">
        <f t="array" ref="G180">vega_new(E180,A180,0.2,B180,D180,C180)</f>
        <v>9.3928751471449773E-2</v>
      </c>
      <c r="H180" cm="1">
        <f t="array" ref="H180">vega_new(E180,A180,0.3,B180,D180,C180)</f>
        <v>0.64440735249376058</v>
      </c>
      <c r="I180" cm="1">
        <f t="array" ref="I180">vega_new(E180,A180,0.4,B180,D180,C180)</f>
        <v>1.76012583898282</v>
      </c>
      <c r="J180" cm="1">
        <f t="array" ref="J180">vega_new(E180,A180,0.5,B180,D180,C180)</f>
        <v>3.2972479768503962</v>
      </c>
      <c r="K180" cm="1">
        <f t="array" ref="K180">vega_new(E180,A180,0.6,B180,D180,C180)</f>
        <v>5.0934802908825043</v>
      </c>
      <c r="L180" cm="1">
        <f t="array" ref="L180">vega_new(E180,A180,0.7,B180,D180,C180)</f>
        <v>7.0302629740001565</v>
      </c>
      <c r="M180" cm="1">
        <f t="array" ref="M180">vega_new(E180,A180,0.8,B180,D180,C180)</f>
        <v>9.0304222542602286</v>
      </c>
      <c r="N180" cm="1">
        <f t="array" ref="N180">vega_new(E180,A180,0.9,B180,D180,C180)</f>
        <v>11.045773801093519</v>
      </c>
      <c r="O180" cm="1">
        <f t="array" ref="O180">vega_new(E180,A180,1,B180,D180,C180)</f>
        <v>13.046879019121693</v>
      </c>
      <c r="P180" cm="1">
        <f t="array" ref="P180">vega_new(E180,A180,2,B180,D180,C180)</f>
        <v>30.603936130050933</v>
      </c>
      <c r="Q180" cm="1">
        <f t="array" ref="Q180">vega_new(E180,A180,3,B180,D180,C180)</f>
        <v>44.036986538728897</v>
      </c>
      <c r="R180" cm="1">
        <f t="array" ref="R180">vega_new(E180,A180,4,B180,D180,C180)</f>
        <v>54.807676647351542</v>
      </c>
      <c r="S180" cm="1">
        <f t="array" ref="S180">vega_new(E180,A180,5,B180,D180,C180)</f>
        <v>63.807941266216027</v>
      </c>
    </row>
    <row r="181" spans="1:19" x14ac:dyDescent="0.3">
      <c r="A181">
        <v>100</v>
      </c>
      <c r="B181">
        <f t="shared" si="9"/>
        <v>0.01</v>
      </c>
      <c r="C181">
        <v>0.2</v>
      </c>
      <c r="D181">
        <v>0</v>
      </c>
      <c r="E181" s="5">
        <v>80</v>
      </c>
      <c r="F181" cm="1">
        <f t="array" ref="F181">vega_new(E181,A181,0.1,B181,D181,C181)</f>
        <v>2.3609588828415677E-2</v>
      </c>
      <c r="G181" cm="1">
        <f t="array" ref="G181">vega_new(E181,A181,0.2,B181,D181,C181)</f>
        <v>0.74932050826936913</v>
      </c>
      <c r="H181" cm="1">
        <f t="array" ref="H181">vega_new(E181,A181,0.3,B181,D181,C181)</f>
        <v>2.5866773497556825</v>
      </c>
      <c r="I181" cm="1">
        <f t="array" ref="I181">vega_new(E181,A181,0.4,B181,D181,C181)</f>
        <v>5.0116628118720126</v>
      </c>
      <c r="J181" cm="1">
        <f t="array" ref="J181">vega_new(E181,A181,0.5,B181,D181,C181)</f>
        <v>7.6401792301498688</v>
      </c>
      <c r="K181" cm="1">
        <f t="array" ref="K181">vega_new(E181,A181,0.6,B181,D181,C181)</f>
        <v>10.287482444006045</v>
      </c>
      <c r="L181" cm="1">
        <f t="array" ref="L181">vega_new(E181,A181,0.7,B181,D181,C181)</f>
        <v>12.872223646374943</v>
      </c>
      <c r="M181" cm="1">
        <f t="array" ref="M181">vega_new(E181,A181,0.8,B181,D181,C181)</f>
        <v>15.36139692301162</v>
      </c>
      <c r="N181" cm="1">
        <f t="array" ref="N181">vega_new(E181,A181,0.9,B181,D181,C181)</f>
        <v>17.74440836712964</v>
      </c>
      <c r="O181" cm="1">
        <f t="array" ref="O181">vega_new(E181,A181,1,B181,D181,C181)</f>
        <v>20.021019742744606</v>
      </c>
      <c r="P181" cm="1">
        <f t="array" ref="P181">vega_new(E181,A181,2,B181,D181,C181)</f>
        <v>38.218237653015329</v>
      </c>
      <c r="Q181" cm="1">
        <f t="array" ref="Q181">vega_new(E181,A181,3,B181,D181,C181)</f>
        <v>51.343117209127108</v>
      </c>
      <c r="R181" cm="1">
        <f t="array" ref="R181">vega_new(E181,A181,4,B181,D181,C181)</f>
        <v>61.743560179207321</v>
      </c>
      <c r="S181" cm="1">
        <f t="array" ref="S181">vega_new(E181,A181,5,B181,D181,C181)</f>
        <v>70.416816821210716</v>
      </c>
    </row>
    <row r="182" spans="1:19" x14ac:dyDescent="0.3">
      <c r="A182">
        <v>100</v>
      </c>
      <c r="B182">
        <f t="shared" si="9"/>
        <v>0.01</v>
      </c>
      <c r="C182">
        <v>0.2</v>
      </c>
      <c r="D182">
        <v>0</v>
      </c>
      <c r="E182" s="5">
        <v>85</v>
      </c>
      <c r="F182" cm="1">
        <f t="array" ref="F182">vega_new(E182,A182,0.1,B182,D182,C182)</f>
        <v>0.44558558892443634</v>
      </c>
      <c r="G182" cm="1">
        <f t="array" ref="G182">vega_new(E182,A182,0.2,B182,D182,C182)</f>
        <v>3.2800471961839519</v>
      </c>
      <c r="H182" cm="1">
        <f t="array" ref="H182">vega_new(E182,A182,0.3,B182,D182,C182)</f>
        <v>6.9568288790958288</v>
      </c>
      <c r="I182" cm="1">
        <f t="array" ref="I182">vega_new(E182,A182,0.4,B182,D182,C182)</f>
        <v>10.565235887329337</v>
      </c>
      <c r="J182" cm="1">
        <f t="array" ref="J182">vega_new(E182,A182,0.5,B182,D182,C182)</f>
        <v>13.91675164727925</v>
      </c>
      <c r="K182" cm="1">
        <f t="array" ref="K182">vega_new(E182,A182,0.6,B182,D182,C182)</f>
        <v>16.99944547238977</v>
      </c>
      <c r="L182" cm="1">
        <f t="array" ref="L182">vega_new(E182,A182,0.7,B182,D182,C182)</f>
        <v>19.84077978526323</v>
      </c>
      <c r="M182" cm="1">
        <f t="array" ref="M182">vega_new(E182,A182,0.8,B182,D182,C182)</f>
        <v>22.473489195639598</v>
      </c>
      <c r="N182" cm="1">
        <f t="array" ref="N182">vega_new(E182,A182,0.9,B182,D182,C182)</f>
        <v>24.927154208382692</v>
      </c>
      <c r="O182" cm="1">
        <f t="array" ref="O182">vega_new(E182,A182,1,B182,D182,C182)</f>
        <v>27.226666793458271</v>
      </c>
      <c r="P182" cm="1">
        <f t="array" ref="P182">vega_new(E182,A182,2,B182,D182,C182)</f>
        <v>44.907193585775431</v>
      </c>
      <c r="Q182" cm="1">
        <f t="array" ref="Q182">vega_new(E182,A182,3,B182,D182,C182)</f>
        <v>57.460996039653594</v>
      </c>
      <c r="R182" cm="1">
        <f t="array" ref="R182">vega_new(E182,A182,4,B182,D182,C182)</f>
        <v>67.4381137049225</v>
      </c>
      <c r="S182" cm="1">
        <f t="array" ref="S182">vega_new(E182,A182,5,B182,D182,C182)</f>
        <v>75.795571731518351</v>
      </c>
    </row>
    <row r="183" spans="1:19" x14ac:dyDescent="0.3">
      <c r="A183">
        <v>100</v>
      </c>
      <c r="B183">
        <f t="shared" si="9"/>
        <v>0.01</v>
      </c>
      <c r="C183">
        <v>0.2</v>
      </c>
      <c r="D183">
        <v>0</v>
      </c>
      <c r="E183" s="5">
        <v>90</v>
      </c>
      <c r="F183" cm="1">
        <f t="array" ref="F183">vega_new(E183,A183,0.1,B183,D183,C183)</f>
        <v>3.0644533309865176</v>
      </c>
      <c r="G183" cm="1">
        <f t="array" ref="G183">vega_new(E183,A183,0.2,B183,D183,C183)</f>
        <v>8.6635119422354219</v>
      </c>
      <c r="H183" cm="1">
        <f t="array" ref="H183">vega_new(E183,A183,0.3,B183,D183,C183)</f>
        <v>13.356393635672964</v>
      </c>
      <c r="I183" cm="1">
        <f t="array" ref="I183">vega_new(E183,A183,0.4,B183,D183,C183)</f>
        <v>17.293746502576173</v>
      </c>
      <c r="J183" cm="1">
        <f t="array" ref="J183">vega_new(E183,A183,0.5,B183,D183,C183)</f>
        <v>20.700792345453848</v>
      </c>
      <c r="K183" cm="1">
        <f t="array" ref="K183">vega_new(E183,A183,0.6,B183,D183,C183)</f>
        <v>23.723384471393921</v>
      </c>
      <c r="L183" cm="1">
        <f t="array" ref="L183">vega_new(E183,A183,0.7,B183,D183,C183)</f>
        <v>26.455122246358705</v>
      </c>
      <c r="M183" cm="1">
        <f t="array" ref="M183">vega_new(E183,A183,0.8,B183,D183,C183)</f>
        <v>28.958655791598932</v>
      </c>
      <c r="N183" cm="1">
        <f t="array" ref="N183">vega_new(E183,A183,0.9,B183,D183,C183)</f>
        <v>31.27778048750498</v>
      </c>
      <c r="O183" cm="1">
        <f t="array" ref="O183">vega_new(E183,A183,1,B183,D183,C183)</f>
        <v>33.444289202725919</v>
      </c>
      <c r="P183" cm="1">
        <f t="array" ref="P183">vega_new(E183,A183,2,B183,D183,C183)</f>
        <v>50.128257699490845</v>
      </c>
      <c r="Q183" cm="1">
        <f t="array" ref="Q183">vega_new(E183,A183,3,B183,D183,C183)</f>
        <v>62.127838620556737</v>
      </c>
      <c r="R183" cm="1">
        <f t="array" ref="R183">vega_new(E183,A183,4,B183,D183,C183)</f>
        <v>71.761533320686937</v>
      </c>
      <c r="S183" cm="1">
        <f t="array" ref="S183">vega_new(E183,A183,5,B183,D183,C183)</f>
        <v>79.886620400360513</v>
      </c>
    </row>
    <row r="184" spans="1:19" x14ac:dyDescent="0.3">
      <c r="A184">
        <v>100</v>
      </c>
      <c r="B184">
        <f t="shared" si="9"/>
        <v>0.01</v>
      </c>
      <c r="C184">
        <v>0.2</v>
      </c>
      <c r="D184">
        <v>0</v>
      </c>
      <c r="E184" s="5">
        <v>95</v>
      </c>
      <c r="F184" cm="1">
        <f t="array" ref="F184">vega_new(E184,A184,0.1,B184,D184,C184)</f>
        <v>8.9541358039279739</v>
      </c>
      <c r="G184" cm="1">
        <f t="array" ref="G184">vega_new(E184,A184,0.2,B184,D184,C184)</f>
        <v>14.909546983266303</v>
      </c>
      <c r="H184" cm="1">
        <f t="array" ref="H184">vega_new(E184,A184,0.3,B184,D184,C184)</f>
        <v>19.267540519079148</v>
      </c>
      <c r="I184" cm="1">
        <f t="array" ref="I184">vega_new(E184,A184,0.4,B184,D184,C184)</f>
        <v>22.840702670307461</v>
      </c>
      <c r="J184" cm="1">
        <f t="array" ref="J184">vega_new(E184,A184,0.5,B184,D184,C184)</f>
        <v>25.930883920219031</v>
      </c>
      <c r="K184" cm="1">
        <f t="array" ref="K184">vega_new(E184,A184,0.6,B184,D184,C184)</f>
        <v>28.686682039024305</v>
      </c>
      <c r="L184" cm="1">
        <f t="array" ref="L184">vega_new(E184,A184,0.7,B184,D184,C184)</f>
        <v>31.193622839956397</v>
      </c>
      <c r="M184" cm="1">
        <f t="array" ref="M184">vega_new(E184,A184,0.8,B184,D184,C184)</f>
        <v>33.506087760385839</v>
      </c>
      <c r="N184" cm="1">
        <f t="array" ref="N184">vega_new(E184,A184,0.9,B184,D184,C184)</f>
        <v>35.661132714949467</v>
      </c>
      <c r="O184" cm="1">
        <f t="array" ref="O184">vega_new(E184,A184,1,B184,D184,C184)</f>
        <v>37.685326590063859</v>
      </c>
      <c r="P184" cm="1">
        <f t="array" ref="P184">vega_new(E184,A184,2,B184,D184,C184)</f>
        <v>53.572622142458144</v>
      </c>
      <c r="Q184" cm="1">
        <f t="array" ref="Q184">vega_new(E184,A184,3,B184,D184,C184)</f>
        <v>65.235380338435675</v>
      </c>
      <c r="R184" cm="1">
        <f t="array" ref="R184">vega_new(E184,A184,4,B184,D184,C184)</f>
        <v>74.689059955632018</v>
      </c>
      <c r="S184" cm="1">
        <f t="array" ref="S184">vega_new(E184,A184,5,B184,D184,C184)</f>
        <v>82.706631007195014</v>
      </c>
    </row>
    <row r="185" spans="1:19" x14ac:dyDescent="0.3">
      <c r="A185">
        <v>100</v>
      </c>
      <c r="B185">
        <f t="shared" si="9"/>
        <v>0.01</v>
      </c>
      <c r="C185">
        <v>0.2</v>
      </c>
      <c r="D185">
        <v>0</v>
      </c>
      <c r="E185" s="5">
        <v>100</v>
      </c>
      <c r="F185" cm="1">
        <f t="array" ref="F185">vega_new(E185,A185,0.1,B185,D185,C185)</f>
        <v>12.60147797002052</v>
      </c>
      <c r="G185" cm="1">
        <f t="array" ref="G185">vega_new(E185,A185,0.2,B185,D185,C185)</f>
        <v>17.80114349570453</v>
      </c>
      <c r="H185" cm="1">
        <f t="array" ref="H185">vega_new(E185,A185,0.3,B185,D185,C185)</f>
        <v>21.777345900985232</v>
      </c>
      <c r="I185" cm="1">
        <f t="array" ref="I185">vega_new(E185,A185,0.4,B185,D185,C185)</f>
        <v>25.118039341108513</v>
      </c>
      <c r="J185" cm="1">
        <f t="array" ref="J185">vega_new(E185,A185,0.5,B185,D185,C185)</f>
        <v>28.051246304186257</v>
      </c>
      <c r="K185" cm="1">
        <f t="array" ref="K185">vega_new(E185,A185,0.6,B185,D185,C185)</f>
        <v>30.69405049619952</v>
      </c>
      <c r="L185" cm="1">
        <f t="array" ref="L185">vega_new(E185,A185,0.7,B185,D185,C185)</f>
        <v>33.116087146110289</v>
      </c>
      <c r="M185" cm="1">
        <f t="array" ref="M185">vega_new(E185,A185,0.8,B185,D185,C185)</f>
        <v>35.362780796997576</v>
      </c>
      <c r="N185" cm="1">
        <f t="array" ref="N185">vega_new(E185,A185,0.9,B185,D185,C185)</f>
        <v>37.465720501521851</v>
      </c>
      <c r="O185" cm="1">
        <f t="array" ref="O185">vega_new(E185,A185,1,B185,D185,C185)</f>
        <v>39.447933090788894</v>
      </c>
      <c r="P185" cm="1">
        <f t="array" ref="P185">vega_new(E185,A185,2,B185,D185,C185)</f>
        <v>55.163706332541196</v>
      </c>
      <c r="Q185" cm="1">
        <f t="array" ref="Q185">vega_new(E185,A185,3,B185,D185,C185)</f>
        <v>66.805659306916709</v>
      </c>
      <c r="R185" cm="1">
        <f t="array" ref="R185">vega_new(E185,A185,4,B185,D185,C185)</f>
        <v>76.277563092104813</v>
      </c>
      <c r="S185" cm="1">
        <f t="array" ref="S185">vega_new(E185,A185,5,B185,D185,C185)</f>
        <v>84.326874401380636</v>
      </c>
    </row>
    <row r="186" spans="1:19" x14ac:dyDescent="0.3">
      <c r="A186">
        <v>100</v>
      </c>
      <c r="B186">
        <f t="shared" si="9"/>
        <v>0.01</v>
      </c>
      <c r="C186">
        <v>0.2</v>
      </c>
      <c r="D186">
        <v>0</v>
      </c>
      <c r="E186" s="5">
        <v>105</v>
      </c>
      <c r="F186" cm="1">
        <f t="array" ref="F186">vega_new(E186,A186,0.1,B186,D186,C186)</f>
        <v>9.4730567005775868</v>
      </c>
      <c r="G186" cm="1">
        <f t="array" ref="G186">vega_new(E186,A186,0.2,B186,D186,C186)</f>
        <v>15.52854945654148</v>
      </c>
      <c r="H186" cm="1">
        <f t="array" ref="H186">vega_new(E186,A186,0.3,B186,D186,C186)</f>
        <v>19.963011175668893</v>
      </c>
      <c r="I186" cm="1">
        <f t="array" ref="I186">vega_new(E186,A186,0.4,B186,D186,C186)</f>
        <v>23.603472101352114</v>
      </c>
      <c r="J186" cm="1">
        <f t="array" ref="J186">vega_new(E186,A186,0.5,B186,D186,C186)</f>
        <v>26.754925856393442</v>
      </c>
      <c r="K186" cm="1">
        <f t="array" ref="K186">vega_new(E186,A186,0.6,B186,D186,C186)</f>
        <v>29.567419013929417</v>
      </c>
      <c r="L186" cm="1">
        <f t="array" ref="L186">vega_new(E186,A186,0.7,B186,D186,C186)</f>
        <v>32.127364650068394</v>
      </c>
      <c r="M186" cm="1">
        <f t="array" ref="M186">vega_new(E186,A186,0.8,B186,D186,C186)</f>
        <v>34.489758203526321</v>
      </c>
      <c r="N186" cm="1">
        <f t="array" ref="N186">vega_new(E186,A186,0.9,B186,D186,C186)</f>
        <v>36.692108772311308</v>
      </c>
      <c r="O186" cm="1">
        <f t="array" ref="O186">vega_new(E186,A186,1,B186,D186,C186)</f>
        <v>38.761333572648297</v>
      </c>
      <c r="P186" cm="1">
        <f t="array" ref="P186">vega_new(E186,A186,2,B186,D186,C186)</f>
        <v>55.016040235427909</v>
      </c>
      <c r="Q186" cm="1">
        <f t="array" ref="Q186">vega_new(E186,A186,3,B186,D186,C186)</f>
        <v>66.958074580380099</v>
      </c>
      <c r="R186" cm="1">
        <f t="array" ref="R186">vega_new(E186,A186,4,B186,D186,C186)</f>
        <v>76.641397953105823</v>
      </c>
      <c r="S186" cm="1">
        <f t="array" ref="S186">vega_new(E186,A186,5,B186,D186,C186)</f>
        <v>84.855257304543272</v>
      </c>
    </row>
    <row r="187" spans="1:19" x14ac:dyDescent="0.3">
      <c r="A187">
        <v>100</v>
      </c>
      <c r="B187">
        <f t="shared" si="9"/>
        <v>0.01</v>
      </c>
      <c r="C187">
        <v>0.2</v>
      </c>
      <c r="D187">
        <v>0</v>
      </c>
      <c r="E187" s="5">
        <v>110</v>
      </c>
      <c r="F187" cm="1">
        <f t="array" ref="F187">vega_new(E187,A187,0.1,B187,D187,C187)</f>
        <v>4.1459744625109494</v>
      </c>
      <c r="G187" cm="1">
        <f t="array" ref="G187">vega_new(E187,A187,0.2,B187,D187,C187)</f>
        <v>10.332955422391688</v>
      </c>
      <c r="H187" cm="1">
        <f t="array" ref="H187">vega_new(E187,A187,0.3,B187,D187,C187)</f>
        <v>15.274679608962337</v>
      </c>
      <c r="I187" cm="1">
        <f t="array" ref="I187">vega_new(E187,A187,0.4,B187,D187,C187)</f>
        <v>19.366366629160026</v>
      </c>
      <c r="J187" cm="1">
        <f t="array" ref="J187">vega_new(E187,A187,0.5,B187,D187,C187)</f>
        <v>22.89136689728651</v>
      </c>
      <c r="K187" cm="1">
        <f t="array" ref="K187">vega_new(E187,A187,0.6,B187,D187,C187)</f>
        <v>26.014283512817954</v>
      </c>
      <c r="L187" cm="1">
        <f t="array" ref="L187">vega_new(E187,A187,0.7,B187,D187,C187)</f>
        <v>28.836210247206257</v>
      </c>
      <c r="M187" cm="1">
        <f t="array" ref="M187">vega_new(E187,A187,0.8,B187,D187,C187)</f>
        <v>31.423293448931329</v>
      </c>
      <c r="N187" cm="1">
        <f t="array" ref="N187">vega_new(E187,A187,0.9,B187,D187,C187)</f>
        <v>33.821167077407694</v>
      </c>
      <c r="O187" cm="1">
        <f t="array" ref="O187">vega_new(E187,A187,1,B187,D187,C187)</f>
        <v>36.062690186445991</v>
      </c>
      <c r="P187" cm="1">
        <f t="array" ref="P187">vega_new(E187,A187,2,B187,D187,C187)</f>
        <v>53.375807389774842</v>
      </c>
      <c r="Q187" cm="1">
        <f t="array" ref="Q187">vega_new(E187,A187,3,B187,D187,C187)</f>
        <v>65.875408995911101</v>
      </c>
      <c r="R187" cm="1">
        <f t="array" ref="R187">vega_new(E187,A187,4,B187,D187,C187)</f>
        <v>75.930525448770609</v>
      </c>
      <c r="S187" cm="1">
        <f t="array" ref="S187">vega_new(E187,A187,5,B187,D187,C187)</f>
        <v>84.421159741338542</v>
      </c>
    </row>
    <row r="188" spans="1:19" x14ac:dyDescent="0.3">
      <c r="A188">
        <v>100</v>
      </c>
      <c r="B188">
        <f t="shared" si="9"/>
        <v>0.01</v>
      </c>
      <c r="C188">
        <v>0.2</v>
      </c>
      <c r="D188">
        <v>0</v>
      </c>
      <c r="E188" s="5">
        <v>115</v>
      </c>
      <c r="F188" cm="1">
        <f t="array" ref="F188">vega_new(E188,A188,0.1,B188,D188,C188)</f>
        <v>1.1355073152064601</v>
      </c>
      <c r="G188" cm="1">
        <f t="array" ref="G188">vega_new(E188,A188,0.2,B188,D188,C188)</f>
        <v>5.4377515022381848</v>
      </c>
      <c r="H188" cm="1">
        <f t="array" ref="H188">vega_new(E188,A188,0.3,B188,D188,C188)</f>
        <v>9.9933417595957987</v>
      </c>
      <c r="I188" cm="1">
        <f t="array" ref="I188">vega_new(E188,A188,0.4,B188,D188,C188)</f>
        <v>14.127284601816148</v>
      </c>
      <c r="J188" cm="1">
        <f t="array" ref="J188">vega_new(E188,A188,0.5,B188,D188,C188)</f>
        <v>17.82565184338004</v>
      </c>
      <c r="K188" cm="1">
        <f t="array" ref="K188">vega_new(E188,A188,0.6,B188,D188,C188)</f>
        <v>21.158960540408664</v>
      </c>
      <c r="L188" cm="1">
        <f t="array" ref="L188">vega_new(E188,A188,0.7,B188,D188,C188)</f>
        <v>24.195071188978151</v>
      </c>
      <c r="M188" cm="1">
        <f t="array" ref="M188">vega_new(E188,A188,0.8,B188,D188,C188)</f>
        <v>26.987963743602148</v>
      </c>
      <c r="N188" cm="1">
        <f t="array" ref="N188">vega_new(E188,A188,0.9,B188,D188,C188)</f>
        <v>29.579147918734407</v>
      </c>
      <c r="O188" cm="1">
        <f t="array" ref="O188">vega_new(E188,A188,1,B188,D188,C188)</f>
        <v>32.000599329500922</v>
      </c>
      <c r="P188" cm="1">
        <f t="array" ref="P188">vega_new(E188,A188,2,B188,D188,C188)</f>
        <v>50.560061959578547</v>
      </c>
      <c r="Q188" cm="1">
        <f t="array" ref="Q188">vega_new(E188,A188,3,B188,D188,C188)</f>
        <v>63.773587385453709</v>
      </c>
      <c r="R188" cm="1">
        <f t="array" ref="R188">vega_new(E188,A188,4,B188,D188,C188)</f>
        <v>74.312371276717002</v>
      </c>
      <c r="S188" cm="1">
        <f t="array" ref="S188">vega_new(E188,A188,5,B188,D188,C188)</f>
        <v>83.163420463033972</v>
      </c>
    </row>
    <row r="189" spans="1:19" x14ac:dyDescent="0.3">
      <c r="A189">
        <v>100</v>
      </c>
      <c r="B189">
        <f t="shared" si="9"/>
        <v>0.01</v>
      </c>
      <c r="C189">
        <v>0.2</v>
      </c>
      <c r="D189">
        <v>0</v>
      </c>
      <c r="E189" s="5">
        <v>120</v>
      </c>
      <c r="F189" cm="1">
        <f t="array" ref="F189">vega_new(E189,A189,0.1,B189,D189,C189)</f>
        <v>0.20685250757256843</v>
      </c>
      <c r="G189" cm="1">
        <f t="array" ref="G189">vega_new(E189,A189,0.2,B189,D189,C189)</f>
        <v>2.3332711412433973</v>
      </c>
      <c r="H189" cm="1">
        <f t="array" ref="H189">vega_new(E189,A189,0.3,B189,D189,C189)</f>
        <v>5.7053408088958326</v>
      </c>
      <c r="I189" cm="1">
        <f t="array" ref="I189">vega_new(E189,A189,0.4,B189,D189,C189)</f>
        <v>9.3034075502440565</v>
      </c>
      <c r="J189" cm="1">
        <f t="array" ref="J189">vega_new(E189,A189,0.5,B189,D189,C189)</f>
        <v>12.788990708238194</v>
      </c>
      <c r="K189" cm="1">
        <f t="array" ref="K189">vega_new(E189,A189,0.6,B189,D189,C189)</f>
        <v>16.07274965988492</v>
      </c>
      <c r="L189" cm="1">
        <f t="array" ref="L189">vega_new(E189,A189,0.7,B189,D189,C189)</f>
        <v>19.144349454685667</v>
      </c>
      <c r="M189" cm="1">
        <f t="array" ref="M189">vega_new(E189,A189,0.8,B189,D189,C189)</f>
        <v>22.017713675499852</v>
      </c>
      <c r="N189" cm="1">
        <f t="array" ref="N189">vega_new(E189,A189,0.9,B189,D189,C189)</f>
        <v>24.712869597243461</v>
      </c>
      <c r="O189" cm="1">
        <f t="array" ref="O189">vega_new(E189,A189,1,B189,D189,C189)</f>
        <v>27.249840451049845</v>
      </c>
      <c r="P189" cm="1">
        <f t="array" ref="P189">vega_new(E189,A189,2,B189,D189,C189)</f>
        <v>46.905195347320522</v>
      </c>
      <c r="Q189" cm="1">
        <f t="array" ref="Q189">vega_new(E189,A189,3,B189,D189,C189)</f>
        <v>60.877484538879074</v>
      </c>
      <c r="R189" cm="1">
        <f t="array" ref="R189">vega_new(E189,A189,4,B189,D189,C189)</f>
        <v>71.957857026067117</v>
      </c>
      <c r="S189" cm="1">
        <f t="array" ref="S189">vega_new(E189,A189,5,B189,D189,C189)</f>
        <v>81.221348325030689</v>
      </c>
    </row>
    <row r="190" spans="1:19" x14ac:dyDescent="0.3">
      <c r="A190">
        <v>100</v>
      </c>
      <c r="B190">
        <f t="shared" si="9"/>
        <v>0.01</v>
      </c>
      <c r="C190">
        <v>0.2</v>
      </c>
      <c r="D190">
        <v>0</v>
      </c>
      <c r="E190" s="5">
        <v>125</v>
      </c>
      <c r="F190" cm="1">
        <f t="array" ref="F190">vega_new(E190,A190,0.1,B190,D190,C190)</f>
        <v>2.6396322770578434E-2</v>
      </c>
      <c r="G190" cm="1">
        <f t="array" ref="G190">vega_new(E190,A190,0.2,B190,D190,C190)</f>
        <v>0.83776579671249984</v>
      </c>
      <c r="H190" cm="1">
        <f t="array" ref="H190">vega_new(E190,A190,0.3,B190,D190,C190)</f>
        <v>2.89199319495635</v>
      </c>
      <c r="I190" cm="1">
        <f t="array" ref="I190">vega_new(E190,A190,0.4,B190,D190,C190)</f>
        <v>5.6032093638267746</v>
      </c>
      <c r="J190" cm="1">
        <f t="array" ref="J190">vega_new(E190,A190,0.5,B190,D190,C190)</f>
        <v>8.5419800594485498</v>
      </c>
      <c r="K190" cm="1">
        <f t="array" ref="K190">vega_new(E190,A190,0.6,B190,D190,C190)</f>
        <v>11.501755031066587</v>
      </c>
      <c r="L190" cm="1">
        <f t="array" ref="L190">vega_new(E190,A190,0.7,B190,D190,C190)</f>
        <v>14.391583547437294</v>
      </c>
      <c r="M190" cm="1">
        <f t="array" ref="M190">vega_new(E190,A190,0.8,B190,D190,C190)</f>
        <v>17.174563874605031</v>
      </c>
      <c r="N190" cm="1">
        <f t="array" ref="N190">vega_new(E190,A190,0.9,B190,D190,C190)</f>
        <v>19.838851664708947</v>
      </c>
      <c r="O190" cm="1">
        <f t="array" ref="O190">vega_new(E190,A190,1,B190,D190,C190)</f>
        <v>22.384180561821136</v>
      </c>
      <c r="P190" cm="1">
        <f t="array" ref="P190">vega_new(E190,A190,2,B190,D190,C190)</f>
        <v>42.729288686192149</v>
      </c>
      <c r="Q190" cm="1">
        <f t="array" ref="Q190">vega_new(E190,A190,3,B190,D190,C190)</f>
        <v>57.403350128173741</v>
      </c>
      <c r="R190" cm="1">
        <f t="array" ref="R190">vega_new(E190,A190,4,B190,D190,C190)</f>
        <v>69.031398866778304</v>
      </c>
      <c r="S190" cm="1">
        <f t="array" ref="S190">vega_new(E190,A190,5,B190,D190,C190)</f>
        <v>78.728394585688903</v>
      </c>
    </row>
    <row r="191" spans="1:19" x14ac:dyDescent="0.3">
      <c r="A191">
        <v>100</v>
      </c>
      <c r="B191">
        <f t="shared" si="9"/>
        <v>0.01</v>
      </c>
      <c r="C191">
        <v>0.2</v>
      </c>
      <c r="D191">
        <v>0</v>
      </c>
      <c r="E191" s="5">
        <v>130</v>
      </c>
      <c r="F191" cm="1">
        <f t="array" ref="F191">vega_new(E191,A191,0.1,B191,D191,C191)</f>
        <v>2.4664615253611665E-3</v>
      </c>
      <c r="G191" cm="1">
        <f t="array" ref="G191">vega_new(E191,A191,0.2,B191,D191,C191)</f>
        <v>0.25734589818730602</v>
      </c>
      <c r="H191" cm="1">
        <f t="array" ref="H191">vega_new(E191,A191,0.3,B191,D191,C191)</f>
        <v>1.3209299733984308</v>
      </c>
      <c r="I191" cm="1">
        <f t="array" ref="I191">vega_new(E191,A191,0.4,B191,D191,C191)</f>
        <v>3.1207812645797248</v>
      </c>
      <c r="J191" cm="1">
        <f t="array" ref="J191">vega_new(E191,A191,0.5,B191,D191,C191)</f>
        <v>5.3588475727461455</v>
      </c>
      <c r="K191" cm="1">
        <f t="array" ref="K191">vega_new(E191,A191,0.6,B191,D191,C191)</f>
        <v>7.8115019427058492</v>
      </c>
      <c r="L191" cm="1">
        <f t="array" ref="L191">vega_new(E191,A191,0.7,B191,D191,C191)</f>
        <v>10.344072895213412</v>
      </c>
      <c r="M191" cm="1">
        <f t="array" ref="M191">vega_new(E191,A191,0.8,B191,D191,C191)</f>
        <v>12.880363658795954</v>
      </c>
      <c r="N191" cm="1">
        <f t="array" ref="N191">vega_new(E191,A191,0.9,B191,D191,C191)</f>
        <v>15.378580943041786</v>
      </c>
      <c r="O191" cm="1">
        <f t="array" ref="O191">vega_new(E191,A191,1,B191,D191,C191)</f>
        <v>17.816680549913187</v>
      </c>
      <c r="P191" cm="1">
        <f t="array" ref="P191">vega_new(E191,A191,2,B191,D191,C191)</f>
        <v>38.308718744736652</v>
      </c>
      <c r="Q191" cm="1">
        <f t="array" ref="Q191">vega_new(E191,A191,3,B191,D191,C191)</f>
        <v>53.547351271025079</v>
      </c>
      <c r="R191" cm="1">
        <f t="array" ref="R191">vega_new(E191,A191,4,B191,D191,C191)</f>
        <v>65.684337427013233</v>
      </c>
      <c r="S191" cm="1">
        <f t="array" ref="S191">vega_new(E191,A191,5,B191,D191,C191)</f>
        <v>75.808024938338079</v>
      </c>
    </row>
    <row r="192" spans="1:19" x14ac:dyDescent="0.3">
      <c r="A192">
        <v>100</v>
      </c>
      <c r="B192">
        <f t="shared" si="9"/>
        <v>0.01</v>
      </c>
      <c r="C192">
        <v>0.2</v>
      </c>
      <c r="D192">
        <v>0</v>
      </c>
      <c r="E192" s="5">
        <v>135</v>
      </c>
      <c r="F192" cm="1">
        <f t="array" ref="F192">vega_new(E192,A192,0.1,B192,D192,C192)</f>
        <v>1.7530109023145043E-4</v>
      </c>
      <c r="G192" cm="1">
        <f t="array" ref="G192">vega_new(E192,A192,0.2,B192,D192,C192)</f>
        <v>6.8932049054116401E-2</v>
      </c>
      <c r="H192" cm="1">
        <f t="array" ref="H192">vega_new(E192,A192,0.3,B192,D192,C192)</f>
        <v>0.55061531676659159</v>
      </c>
      <c r="I192" cm="1">
        <f t="array" ref="I192">vega_new(E192,A192,0.4,B192,D192,C192)</f>
        <v>1.6227966445448345</v>
      </c>
      <c r="J192" cm="1">
        <f t="array" ref="J192">vega_new(E192,A192,0.5,B192,D192,C192)</f>
        <v>3.1819367439192567</v>
      </c>
      <c r="K192" cm="1">
        <f t="array" ref="K192">vega_new(E192,A192,0.6,B192,D192,C192)</f>
        <v>5.0671947233936798</v>
      </c>
      <c r="L192" cm="1">
        <f t="array" ref="L192">vega_new(E192,A192,0.7,B192,D192,C192)</f>
        <v>7.1476357882319848</v>
      </c>
      <c r="M192" cm="1">
        <f t="array" ref="M192">vega_new(E192,A192,0.8,B192,D192,C192)</f>
        <v>9.3320554875542943</v>
      </c>
      <c r="N192" cm="1">
        <f t="array" ref="N192">vega_new(E192,A192,0.9,B192,D192,C192)</f>
        <v>11.560345928134989</v>
      </c>
      <c r="O192" cm="1">
        <f t="array" ref="O192">vega_new(E192,A192,1,B192,D192,C192)</f>
        <v>13.793855243276576</v>
      </c>
      <c r="P192" cm="1">
        <f t="array" ref="P192">vega_new(E192,A192,2,B192,D192,C192)</f>
        <v>33.866932678137182</v>
      </c>
      <c r="Q192" cm="1">
        <f t="array" ref="Q192">vega_new(E192,A192,3,B192,D192,C192)</f>
        <v>49.479201943433772</v>
      </c>
      <c r="R192" cm="1">
        <f t="array" ref="R192">vega_new(E192,A192,4,B192,D192,C192)</f>
        <v>62.051137062691957</v>
      </c>
      <c r="S192" cm="1">
        <f t="array" ref="S192">vega_new(E192,A192,5,B192,D192,C192)</f>
        <v>72.571322803396555</v>
      </c>
    </row>
    <row r="193" spans="1:19" x14ac:dyDescent="0.3">
      <c r="A193">
        <v>100</v>
      </c>
      <c r="B193">
        <f t="shared" si="9"/>
        <v>0.01</v>
      </c>
      <c r="C193">
        <v>0.2</v>
      </c>
      <c r="D193">
        <v>0</v>
      </c>
      <c r="E193" s="5">
        <v>140</v>
      </c>
      <c r="F193" cm="1">
        <f t="array" ref="F193">vega_new(E193,A193,0.1,B193,D193,C193)</f>
        <v>9.7937749170318685E-6</v>
      </c>
      <c r="G193" cm="1">
        <f t="array" ref="G193">vega_new(E193,A193,0.2,B193,D193,C193)</f>
        <v>1.6367344465552196E-2</v>
      </c>
      <c r="H193" cm="1">
        <f t="array" ref="H193">vega_new(E193,A193,0.3,B193,D193,C193)</f>
        <v>0.21177230646577413</v>
      </c>
      <c r="I193" cm="1">
        <f t="array" ref="I193">vega_new(E193,A193,0.4,B193,D193,C193)</f>
        <v>0.79435914841497801</v>
      </c>
      <c r="J193" cm="1">
        <f t="array" ref="J193">vega_new(E193,A193,0.5,B193,D193,C193)</f>
        <v>1.8000455519786447</v>
      </c>
      <c r="K193" cm="1">
        <f t="array" ref="K193">vega_new(E193,A193,0.6,B193,D193,C193)</f>
        <v>3.1568381504252203</v>
      </c>
      <c r="L193" cm="1">
        <f t="array" ref="L193">vega_new(E193,A193,0.7,B193,D193,C193)</f>
        <v>4.7705729750376964</v>
      </c>
      <c r="M193" cm="1">
        <f t="array" ref="M193">vega_new(E193,A193,0.8,B193,D193,C193)</f>
        <v>6.5588544899120951</v>
      </c>
      <c r="N193" cm="1">
        <f t="array" ref="N193">vega_new(E193,A193,0.9,B193,D193,C193)</f>
        <v>8.4581782621465393</v>
      </c>
      <c r="O193" cm="1">
        <f t="array" ref="O193">vega_new(E193,A193,1,B193,D193,C193)</f>
        <v>10.422116521119738</v>
      </c>
      <c r="P193" cm="1">
        <f t="array" ref="P193">vega_new(E193,A193,2,B193,D193,C193)</f>
        <v>29.572311895113685</v>
      </c>
      <c r="Q193" cm="1">
        <f t="array" ref="Q193">vega_new(E193,A193,3,B193,D193,C193)</f>
        <v>45.339683503257284</v>
      </c>
      <c r="R193" cm="1">
        <f t="array" ref="R193">vega_new(E193,A193,4,B193,D193,C193)</f>
        <v>58.247693709726136</v>
      </c>
      <c r="S193" cm="1">
        <f t="array" ref="S193">vega_new(E193,A193,5,B193,D193,C193)</f>
        <v>69.115896371880396</v>
      </c>
    </row>
    <row r="195" spans="1:19" x14ac:dyDescent="0.3">
      <c r="A195" t="s">
        <v>13</v>
      </c>
      <c r="B195" t="s">
        <v>14</v>
      </c>
      <c r="C195" t="s">
        <v>15</v>
      </c>
      <c r="D195" t="s">
        <v>26</v>
      </c>
      <c r="F195" s="7">
        <v>0.1</v>
      </c>
      <c r="G195" s="7">
        <v>0.2</v>
      </c>
      <c r="H195" s="7">
        <v>0.3</v>
      </c>
      <c r="I195" s="7">
        <v>0.4</v>
      </c>
      <c r="J195" s="7">
        <v>0.5</v>
      </c>
      <c r="K195" s="7">
        <v>0.6</v>
      </c>
      <c r="L195" s="7">
        <v>0.7</v>
      </c>
      <c r="M195" s="7">
        <v>0.8</v>
      </c>
      <c r="N195" s="7">
        <v>0.9</v>
      </c>
      <c r="O195" s="7">
        <v>1</v>
      </c>
      <c r="P195" s="7">
        <v>2</v>
      </c>
      <c r="Q195" s="7">
        <v>3</v>
      </c>
      <c r="R195" s="7">
        <v>4</v>
      </c>
      <c r="S195" s="7">
        <v>5</v>
      </c>
    </row>
    <row r="196" spans="1:19" x14ac:dyDescent="0.3">
      <c r="A196">
        <v>100</v>
      </c>
      <c r="B196">
        <f>1/100</f>
        <v>0.01</v>
      </c>
      <c r="C196">
        <v>0.05</v>
      </c>
      <c r="D196">
        <v>0</v>
      </c>
      <c r="E196" s="5">
        <v>60</v>
      </c>
      <c r="F196" cm="1">
        <f t="array" ref="F196">vega_new(E196,A196,0.1,B196,D196,C196)</f>
        <v>1.6758285024227175E-225</v>
      </c>
      <c r="G196" cm="1">
        <f t="array" ref="G196">vega_new(E196,A196,0.2,B196,D196,C196)</f>
        <v>5.0080789535908853E-112</v>
      </c>
      <c r="H196" cm="1">
        <f t="array" ref="H196">vega_new(E196,A196,0.3,B196,D196,C196)</f>
        <v>3.6471989721026085E-74</v>
      </c>
      <c r="I196" cm="1">
        <f t="array" ref="I196">vega_new(E196,A196,0.4,B196,D196,C196)</f>
        <v>3.243399917098495E-55</v>
      </c>
      <c r="J196" cm="1">
        <f t="array" ref="J196">vega_new(E196,A196,0.5,B196,D196,C196)</f>
        <v>7.7796272758718338E-44</v>
      </c>
      <c r="K196" cm="1">
        <f t="array" ref="K196">vega_new(E196,A196,0.6,B196,D196,C196)</f>
        <v>3.0515360086045999E-36</v>
      </c>
      <c r="L196" cm="1">
        <f t="array" ref="L196">vega_new(E196,A196,0.7,B196,D196,C196)</f>
        <v>8.1916240049173676E-31</v>
      </c>
      <c r="M196" cm="1">
        <f t="array" ref="M196">vega_new(E196,A196,0.8,B196,D196,C196)</f>
        <v>9.741475522216334E-27</v>
      </c>
      <c r="N196" cm="1">
        <f t="array" ref="N196">vega_new(E196,A196,0.9,B196,D196,C196)</f>
        <v>1.4489281862988281E-23</v>
      </c>
      <c r="O196" cm="1">
        <f t="array" ref="O196">vega_new(E196,A196,1,B196,D196,C196)</f>
        <v>5.0255364760857769E-21</v>
      </c>
      <c r="P196" cm="1">
        <f t="array" ref="P196">vega_new(E196,A196,2,B196,D196,C196)</f>
        <v>1.4904140594479708E-9</v>
      </c>
      <c r="Q196" cm="1">
        <f t="array" ref="Q196">vega_new(E196,A196,3,B196,D196,C196)</f>
        <v>1.0663350535882621E-5</v>
      </c>
      <c r="R196" cm="1">
        <f t="array" ref="R196">vega_new(E196,A196,4,B196,D196,C196)</f>
        <v>9.2925963685156052E-4</v>
      </c>
      <c r="S196" cm="1">
        <f t="array" ref="S196">vega_new(E196,A196,5,B196,D196,C196)</f>
        <v>1.3767632349989062E-2</v>
      </c>
    </row>
    <row r="197" spans="1:19" x14ac:dyDescent="0.3">
      <c r="A197">
        <v>100</v>
      </c>
      <c r="B197">
        <f t="shared" ref="B197:B212" si="10">1/100</f>
        <v>0.01</v>
      </c>
      <c r="C197">
        <v>0.05</v>
      </c>
      <c r="D197">
        <v>0</v>
      </c>
      <c r="E197" s="5">
        <v>65</v>
      </c>
      <c r="F197" cm="1">
        <f t="array" ref="F197">vega_new(E197,A197,0.1,B197,D197,C197)</f>
        <v>3.6910883022247379E-160</v>
      </c>
      <c r="G197" cm="1">
        <f t="array" ref="G197">vega_new(E197,A197,0.2,B197,D197,C197)</f>
        <v>2.0431484016888389E-79</v>
      </c>
      <c r="H197" cm="1">
        <f t="array" ref="H197">vega_new(E197,A197,0.3,B197,D197,C197)</f>
        <v>1.8273545951070782E-52</v>
      </c>
      <c r="I197" cm="1">
        <f t="array" ref="I197">vega_new(E197,A197,0.4,B197,D197,C197)</f>
        <v>5.6948355562841784E-39</v>
      </c>
      <c r="J197" cm="1">
        <f t="array" ref="J197">vega_new(E197,A197,0.5,B197,D197,C197)</f>
        <v>7.281315764758989E-31</v>
      </c>
      <c r="K197" cm="1">
        <f t="array" ref="K197">vega_new(E197,A197,0.6,B197,D197,C197)</f>
        <v>1.8776580327831571E-25</v>
      </c>
      <c r="L197" cm="1">
        <f t="array" ref="L197">vega_new(E197,A197,0.7,B197,D197,C197)</f>
        <v>1.3924744749363558E-21</v>
      </c>
      <c r="M197" cm="1">
        <f t="array" ref="M197">vega_new(E197,A197,0.8,B197,D197,C197)</f>
        <v>1.1220995829990245E-18</v>
      </c>
      <c r="N197" cm="1">
        <f t="array" ref="N197">vega_new(E197,A197,0.9,B197,D197,C197)</f>
        <v>2.0569468529196661E-16</v>
      </c>
      <c r="O197" cm="1">
        <f t="array" ref="O197">vega_new(E197,A197,1,B197,D197,C197)</f>
        <v>1.3365163655468683E-14</v>
      </c>
      <c r="P197" cm="1">
        <f t="array" ref="P197">vega_new(E197,A197,2,B197,D197,C197)</f>
        <v>2.1128524945174249E-6</v>
      </c>
      <c r="Q197" cm="1">
        <f t="array" ref="Q197">vega_new(E197,A197,3,B197,D197,C197)</f>
        <v>1.225686460073706E-3</v>
      </c>
      <c r="R197" cm="1">
        <f t="array" ref="R197">vega_new(E197,A197,4,B197,D197,C197)</f>
        <v>3.0414767965473582E-2</v>
      </c>
      <c r="S197" cm="1">
        <f t="array" ref="S197">vega_new(E197,A197,5,B197,D197,C197)</f>
        <v>0.21207219569305982</v>
      </c>
    </row>
    <row r="198" spans="1:19" x14ac:dyDescent="0.3">
      <c r="A198">
        <v>100</v>
      </c>
      <c r="B198">
        <f t="shared" si="10"/>
        <v>0.01</v>
      </c>
      <c r="C198">
        <v>0.05</v>
      </c>
      <c r="D198">
        <v>0</v>
      </c>
      <c r="E198" s="5">
        <v>70</v>
      </c>
      <c r="F198" cm="1">
        <f t="array" ref="F198">vega_new(E198,A198,0.1,B198,D198,C198)</f>
        <v>1.3889027251453938E-109</v>
      </c>
      <c r="G198" cm="1">
        <f t="array" ref="G198">vega_new(E198,A198,0.2,B198,D198,C198)</f>
        <v>3.4812516140435754E-54</v>
      </c>
      <c r="H198" cm="1">
        <f t="array" ref="H198">vega_new(E198,A198,0.3,B198,D198,C198)</f>
        <v>1.1097650246374005E-35</v>
      </c>
      <c r="I198" cm="1">
        <f t="array" ref="I198">vega_new(E198,A198,0.4,B198,D198,C198)</f>
        <v>2.0647893089183854E-26</v>
      </c>
      <c r="J198" cm="1">
        <f t="array" ref="J198">vega_new(E198,A198,0.5,B198,D198,C198)</f>
        <v>7.7125187140437827E-21</v>
      </c>
      <c r="K198" cm="1">
        <f t="array" ref="K198">vega_new(E198,A198,0.6,B198,D198,C198)</f>
        <v>4.0644090110118705E-17</v>
      </c>
      <c r="L198" cm="1">
        <f t="array" ref="L198">vega_new(E198,A198,0.7,B198,D198,C198)</f>
        <v>1.8720054399945065E-14</v>
      </c>
      <c r="M198" cm="1">
        <f t="array" ref="M198">vega_new(E198,A198,0.8,B198,D198,C198)</f>
        <v>1.8767459292303803E-12</v>
      </c>
      <c r="N198" cm="1">
        <f t="array" ref="N198">vega_new(E198,A198,0.9,B198,D198,C198)</f>
        <v>6.8013461312950428E-11</v>
      </c>
      <c r="O198" cm="1">
        <f t="array" ref="O198">vega_new(E198,A198,1,B198,D198,C198)</f>
        <v>1.2082151244066603E-9</v>
      </c>
      <c r="P198" cm="1">
        <f t="array" ref="P198">vega_new(E198,A198,2,B198,D198,C198)</f>
        <v>5.5799585913203303E-4</v>
      </c>
      <c r="Q198" cm="1">
        <f t="array" ref="Q198">vega_new(E198,A198,3,B198,D198,C198)</f>
        <v>4.6274150669306527E-2</v>
      </c>
      <c r="R198" cm="1">
        <f t="array" ref="R198">vega_new(E198,A198,4,B198,D198,C198)</f>
        <v>0.43415240429441454</v>
      </c>
      <c r="S198" cm="1">
        <f t="array" ref="S198">vega_new(E198,A198,5,B198,D198,C198)</f>
        <v>1.6888870934693978</v>
      </c>
    </row>
    <row r="199" spans="1:19" x14ac:dyDescent="0.3">
      <c r="A199">
        <v>100</v>
      </c>
      <c r="B199">
        <f t="shared" si="10"/>
        <v>0.01</v>
      </c>
      <c r="C199">
        <v>0.05</v>
      </c>
      <c r="D199">
        <v>0</v>
      </c>
      <c r="E199" s="5">
        <v>75</v>
      </c>
      <c r="F199" cm="1">
        <f t="array" ref="F199">vega_new(E199,A199,0.1,B199,D199,C199)</f>
        <v>4.4856665054077815E-71</v>
      </c>
      <c r="G199" cm="1">
        <f t="array" ref="G199">vega_new(E199,A199,0.2,B199,D199,C199)</f>
        <v>5.5446910078570444E-35</v>
      </c>
      <c r="H199" cm="1">
        <f t="array" ref="H199">vega_new(E199,A199,0.3,B199,D199,C199)</f>
        <v>6.4818935766595219E-23</v>
      </c>
      <c r="I199" cm="1">
        <f t="array" ref="I199">vega_new(E199,A199,0.4,B199,D199,C199)</f>
        <v>7.3031642726999336E-17</v>
      </c>
      <c r="J199" cm="1">
        <f t="array" ref="J199">vega_new(E199,A199,0.5,B199,D199,C199)</f>
        <v>3.1998545349573048E-13</v>
      </c>
      <c r="K199" cm="1">
        <f t="array" ref="K199">vega_new(E199,A199,0.6,B199,D199,C199)</f>
        <v>8.7055696809093667E-11</v>
      </c>
      <c r="L199" cm="1">
        <f t="array" ref="L199">vega_new(E199,A199,0.7,B199,D199,C199)</f>
        <v>4.8275337111327862E-9</v>
      </c>
      <c r="M199" cm="1">
        <f t="array" ref="M199">vega_new(E199,A199,0.8,B199,D199,C199)</f>
        <v>9.8920773801048045E-8</v>
      </c>
      <c r="N199" cm="1">
        <f t="array" ref="N199">vega_new(E199,A199,0.9,B199,D199,C199)</f>
        <v>1.0427278593322643E-6</v>
      </c>
      <c r="O199" cm="1">
        <f t="array" ref="O199">vega_new(E199,A199,1,B199,D199,C199)</f>
        <v>6.897244626095667E-6</v>
      </c>
      <c r="P199" cm="1">
        <f t="array" ref="P199">vega_new(E199,A199,2,B199,D199,C199)</f>
        <v>3.7364658381935957E-2</v>
      </c>
      <c r="Q199" cm="1">
        <f t="array" ref="Q199">vega_new(E199,A199,3,B199,D199,C199)</f>
        <v>0.70404657314405472</v>
      </c>
      <c r="R199" cm="1">
        <f t="array" ref="R199">vega_new(E199,A199,4,B199,D199,C199)</f>
        <v>3.148629712907304</v>
      </c>
      <c r="S199" cm="1">
        <f t="array" ref="S199">vega_new(E199,A199,5,B199,D199,C199)</f>
        <v>7.852534690418997</v>
      </c>
    </row>
    <row r="200" spans="1:19" x14ac:dyDescent="0.3">
      <c r="A200">
        <v>100</v>
      </c>
      <c r="B200">
        <f t="shared" si="10"/>
        <v>0.01</v>
      </c>
      <c r="C200">
        <v>0.05</v>
      </c>
      <c r="D200">
        <v>0</v>
      </c>
      <c r="E200" s="5">
        <v>80</v>
      </c>
      <c r="F200" cm="1">
        <f t="array" ref="F200">vega_new(E200,A200,0.1,B200,D200,C200)</f>
        <v>1.5463467374724984E-42</v>
      </c>
      <c r="G200" cm="1">
        <f t="array" ref="G200">vega_new(E200,A200,0.2,B200,D200,C200)</f>
        <v>9.1953239259466592E-21</v>
      </c>
      <c r="H200" cm="1">
        <f t="array" ref="H200">vega_new(E200,A200,0.3,B200,D200,C200)</f>
        <v>1.8146582241494638E-13</v>
      </c>
      <c r="I200" cm="1">
        <f t="array" ref="I200">vega_new(E200,A200,0.4,B200,D200,C200)</f>
        <v>8.4005098448923495E-10</v>
      </c>
      <c r="J200" cm="1">
        <f t="array" ref="J200">vega_new(E200,A200,0.5,B200,D200,C200)</f>
        <v>1.3619017871160354E-7</v>
      </c>
      <c r="K200" cm="1">
        <f t="array" ref="K200">vega_new(E200,A200,0.6,B200,D200,C200)</f>
        <v>4.1142758098627221E-6</v>
      </c>
      <c r="L200" cm="1">
        <f t="array" ref="L200">vega_new(E200,A200,0.7,B200,D200,C200)</f>
        <v>4.7470301194505783E-5</v>
      </c>
      <c r="M200" cm="1">
        <f t="array" ref="M200">vega_new(E200,A200,0.8,B200,D200,C200)</f>
        <v>2.9966396836252204E-4</v>
      </c>
      <c r="N200" cm="1">
        <f t="array" ref="N200">vega_new(E200,A200,0.9,B200,D200,C200)</f>
        <v>1.2641587169712571E-3</v>
      </c>
      <c r="O200" cm="1">
        <f t="array" ref="O200">vega_new(E200,A200,1,B200,D200,C200)</f>
        <v>4.0191400536374895E-3</v>
      </c>
      <c r="P200" cm="1">
        <f t="array" ref="P200">vega_new(E200,A200,2,B200,D200,C200)</f>
        <v>0.80563718810285745</v>
      </c>
      <c r="Q200" cm="1">
        <f t="array" ref="Q200">vega_new(E200,A200,3,B200,D200,C200)</f>
        <v>5.058481943778407</v>
      </c>
      <c r="R200" cm="1">
        <f t="array" ref="R200">vega_new(E200,A200,4,B200,D200,C200)</f>
        <v>13.059019419386818</v>
      </c>
      <c r="S200" cm="1">
        <f t="array" ref="S200">vega_new(E200,A200,5,B200,D200,C200)</f>
        <v>23.421836216512464</v>
      </c>
    </row>
    <row r="201" spans="1:19" x14ac:dyDescent="0.3">
      <c r="A201">
        <v>100</v>
      </c>
      <c r="B201">
        <f t="shared" si="10"/>
        <v>0.01</v>
      </c>
      <c r="C201">
        <v>0.05</v>
      </c>
      <c r="D201">
        <v>0</v>
      </c>
      <c r="E201" s="5">
        <v>85</v>
      </c>
      <c r="F201" cm="1">
        <f t="array" ref="F201">vega_new(E201,A201,0.1,B201,D201,C201)</f>
        <v>2.542864661968201E-22</v>
      </c>
      <c r="G201" cm="1">
        <f t="array" ref="G201">vega_new(E201,A201,0.2,B201,D201,C201)</f>
        <v>1.0604728935673611E-10</v>
      </c>
      <c r="H201" cm="1">
        <f t="array" ref="H201">vega_new(E201,A201,0.3,B201,D201,C201)</f>
        <v>8.6304367148573047E-7</v>
      </c>
      <c r="I201" cm="1">
        <f t="array" ref="I201">vega_new(E201,A201,0.4,B201,D201,C201)</f>
        <v>8.1132764072720318E-5</v>
      </c>
      <c r="J201" cm="1">
        <f t="array" ref="J201">vega_new(E201,A201,0.5,B201,D201,C201)</f>
        <v>1.269486345996779E-3</v>
      </c>
      <c r="K201" cm="1">
        <f t="array" ref="K201">vega_new(E201,A201,0.6,B201,D201,C201)</f>
        <v>8.0693160357619559E-3</v>
      </c>
      <c r="L201" cm="1">
        <f t="array" ref="L201">vega_new(E201,A201,0.7,B201,D201,C201)</f>
        <v>3.0580001955184455E-2</v>
      </c>
      <c r="M201" cm="1">
        <f t="array" ref="M201">vega_new(E201,A201,0.8,B201,D201,C201)</f>
        <v>8.3753737625620578E-2</v>
      </c>
      <c r="N201" cm="1">
        <f t="array" ref="N201">vega_new(E201,A201,0.9,B201,D201,C201)</f>
        <v>0.18454971987628174</v>
      </c>
      <c r="O201" cm="1">
        <f t="array" ref="O201">vega_new(E201,A201,1,B201,D201,C201)</f>
        <v>0.34897845821574625</v>
      </c>
      <c r="P201" cm="1">
        <f t="array" ref="P201">vega_new(E201,A201,2,B201,D201,C201)</f>
        <v>6.7514429458556355</v>
      </c>
      <c r="Q201" cm="1">
        <f t="array" ref="Q201">vega_new(E201,A201,3,B201,D201,C201)</f>
        <v>19.444995198611231</v>
      </c>
      <c r="R201" cm="1">
        <f t="array" ref="R201">vega_new(E201,A201,4,B201,D201,C201)</f>
        <v>33.998790971782277</v>
      </c>
      <c r="S201" cm="1">
        <f t="array" ref="S201">vega_new(E201,A201,5,B201,D201,C201)</f>
        <v>48.265077423782344</v>
      </c>
    </row>
    <row r="202" spans="1:19" x14ac:dyDescent="0.3">
      <c r="A202">
        <v>100</v>
      </c>
      <c r="B202">
        <f t="shared" si="10"/>
        <v>0.01</v>
      </c>
      <c r="C202">
        <v>0.05</v>
      </c>
      <c r="D202">
        <v>0</v>
      </c>
      <c r="E202" s="5">
        <v>90</v>
      </c>
      <c r="F202" cm="1">
        <f t="array" ref="F202">vega_new(E202,A202,0.1,B202,D202,C202)</f>
        <v>4.1485504275927693E-9</v>
      </c>
      <c r="G202" cm="1">
        <f t="array" ref="G202">vega_new(E202,A202,0.2,B202,D202,C202)</f>
        <v>3.875652802050222E-4</v>
      </c>
      <c r="H202" cm="1">
        <f t="array" ref="H202">vega_new(E202,A202,0.3,B202,D202,C202)</f>
        <v>1.9155880507848232E-2</v>
      </c>
      <c r="I202" cm="1">
        <f t="array" ref="I202">vega_new(E202,A202,0.4,B202,D202,C202)</f>
        <v>0.14033876374550142</v>
      </c>
      <c r="J202" cm="1">
        <f t="array" ref="J202">vega_new(E202,A202,0.5,B202,D202,C202)</f>
        <v>0.47493767856929103</v>
      </c>
      <c r="K202" cm="1">
        <f t="array" ref="K202">vega_new(E202,A202,0.6,B202,D202,C202)</f>
        <v>1.0877525923178075</v>
      </c>
      <c r="L202" cm="1">
        <f t="array" ref="L202">vega_new(E202,A202,0.7,B202,D202,C202)</f>
        <v>1.9882784452336804</v>
      </c>
      <c r="M202" cm="1">
        <f t="array" ref="M202">vega_new(E202,A202,0.8,B202,D202,C202)</f>
        <v>3.1517634355565787</v>
      </c>
      <c r="N202" cm="1">
        <f t="array" ref="N202">vega_new(E202,A202,0.9,B202,D202,C202)</f>
        <v>4.5388741792401737</v>
      </c>
      <c r="O202" cm="1">
        <f t="array" ref="O202">vega_new(E202,A202,1,B202,D202,C202)</f>
        <v>6.1074742355621803</v>
      </c>
      <c r="P202" cm="1">
        <f t="array" ref="P202">vega_new(E202,A202,2,B202,D202,C202)</f>
        <v>25.555644752535152</v>
      </c>
      <c r="Q202" cm="1">
        <f t="array" ref="Q202">vega_new(E202,A202,3,B202,D202,C202)</f>
        <v>44.181503026914179</v>
      </c>
      <c r="R202" cm="1">
        <f t="array" ref="R202">vega_new(E202,A202,4,B202,D202,C202)</f>
        <v>59.850436497075336</v>
      </c>
      <c r="S202" cm="1">
        <f t="array" ref="S202">vega_new(E202,A202,5,B202,D202,C202)</f>
        <v>72.902022594885224</v>
      </c>
    </row>
    <row r="203" spans="1:19" x14ac:dyDescent="0.3">
      <c r="A203">
        <v>100</v>
      </c>
      <c r="B203">
        <f t="shared" si="10"/>
        <v>0.01</v>
      </c>
      <c r="C203">
        <v>0.05</v>
      </c>
      <c r="D203">
        <v>0</v>
      </c>
      <c r="E203" s="5">
        <v>95</v>
      </c>
      <c r="F203" cm="1">
        <f t="array" ref="F203">vega_new(E203,A203,0.1,B203,D203,C203)</f>
        <v>7.8076222991990796E-2</v>
      </c>
      <c r="G203" cm="1">
        <f t="array" ref="G203">vega_new(E203,A203,0.2,B203,D203,C203)</f>
        <v>1.5295516875513984</v>
      </c>
      <c r="H203" cm="1">
        <f t="array" ref="H203">vega_new(E203,A203,0.3,B203,D203,C203)</f>
        <v>4.491454830130003</v>
      </c>
      <c r="I203" cm="1">
        <f t="array" ref="I203">vega_new(E203,A203,0.4,B203,D203,C203)</f>
        <v>8.0203879428807294</v>
      </c>
      <c r="J203" cm="1">
        <f t="array" ref="J203">vega_new(E203,A203,0.5,B203,D203,C203)</f>
        <v>11.636276737342145</v>
      </c>
      <c r="K203" cm="1">
        <f t="array" ref="K203">vega_new(E203,A203,0.6,B203,D203,C203)</f>
        <v>15.152373528230443</v>
      </c>
      <c r="L203" cm="1">
        <f t="array" ref="L203">vega_new(E203,A203,0.7,B203,D203,C203)</f>
        <v>18.504003054306274</v>
      </c>
      <c r="M203" cm="1">
        <f t="array" ref="M203">vega_new(E203,A203,0.8,B203,D203,C203)</f>
        <v>21.675571632215441</v>
      </c>
      <c r="N203" cm="1">
        <f t="array" ref="N203">vega_new(E203,A203,0.9,B203,D203,C203)</f>
        <v>24.671026854396466</v>
      </c>
      <c r="O203" cm="1">
        <f t="array" ref="O203">vega_new(E203,A203,1,B203,D203,C203)</f>
        <v>27.501629935949268</v>
      </c>
      <c r="P203" cm="1">
        <f t="array" ref="P203">vega_new(E203,A203,2,B203,D203,C203)</f>
        <v>49.333658116012764</v>
      </c>
      <c r="Q203" cm="1">
        <f t="array" ref="Q203">vega_new(E203,A203,3,B203,D203,C203)</f>
        <v>64.310742831003296</v>
      </c>
      <c r="R203" cm="1">
        <f t="array" ref="R203">vega_new(E203,A203,4,B203,D203,C203)</f>
        <v>75.649078664943588</v>
      </c>
      <c r="S203" cm="1">
        <f t="array" ref="S203">vega_new(E203,A203,5,B203,D203,C203)</f>
        <v>84.662651787363259</v>
      </c>
    </row>
    <row r="204" spans="1:19" x14ac:dyDescent="0.3">
      <c r="A204">
        <v>100</v>
      </c>
      <c r="B204">
        <f t="shared" si="10"/>
        <v>0.01</v>
      </c>
      <c r="C204">
        <v>0.05</v>
      </c>
      <c r="D204">
        <v>0</v>
      </c>
      <c r="E204" s="5">
        <v>100</v>
      </c>
      <c r="F204" cm="1">
        <f t="array" ref="F204">vega_new(E204,A204,0.1,B204,D204,C204)</f>
        <v>12.583769595744091</v>
      </c>
      <c r="G204" cm="1">
        <f t="array" ref="G204">vega_new(E204,A204,0.2,B204,D204,C204)</f>
        <v>17.751148118577877</v>
      </c>
      <c r="H204" cm="1">
        <f t="array" ref="H204">vega_new(E204,A204,0.3,B204,D204,C204)</f>
        <v>21.685666245713325</v>
      </c>
      <c r="I204" cm="1">
        <f t="array" ref="I204">vega_new(E204,A204,0.4,B204,D204,C204)</f>
        <v>24.977147001014572</v>
      </c>
      <c r="J204" cm="1">
        <f t="array" ref="J204">vega_new(E204,A204,0.5,B204,D204,C204)</f>
        <v>27.854702761735147</v>
      </c>
      <c r="K204" cm="1">
        <f t="array" ref="K204">vega_new(E204,A204,0.6,B204,D204,C204)</f>
        <v>30.436158955047052</v>
      </c>
      <c r="L204" cm="1">
        <f t="array" ref="L204">vega_new(E204,A204,0.7,B204,D204,C204)</f>
        <v>32.791699876266655</v>
      </c>
      <c r="M204" cm="1">
        <f t="array" ref="M204">vega_new(E204,A204,0.8,B204,D204,C204)</f>
        <v>34.967178945798814</v>
      </c>
      <c r="N204" cm="1">
        <f t="array" ref="N204">vega_new(E204,A204,0.9,B204,D204,C204)</f>
        <v>36.994532999413366</v>
      </c>
      <c r="O204" cm="1">
        <f t="array" ref="O204">vega_new(E204,A204,1,B204,D204,C204)</f>
        <v>38.897078803674944</v>
      </c>
      <c r="P204" cm="1">
        <f t="array" ref="P204">vega_new(E204,A204,2,B204,D204,C204)</f>
        <v>53.633841658164215</v>
      </c>
      <c r="Q204" cm="1">
        <f t="array" ref="Q204">vega_new(E204,A204,3,B204,D204,C204)</f>
        <v>64.045918145093665</v>
      </c>
      <c r="R204" cm="1">
        <f t="array" ref="R204">vega_new(E204,A204,4,B204,D204,C204)</f>
        <v>72.105392492329585</v>
      </c>
      <c r="S204" cm="1">
        <f t="array" ref="S204">vega_new(E204,A204,5,B204,D204,C204)</f>
        <v>78.601289802415735</v>
      </c>
    </row>
    <row r="205" spans="1:19" x14ac:dyDescent="0.3">
      <c r="A205">
        <v>100</v>
      </c>
      <c r="B205">
        <f t="shared" si="10"/>
        <v>0.01</v>
      </c>
      <c r="C205">
        <v>0.05</v>
      </c>
      <c r="D205">
        <v>0</v>
      </c>
      <c r="E205" s="5">
        <v>105</v>
      </c>
      <c r="F205" cm="1">
        <f t="array" ref="F205">vega_new(E205,A205,0.1,B205,D205,C205)</f>
        <v>9.0779847878896092E-2</v>
      </c>
      <c r="G205" cm="1">
        <f t="array" ref="G205">vega_new(E205,A205,0.2,B205,D205,C205)</f>
        <v>1.3843137123646259</v>
      </c>
      <c r="H205" cm="1">
        <f t="array" ref="H205">vega_new(E205,A205,0.3,B205,D205,C205)</f>
        <v>3.739302809863184</v>
      </c>
      <c r="I205" cm="1">
        <f t="array" ref="I205">vega_new(E205,A205,0.4,B205,D205,C205)</f>
        <v>6.4042104214703297</v>
      </c>
      <c r="J205" cm="1">
        <f t="array" ref="J205">vega_new(E205,A205,0.5,B205,D205,C205)</f>
        <v>9.0615862729007937</v>
      </c>
      <c r="K205" cm="1">
        <f t="array" ref="K205">vega_new(E205,A205,0.6,B205,D205,C205)</f>
        <v>11.604261404181489</v>
      </c>
      <c r="L205" cm="1">
        <f t="array" ref="L205">vega_new(E205,A205,0.7,B205,D205,C205)</f>
        <v>14.003015218411743</v>
      </c>
      <c r="M205" cm="1">
        <f t="array" ref="M205">vega_new(E205,A205,0.8,B205,D205,C205)</f>
        <v>16.257011174434581</v>
      </c>
      <c r="N205" cm="1">
        <f t="array" ref="N205">vega_new(E205,A205,0.9,B205,D205,C205)</f>
        <v>18.375329707630932</v>
      </c>
      <c r="O205" cm="1">
        <f t="array" ref="O205">vega_new(E205,A205,1,B205,D205,C205)</f>
        <v>20.369884380527246</v>
      </c>
      <c r="P205" cm="1">
        <f t="array" ref="P205">vega_new(E205,A205,2,B205,D205,C205)</f>
        <v>35.636366826184464</v>
      </c>
      <c r="Q205" cm="1">
        <f t="array" ref="Q205">vega_new(E205,A205,3,B205,D205,C205)</f>
        <v>46.068805371153758</v>
      </c>
      <c r="R205" cm="1">
        <f t="array" ref="R205">vega_new(E205,A205,4,B205,D205,C205)</f>
        <v>53.965192357993644</v>
      </c>
      <c r="S205" cm="1">
        <f t="array" ref="S205">vega_new(E205,A205,5,B205,D205,C205)</f>
        <v>60.244020920976652</v>
      </c>
    </row>
    <row r="206" spans="1:19" x14ac:dyDescent="0.3">
      <c r="A206">
        <v>100</v>
      </c>
      <c r="B206">
        <f t="shared" si="10"/>
        <v>0.01</v>
      </c>
      <c r="C206">
        <v>0.05</v>
      </c>
      <c r="D206">
        <v>0</v>
      </c>
      <c r="E206" s="5">
        <v>110</v>
      </c>
      <c r="F206" cm="1">
        <f t="array" ref="F206">vega_new(E206,A206,0.1,B206,D206,C206)</f>
        <v>1.1605071748502548E-7</v>
      </c>
      <c r="G206" cm="1">
        <f t="array" ref="G206">vega_new(E206,A206,0.2,B206,D206,C206)</f>
        <v>1.4428054853244728E-3</v>
      </c>
      <c r="H206" cm="1">
        <f t="array" ref="H206">vega_new(E206,A206,0.3,B206,D206,C206)</f>
        <v>3.6408450370398845E-2</v>
      </c>
      <c r="I206" cm="1">
        <f t="array" ref="I206">vega_new(E206,A206,0.4,B206,D206,C206)</f>
        <v>0.19058832765640238</v>
      </c>
      <c r="J206" cm="1">
        <f t="array" ref="J206">vega_new(E206,A206,0.5,B206,D206,C206)</f>
        <v>0.52718910249272966</v>
      </c>
      <c r="K206" cm="1">
        <f t="array" ref="K206">vega_new(E206,A206,0.6,B206,D206,C206)</f>
        <v>1.055522164151004</v>
      </c>
      <c r="L206" cm="1">
        <f t="array" ref="L206">vega_new(E206,A206,0.7,B206,D206,C206)</f>
        <v>1.7526914040661699</v>
      </c>
      <c r="M206" cm="1">
        <f t="array" ref="M206">vega_new(E206,A206,0.8,B206,D206,C206)</f>
        <v>2.5852356238396914</v>
      </c>
      <c r="N206" cm="1">
        <f t="array" ref="N206">vega_new(E206,A206,0.9,B206,D206,C206)</f>
        <v>3.5201763898980003</v>
      </c>
      <c r="O206" cm="1">
        <f t="array" ref="O206">vega_new(E206,A206,1,B206,D206,C206)</f>
        <v>4.5291190419256946</v>
      </c>
      <c r="P206" cm="1">
        <f t="array" ref="P206">vega_new(E206,A206,2,B206,D206,C206)</f>
        <v>15.489952320090662</v>
      </c>
      <c r="Q206" cm="1">
        <f t="array" ref="Q206">vega_new(E206,A206,3,B206,D206,C206)</f>
        <v>25.03844998721366</v>
      </c>
      <c r="R206" cm="1">
        <f t="array" ref="R206">vega_new(E206,A206,4,B206,D206,C206)</f>
        <v>32.797152097068526</v>
      </c>
      <c r="S206" cm="1">
        <f t="array" ref="S206">vega_new(E206,A206,5,B206,D206,C206)</f>
        <v>39.151599007727796</v>
      </c>
    </row>
    <row r="207" spans="1:19" x14ac:dyDescent="0.3">
      <c r="A207">
        <v>100</v>
      </c>
      <c r="B207">
        <f t="shared" si="10"/>
        <v>0.01</v>
      </c>
      <c r="C207">
        <v>0.05</v>
      </c>
      <c r="D207">
        <v>0</v>
      </c>
      <c r="E207" s="5">
        <v>115</v>
      </c>
      <c r="F207" cm="1">
        <f t="array" ref="F207">vega_new(E207,A207,0.1,B207,D207,C207)</f>
        <v>8.3343586440516167E-17</v>
      </c>
      <c r="G207" cm="1">
        <f t="array" ref="G207">vega_new(E207,A207,0.2,B207,D207,C207)</f>
        <v>3.5771400260211815E-8</v>
      </c>
      <c r="H207" cm="1">
        <f t="array" ref="H207">vega_new(E207,A207,0.3,B207,D207,C207)</f>
        <v>2.9392167754754243E-5</v>
      </c>
      <c r="I207" cm="1">
        <f t="array" ref="I207">vega_new(E207,A207,0.4,B207,D207,C207)</f>
        <v>8.7796328686734764E-4</v>
      </c>
      <c r="J207" cm="1">
        <f t="array" ref="J207">vega_new(E207,A207,0.5,B207,D207,C207)</f>
        <v>6.904891535181347E-3</v>
      </c>
      <c r="K207" cm="1">
        <f t="array" ref="K207">vega_new(E207,A207,0.6,B207,D207,C207)</f>
        <v>2.7745850831021743E-2</v>
      </c>
      <c r="L207" cm="1">
        <f t="array" ref="L207">vega_new(E207,A207,0.7,B207,D207,C207)</f>
        <v>7.5776811550986659E-2</v>
      </c>
      <c r="M207" cm="1">
        <f t="array" ref="M207">vega_new(E207,A207,0.8,B207,D207,C207)</f>
        <v>0.16233274719119511</v>
      </c>
      <c r="N207" cm="1">
        <f t="array" ref="N207">vega_new(E207,A207,0.9,B207,D207,C207)</f>
        <v>0.29548053132976237</v>
      </c>
      <c r="O207" cm="1">
        <f t="array" ref="O207">vega_new(E207,A207,1,B207,D207,C207)</f>
        <v>0.47954010314112577</v>
      </c>
      <c r="P207" cm="1">
        <f t="array" ref="P207">vega_new(E207,A207,2,B207,D207,C207)</f>
        <v>4.6630670230696962</v>
      </c>
      <c r="Q207" cm="1">
        <f t="array" ref="Q207">vega_new(E207,A207,3,B207,D207,C207)</f>
        <v>10.678226870343947</v>
      </c>
      <c r="R207" cm="1">
        <f t="array" ref="R207">vega_new(E207,A207,4,B207,D207,C207)</f>
        <v>16.648031949459131</v>
      </c>
      <c r="S207" cm="1">
        <f t="array" ref="S207">vega_new(E207,A207,5,B207,D207,C207)</f>
        <v>22.062631372315426</v>
      </c>
    </row>
    <row r="208" spans="1:19" x14ac:dyDescent="0.3">
      <c r="A208">
        <v>100</v>
      </c>
      <c r="B208">
        <f t="shared" si="10"/>
        <v>0.01</v>
      </c>
      <c r="C208">
        <v>0.05</v>
      </c>
      <c r="D208">
        <v>0</v>
      </c>
      <c r="E208" s="5">
        <v>120</v>
      </c>
      <c r="F208" cm="1">
        <f t="array" ref="F208">vega_new(E208,A208,0.1,B208,D208,C208)</f>
        <v>8.9080018831279969E-29</v>
      </c>
      <c r="G208" cm="1">
        <f t="array" ref="G208">vega_new(E208,A208,0.2,B208,D208,C208)</f>
        <v>3.4327647221119464E-14</v>
      </c>
      <c r="H208" cm="1">
        <f t="array" ref="H208">vega_new(E208,A208,0.3,B208,D208,C208)</f>
        <v>2.7210699699800464E-9</v>
      </c>
      <c r="I208" cm="1">
        <f t="array" ref="I208">vega_new(E208,A208,0.4,B208,D208,C208)</f>
        <v>7.9833366699794244E-7</v>
      </c>
      <c r="J208" cm="1">
        <f t="array" ref="J208">vega_new(E208,A208,0.5,B208,D208,C208)</f>
        <v>2.4727769737659739E-5</v>
      </c>
      <c r="K208" cm="1">
        <f t="array" ref="K208">vega_new(E208,A208,0.6,B208,D208,C208)</f>
        <v>2.4780275645177387E-4</v>
      </c>
      <c r="L208" cm="1">
        <f t="array" ref="L208">vega_new(E208,A208,0.7,B208,D208,C208)</f>
        <v>1.2999604123168618E-3</v>
      </c>
      <c r="M208" cm="1">
        <f t="array" ref="M208">vega_new(E208,A208,0.8,B208,D208,C208)</f>
        <v>4.5437478512025771E-3</v>
      </c>
      <c r="N208" cm="1">
        <f t="array" ref="N208">vega_new(E208,A208,0.9,B208,D208,C208)</f>
        <v>1.2103295089623489E-2</v>
      </c>
      <c r="O208" cm="1">
        <f t="array" ref="O208">vega_new(E208,A208,1,B208,D208,C208)</f>
        <v>2.6637472595560204E-2</v>
      </c>
      <c r="P208" cm="1">
        <f t="array" ref="P208">vega_new(E208,A208,2,B208,D208,C208)</f>
        <v>1.0201399126024495</v>
      </c>
      <c r="Q208" cm="1">
        <f t="array" ref="Q208">vega_new(E208,A208,3,B208,D208,C208)</f>
        <v>3.6891577386402061</v>
      </c>
      <c r="R208" cm="1">
        <f t="array" ref="R208">vega_new(E208,A208,4,B208,D208,C208)</f>
        <v>7.2278807985848665</v>
      </c>
      <c r="S208" cm="1">
        <f t="array" ref="S208">vega_new(E208,A208,5,B208,D208,C208)</f>
        <v>10.985944217961466</v>
      </c>
    </row>
    <row r="209" spans="1:19" x14ac:dyDescent="0.3">
      <c r="A209">
        <v>100</v>
      </c>
      <c r="B209">
        <f t="shared" si="10"/>
        <v>0.01</v>
      </c>
      <c r="C209">
        <v>0.05</v>
      </c>
      <c r="D209">
        <v>0</v>
      </c>
      <c r="E209" s="5">
        <v>125</v>
      </c>
      <c r="F209" cm="1">
        <f t="array" ref="F209">vega_new(E209,A209,0.1,B209,D209,C209)</f>
        <v>3.2429241531838134E-43</v>
      </c>
      <c r="G209" cm="1">
        <f t="array" ref="G209">vega_new(E209,A209,0.2,B209,D209,C209)</f>
        <v>1.9283991961946362E-21</v>
      </c>
      <c r="H209" cm="1">
        <f t="array" ref="H209">vega_new(E209,A209,0.3,B209,D209,C209)</f>
        <v>3.80561412409142E-14</v>
      </c>
      <c r="I209" cm="1">
        <f t="array" ref="I209">vega_new(E209,A209,0.4,B209,D209,C209)</f>
        <v>1.7617146022235449E-10</v>
      </c>
      <c r="J209" cm="1">
        <f t="array" ref="J209">vega_new(E209,A209,0.5,B209,D209,C209)</f>
        <v>2.856115056653951E-8</v>
      </c>
      <c r="K209" cm="1">
        <f t="array" ref="K209">vega_new(E209,A209,0.6,B209,D209,C209)</f>
        <v>8.6282617432051758E-7</v>
      </c>
      <c r="L209" cm="1">
        <f t="array" ref="L209">vega_new(E209,A209,0.7,B209,D209,C209)</f>
        <v>9.9552437090659424E-6</v>
      </c>
      <c r="M209" cm="1">
        <f t="array" ref="M209">vega_new(E209,A209,0.8,B209,D209,C209)</f>
        <v>6.2844089057939622E-5</v>
      </c>
      <c r="N209" cm="1">
        <f t="array" ref="N209">vega_new(E209,A209,0.9,B209,D209,C209)</f>
        <v>2.6511329816136954E-4</v>
      </c>
      <c r="O209" cm="1">
        <f t="array" ref="O209">vega_new(E209,A209,1,B209,D209,C209)</f>
        <v>8.4287476017658896E-4</v>
      </c>
      <c r="P209" cm="1">
        <f t="array" ref="P209">vega_new(E209,A209,2,B209,D209,C209)</f>
        <v>0.16895436403042813</v>
      </c>
      <c r="Q209" cm="1">
        <f t="array" ref="Q209">vega_new(E209,A209,3,B209,D209,C209)</f>
        <v>1.0608405525358762</v>
      </c>
      <c r="R209" cm="1">
        <f t="array" ref="R209">vega_new(E209,A209,4,B209,D209,C209)</f>
        <v>2.7386748693405898</v>
      </c>
      <c r="S209" cm="1">
        <f t="array" ref="S209">vega_new(E209,A209,5,B209,D209,C209)</f>
        <v>4.9119150665131581</v>
      </c>
    </row>
    <row r="210" spans="1:19" x14ac:dyDescent="0.3">
      <c r="A210">
        <v>100</v>
      </c>
      <c r="B210">
        <f t="shared" si="10"/>
        <v>0.01</v>
      </c>
      <c r="C210">
        <v>0.05</v>
      </c>
      <c r="D210">
        <v>0</v>
      </c>
      <c r="E210" s="5">
        <v>130</v>
      </c>
      <c r="F210" cm="1">
        <f t="array" ref="F210">vega_new(E210,A210,0.1,B210,D210,C210)</f>
        <v>8.1598351874678694E-60</v>
      </c>
      <c r="G210" cm="1">
        <f t="array" ref="G210">vega_new(E210,A210,0.2,B210,D210,C210)</f>
        <v>9.0315209945902246E-30</v>
      </c>
      <c r="H210" cm="1">
        <f t="array" ref="H210">vega_new(E210,A210,0.3,B210,D210,C210)</f>
        <v>1.0176423146099769E-19</v>
      </c>
      <c r="I210" cm="1">
        <f t="array" ref="I210">vega_new(E210,A210,0.4,B210,D210,C210)</f>
        <v>1.1256650632768226E-14</v>
      </c>
      <c r="J210" cm="1">
        <f t="array" ref="J210">vega_new(E210,A210,0.5,B210,D210,C210)</f>
        <v>1.2252684979437271E-11</v>
      </c>
      <c r="K210" cm="1">
        <f t="array" ref="K210">vega_new(E210,A210,0.6,B210,D210,C210)</f>
        <v>1.3173469517374212E-9</v>
      </c>
      <c r="L210" cm="1">
        <f t="array" ref="L210">vega_new(E210,A210,0.7,B210,D210,C210)</f>
        <v>3.7638272109399166E-8</v>
      </c>
      <c r="M210" cm="1">
        <f t="array" ref="M210">vega_new(E210,A210,0.8,B210,D210,C210)</f>
        <v>4.6902166951920453E-7</v>
      </c>
      <c r="N210" cm="1">
        <f t="array" ref="N210">vega_new(E210,A210,0.9,B210,D210,C210)</f>
        <v>3.3579729228798111E-6</v>
      </c>
      <c r="O210" cm="1">
        <f t="array" ref="O210">vega_new(E210,A210,1,B210,D210,C210)</f>
        <v>1.6299808042309724E-5</v>
      </c>
      <c r="P210" cm="1">
        <f t="array" ref="P210">vega_new(E210,A210,2,B210,D210,C210)</f>
        <v>2.1936674468501369E-2</v>
      </c>
      <c r="Q210" cm="1">
        <f t="array" ref="Q210">vega_new(E210,A210,3,B210,D210,C210)</f>
        <v>0.2598436660700279</v>
      </c>
      <c r="R210" cm="1">
        <f t="array" ref="R210">vega_new(E210,A210,4,B210,D210,C210)</f>
        <v>0.92136735602963216</v>
      </c>
      <c r="S210" cm="1">
        <f t="array" ref="S210">vega_new(E210,A210,5,B210,D210,C210)</f>
        <v>1.9991316126219516</v>
      </c>
    </row>
    <row r="211" spans="1:19" x14ac:dyDescent="0.3">
      <c r="A211">
        <v>100</v>
      </c>
      <c r="B211">
        <f t="shared" si="10"/>
        <v>0.01</v>
      </c>
      <c r="C211">
        <v>0.05</v>
      </c>
      <c r="D211">
        <v>0</v>
      </c>
      <c r="E211" s="5">
        <v>135</v>
      </c>
      <c r="F211" cm="1">
        <f t="array" ref="F211">vega_new(E211,A211,0.1,B211,D211,C211)</f>
        <v>2.6068594388526021E-78</v>
      </c>
      <c r="G211" cm="1">
        <f t="array" ref="G211">vega_new(E211,A211,0.2,B211,D211,C211)</f>
        <v>4.7785461139436766E-39</v>
      </c>
      <c r="H211" cm="1">
        <f t="array" ref="H211">vega_new(E211,A211,0.3,B211,D211,C211)</f>
        <v>6.370344639803828E-26</v>
      </c>
      <c r="I211" cm="1">
        <f t="array" ref="I211">vega_new(E211,A211,0.4,B211,D211,C211)</f>
        <v>2.4237811397899738E-19</v>
      </c>
      <c r="J211" cm="1">
        <f t="array" ref="J211">vega_new(E211,A211,0.5,B211,D211,C211)</f>
        <v>2.2040698208149509E-15</v>
      </c>
      <c r="K211" cm="1">
        <f t="array" ref="K211">vega_new(E211,A211,0.6,B211,D211,C211)</f>
        <v>9.7566523011236604E-13</v>
      </c>
      <c r="L211" cm="1">
        <f t="array" ref="L211">vega_new(E211,A211,0.7,B211,D211,C211)</f>
        <v>7.6601104748179995E-11</v>
      </c>
      <c r="M211" cm="1">
        <f t="array" ref="M211">vega_new(E211,A211,0.8,B211,D211,C211)</f>
        <v>2.0372849978770295E-9</v>
      </c>
      <c r="N211" cm="1">
        <f t="array" ref="N211">vega_new(E211,A211,0.9,B211,D211,C211)</f>
        <v>2.6304021000805093E-8</v>
      </c>
      <c r="O211" cm="1">
        <f t="array" ref="O211">vega_new(E211,A211,1,B211,D211,C211)</f>
        <v>2.0464272098651119E-7</v>
      </c>
      <c r="P211" cm="1">
        <f t="array" ref="P211">vega_new(E211,A211,2,B211,D211,C211)</f>
        <v>2.3008826437961086E-3</v>
      </c>
      <c r="Q211" cm="1">
        <f t="array" ref="Q211">vega_new(E211,A211,3,B211,D211,C211)</f>
        <v>5.530177884580529E-2</v>
      </c>
      <c r="R211" cm="1">
        <f t="array" ref="R211">vega_new(E211,A211,4,B211,D211,C211)</f>
        <v>0.27932604462905736</v>
      </c>
      <c r="S211" cm="1">
        <f t="array" ref="S211">vega_new(E211,A211,5,B211,D211,C211)</f>
        <v>0.74939533249316148</v>
      </c>
    </row>
    <row r="212" spans="1:19" x14ac:dyDescent="0.3">
      <c r="A212">
        <v>100</v>
      </c>
      <c r="B212">
        <f t="shared" si="10"/>
        <v>0.01</v>
      </c>
      <c r="C212">
        <v>0.05</v>
      </c>
      <c r="D212">
        <v>0</v>
      </c>
      <c r="E212" s="5">
        <v>140</v>
      </c>
      <c r="F212" cm="1">
        <f t="array" ref="F212">vega_new(E212,A212,0.1,B212,D212,C212)</f>
        <v>1.7877576190838229E-98</v>
      </c>
      <c r="G212" cm="1">
        <f t="array" ref="G212">vega_new(E212,A212,0.2,B212,D212,C212)</f>
        <v>3.7132255085658019E-49</v>
      </c>
      <c r="H212" cm="1">
        <f t="array" ref="H212">vega_new(E212,A212,0.3,B212,D212,C212)</f>
        <v>1.1118340736315355E-32</v>
      </c>
      <c r="I212" cm="1">
        <f t="array" ref="I212">vega_new(E212,A212,0.4,B212,D212,C212)</f>
        <v>2.0048468666146725E-24</v>
      </c>
      <c r="J212" cm="1">
        <f t="array" ref="J212">vega_new(E212,A212,0.5,B212,D212,C212)</f>
        <v>1.846033612980739E-19</v>
      </c>
      <c r="K212" cm="1">
        <f t="array" ref="K212">vega_new(E212,A212,0.6,B212,D212,C212)</f>
        <v>3.824717703966796E-16</v>
      </c>
      <c r="L212" cm="1">
        <f t="array" ref="L212">vega_new(E212,A212,0.7,B212,D212,C212)</f>
        <v>9.0429075730335159E-14</v>
      </c>
      <c r="M212" cm="1">
        <f t="array" ref="M212">vega_new(E212,A212,0.8,B212,D212,C212)</f>
        <v>5.498012485516911E-12</v>
      </c>
      <c r="N212" cm="1">
        <f t="array" ref="N212">vega_new(E212,A212,0.9,B212,D212,C212)</f>
        <v>1.3503961863238726E-10</v>
      </c>
      <c r="O212" cm="1">
        <f t="array" ref="O212">vega_new(E212,A212,1,B212,D212,C212)</f>
        <v>1.7573710279176087E-9</v>
      </c>
      <c r="P212" cm="1">
        <f t="array" ref="P212">vega_new(E212,A212,2,B212,D212,C212)</f>
        <v>2.0007281417499151E-4</v>
      </c>
      <c r="Q212" cm="1">
        <f t="array" ref="Q212">vega_new(E212,A212,3,B212,D212,C212)</f>
        <v>1.0403389641721808E-2</v>
      </c>
      <c r="R212" cm="1">
        <f t="array" ref="R212">vega_new(E212,A212,4,B212,D212,C212)</f>
        <v>7.7289103610339777E-2</v>
      </c>
      <c r="S212" cm="1">
        <f t="array" ref="S212">vega_new(E212,A212,5,B212,D212,C212)</f>
        <v>0.26137284664069321</v>
      </c>
    </row>
    <row r="214" spans="1:19" x14ac:dyDescent="0.3">
      <c r="A214" t="s">
        <v>13</v>
      </c>
      <c r="B214" t="s">
        <v>14</v>
      </c>
      <c r="C214" t="s">
        <v>15</v>
      </c>
      <c r="D214" t="s">
        <v>26</v>
      </c>
      <c r="F214" s="7">
        <v>0.1</v>
      </c>
      <c r="G214" s="7">
        <v>0.2</v>
      </c>
      <c r="H214" s="7">
        <v>0.3</v>
      </c>
      <c r="I214" s="7">
        <v>0.4</v>
      </c>
      <c r="J214" s="7">
        <v>0.5</v>
      </c>
      <c r="K214" s="7">
        <v>0.6</v>
      </c>
      <c r="L214" s="7">
        <v>0.7</v>
      </c>
      <c r="M214" s="7">
        <v>0.8</v>
      </c>
      <c r="N214" s="7">
        <v>0.9</v>
      </c>
      <c r="O214" s="7">
        <v>1</v>
      </c>
      <c r="P214" s="7">
        <v>2</v>
      </c>
      <c r="Q214" s="7">
        <v>3</v>
      </c>
      <c r="R214" s="7">
        <v>4</v>
      </c>
      <c r="S214" s="7">
        <v>5</v>
      </c>
    </row>
    <row r="215" spans="1:19" x14ac:dyDescent="0.3">
      <c r="A215">
        <v>100</v>
      </c>
      <c r="B215">
        <f>1/100</f>
        <v>0.01</v>
      </c>
      <c r="C215">
        <v>0.7</v>
      </c>
      <c r="D215">
        <v>0</v>
      </c>
      <c r="E215" s="5">
        <v>60</v>
      </c>
      <c r="F215" cm="1">
        <f t="array" ref="F215">vega_new(E215,A215,0.1,B215,D215,C215)</f>
        <v>0.68429531174739167</v>
      </c>
      <c r="G215" cm="1">
        <f t="array" ref="G215">vega_new(E215,A215,0.2,B215,D215,C215)</f>
        <v>3.6397448448310561</v>
      </c>
      <c r="H215" cm="1">
        <f t="array" ref="H215">vega_new(E215,A215,0.3,B215,D215,C215)</f>
        <v>6.9018620266618083</v>
      </c>
      <c r="I215" cm="1">
        <f t="array" ref="I215">vega_new(E215,A215,0.4,B215,D215,C215)</f>
        <v>9.8837027868981338</v>
      </c>
      <c r="J215" cm="1">
        <f t="array" ref="J215">vega_new(E215,A215,0.5,B215,D215,C215)</f>
        <v>12.540430689740118</v>
      </c>
      <c r="K215" cm="1">
        <f t="array" ref="K215">vega_new(E215,A215,0.6,B215,D215,C215)</f>
        <v>14.913092444971891</v>
      </c>
      <c r="L215" cm="1">
        <f t="array" ref="L215">vega_new(E215,A215,0.7,B215,D215,C215)</f>
        <v>17.048749136723824</v>
      </c>
      <c r="M215" cm="1">
        <f t="array" ref="M215">vega_new(E215,A215,0.8,B215,D215,C215)</f>
        <v>18.987012986179124</v>
      </c>
      <c r="N215" cm="1">
        <f t="array" ref="N215">vega_new(E215,A215,0.9,B215,D215,C215)</f>
        <v>20.759276853350684</v>
      </c>
      <c r="O215" cm="1">
        <f t="array" ref="O215">vega_new(E215,A215,1,B215,D215,C215)</f>
        <v>22.390206004103685</v>
      </c>
      <c r="P215" cm="1">
        <f t="array" ref="P215">vega_new(E215,A215,2,B215,D215,C215)</f>
        <v>33.851363239935999</v>
      </c>
      <c r="Q215" cm="1">
        <f t="array" ref="Q215">vega_new(E215,A215,3,B215,D215,C215)</f>
        <v>40.558193324391084</v>
      </c>
      <c r="R215" cm="1">
        <f t="array" ref="R215">vega_new(E215,A215,4,B215,D215,C215)</f>
        <v>44.809305304542761</v>
      </c>
      <c r="S215" cm="1">
        <f t="array" ref="S215">vega_new(E215,A215,5,B215,D215,C215)</f>
        <v>47.510415916791075</v>
      </c>
    </row>
    <row r="216" spans="1:19" x14ac:dyDescent="0.3">
      <c r="A216">
        <v>100</v>
      </c>
      <c r="B216">
        <f t="shared" ref="B216:B231" si="11">1/100</f>
        <v>0.01</v>
      </c>
      <c r="C216">
        <v>0.7</v>
      </c>
      <c r="D216">
        <v>0</v>
      </c>
      <c r="E216" s="5">
        <v>65</v>
      </c>
      <c r="F216" cm="1">
        <f t="array" ref="F216">vega_new(E216,A216,0.1,B216,D216,C216)</f>
        <v>1.5343279928956448</v>
      </c>
      <c r="G216" cm="1">
        <f t="array" ref="G216">vega_new(E216,A216,0.2,B216,D216,C216)</f>
        <v>5.5557676262465732</v>
      </c>
      <c r="H216" cm="1">
        <f t="array" ref="H216">vega_new(E216,A216,0.3,B216,D216,C216)</f>
        <v>9.2677057420348348</v>
      </c>
      <c r="I216" cm="1">
        <f t="array" ref="I216">vega_new(E216,A216,0.4,B216,D216,C216)</f>
        <v>12.447784327132567</v>
      </c>
      <c r="J216" cm="1">
        <f t="array" ref="J216">vega_new(E216,A216,0.5,B216,D216,C216)</f>
        <v>15.197938365303534</v>
      </c>
      <c r="K216" cm="1">
        <f t="array" ref="K216">vega_new(E216,A216,0.6,B216,D216,C216)</f>
        <v>17.615967592756242</v>
      </c>
      <c r="L216" cm="1">
        <f t="array" ref="L216">vega_new(E216,A216,0.7,B216,D216,C216)</f>
        <v>19.773286552627589</v>
      </c>
      <c r="M216" cm="1">
        <f t="array" ref="M216">vega_new(E216,A216,0.8,B216,D216,C216)</f>
        <v>21.72094157929493</v>
      </c>
      <c r="N216" cm="1">
        <f t="array" ref="N216">vega_new(E216,A216,0.9,B216,D216,C216)</f>
        <v>23.49607339259035</v>
      </c>
      <c r="O216" cm="1">
        <f t="array" ref="O216">vega_new(E216,A216,1,B216,D216,C216)</f>
        <v>25.126385228544546</v>
      </c>
      <c r="P216" cm="1">
        <f t="array" ref="P216">vega_new(E216,A216,2,B216,D216,C216)</f>
        <v>36.555096647434844</v>
      </c>
      <c r="Q216" cm="1">
        <f t="array" ref="Q216">vega_new(E216,A216,3,B216,D216,C216)</f>
        <v>43.239798100426647</v>
      </c>
      <c r="R216" cm="1">
        <f t="array" ref="R216">vega_new(E216,A216,4,B216,D216,C216)</f>
        <v>47.466795011388314</v>
      </c>
      <c r="S216" cm="1">
        <f t="array" ref="S216">vega_new(E216,A216,5,B216,D216,C216)</f>
        <v>50.134941805638718</v>
      </c>
    </row>
    <row r="217" spans="1:19" x14ac:dyDescent="0.3">
      <c r="A217">
        <v>100</v>
      </c>
      <c r="B217">
        <f t="shared" si="11"/>
        <v>0.01</v>
      </c>
      <c r="C217">
        <v>0.7</v>
      </c>
      <c r="D217">
        <v>0</v>
      </c>
      <c r="E217" s="5">
        <v>70</v>
      </c>
      <c r="F217" cm="1">
        <f t="array" ref="F217">vega_new(E217,A217,0.1,B217,D217,C217)</f>
        <v>2.8838110427972352</v>
      </c>
      <c r="G217" cm="1">
        <f t="array" ref="G217">vega_new(E217,A217,0.2,B217,D217,C217)</f>
        <v>7.7532917151449814</v>
      </c>
      <c r="H217" cm="1">
        <f t="array" ref="H217">vega_new(E217,A217,0.3,B217,D217,C217)</f>
        <v>11.711488807492504</v>
      </c>
      <c r="I217" cm="1">
        <f t="array" ref="I217">vega_new(E217,A217,0.4,B217,D217,C217)</f>
        <v>14.968588058170175</v>
      </c>
      <c r="J217" cm="1">
        <f t="array" ref="J217">vega_new(E217,A217,0.5,B217,D217,C217)</f>
        <v>17.739558478453521</v>
      </c>
      <c r="K217" cm="1">
        <f t="array" ref="K217">vega_new(E217,A217,0.6,B217,D217,C217)</f>
        <v>20.15784930403856</v>
      </c>
      <c r="L217" cm="1">
        <f t="array" ref="L217">vega_new(E217,A217,0.7,B217,D217,C217)</f>
        <v>22.307920975811399</v>
      </c>
      <c r="M217" cm="1">
        <f t="array" ref="M217">vega_new(E217,A217,0.8,B217,D217,C217)</f>
        <v>24.246038698936822</v>
      </c>
      <c r="N217" cm="1">
        <f t="array" ref="N217">vega_new(E217,A217,0.9,B217,D217,C217)</f>
        <v>26.011511435643389</v>
      </c>
      <c r="O217" cm="1">
        <f t="array" ref="O217">vega_new(E217,A217,1,B217,D217,C217)</f>
        <v>27.632923416716366</v>
      </c>
      <c r="P217" cm="1">
        <f t="array" ref="P217">vega_new(E217,A217,2,B217,D217,C217)</f>
        <v>39.022411281278337</v>
      </c>
      <c r="Q217" cm="1">
        <f t="array" ref="Q217">vega_new(E217,A217,3,B217,D217,C217)</f>
        <v>45.70246290949359</v>
      </c>
      <c r="R217" cm="1">
        <f t="array" ref="R217">vega_new(E217,A217,4,B217,D217,C217)</f>
        <v>49.921858766934264</v>
      </c>
      <c r="S217" cm="1">
        <f t="array" ref="S217">vega_new(E217,A217,5,B217,D217,C217)</f>
        <v>52.571248150413219</v>
      </c>
    </row>
    <row r="218" spans="1:19" x14ac:dyDescent="0.3">
      <c r="A218">
        <v>100</v>
      </c>
      <c r="B218">
        <f t="shared" si="11"/>
        <v>0.01</v>
      </c>
      <c r="C218">
        <v>0.7</v>
      </c>
      <c r="D218">
        <v>0</v>
      </c>
      <c r="E218" s="5">
        <v>75</v>
      </c>
      <c r="F218" cm="1">
        <f t="array" ref="F218">vega_new(E218,A218,0.1,B218,D218,C218)</f>
        <v>4.6918838975680917</v>
      </c>
      <c r="G218" cm="1">
        <f t="array" ref="G218">vega_new(E218,A218,0.2,B218,D218,C218)</f>
        <v>10.054521596244205</v>
      </c>
      <c r="H218" cm="1">
        <f t="array" ref="H218">vega_new(E218,A218,0.3,B218,D218,C218)</f>
        <v>14.081610841359094</v>
      </c>
      <c r="I218" cm="1">
        <f t="array" ref="I218">vega_new(E218,A218,0.4,B218,D218,C218)</f>
        <v>17.330198560120618</v>
      </c>
      <c r="J218" cm="1">
        <f t="array" ref="J218">vega_new(E218,A218,0.5,B218,D218,C218)</f>
        <v>20.077747655479406</v>
      </c>
      <c r="K218" cm="1">
        <f t="array" ref="K218">vega_new(E218,A218,0.6,B218,D218,C218)</f>
        <v>22.472395419122776</v>
      </c>
      <c r="L218" cm="1">
        <f t="array" ref="L218">vega_new(E218,A218,0.7,B218,D218,C218)</f>
        <v>24.602177574193345</v>
      </c>
      <c r="M218" cm="1">
        <f t="array" ref="M218">vega_new(E218,A218,0.8,B218,D218,C218)</f>
        <v>26.523889118605833</v>
      </c>
      <c r="N218" cm="1">
        <f t="array" ref="N218">vega_new(E218,A218,0.9,B218,D218,C218)</f>
        <v>28.276505907828554</v>
      </c>
      <c r="O218" cm="1">
        <f t="array" ref="O218">vega_new(E218,A218,1,B218,D218,C218)</f>
        <v>29.888077771719601</v>
      </c>
      <c r="P218" cm="1">
        <f t="array" ref="P218">vega_new(E218,A218,2,B218,D218,C218)</f>
        <v>41.260523721323118</v>
      </c>
      <c r="Q218" cm="1">
        <f t="array" ref="Q218">vega_new(E218,A218,3,B218,D218,C218)</f>
        <v>47.959730444184778</v>
      </c>
      <c r="R218" cm="1">
        <f t="array" ref="R218">vega_new(E218,A218,4,B218,D218,C218)</f>
        <v>52.189858947630633</v>
      </c>
      <c r="S218" cm="1">
        <f t="array" ref="S218">vega_new(E218,A218,5,B218,D218,C218)</f>
        <v>54.835096527487508</v>
      </c>
    </row>
    <row r="219" spans="1:19" x14ac:dyDescent="0.3">
      <c r="A219">
        <v>100</v>
      </c>
      <c r="B219">
        <f t="shared" si="11"/>
        <v>0.01</v>
      </c>
      <c r="C219">
        <v>0.7</v>
      </c>
      <c r="D219">
        <v>0</v>
      </c>
      <c r="E219" s="5">
        <v>80</v>
      </c>
      <c r="F219" cm="1">
        <f t="array" ref="F219">vega_new(E219,A219,0.1,B219,D219,C219)</f>
        <v>6.7746911961870806</v>
      </c>
      <c r="G219" cm="1">
        <f t="array" ref="G219">vega_new(E219,A219,0.2,B219,D219,C219)</f>
        <v>12.270258392686884</v>
      </c>
      <c r="H219" cm="1">
        <f t="array" ref="H219">vega_new(E219,A219,0.3,B219,D219,C219)</f>
        <v>16.247803263125057</v>
      </c>
      <c r="I219" cm="1">
        <f t="array" ref="I219">vega_new(E219,A219,0.4,B219,D219,C219)</f>
        <v>19.443339557253548</v>
      </c>
      <c r="J219" cm="1">
        <f t="array" ref="J219">vega_new(E219,A219,0.5,B219,D219,C219)</f>
        <v>22.150183000171619</v>
      </c>
      <c r="K219" cm="1">
        <f t="array" ref="K219">vega_new(E219,A219,0.6,B219,D219,C219)</f>
        <v>24.5155532416277</v>
      </c>
      <c r="L219" cm="1">
        <f t="array" ref="L219">vega_new(E219,A219,0.7,B219,D219,C219)</f>
        <v>26.624858611481891</v>
      </c>
      <c r="M219" cm="1">
        <f t="array" ref="M219">vega_new(E219,A219,0.8,B219,D219,C219)</f>
        <v>28.532645346468477</v>
      </c>
      <c r="N219" cm="1">
        <f t="array" ref="N219">vega_new(E219,A219,0.9,B219,D219,C219)</f>
        <v>30.276203278918111</v>
      </c>
      <c r="O219" cm="1">
        <f t="array" ref="O219">vega_new(E219,A219,1,B219,D219,C219)</f>
        <v>31.882349749076184</v>
      </c>
      <c r="P219" cm="1">
        <f t="array" ref="P219">vega_new(E219,A219,2,B219,D219,C219)</f>
        <v>43.279484396525945</v>
      </c>
      <c r="Q219" cm="1">
        <f t="array" ref="Q219">vega_new(E219,A219,3,B219,D219,C219)</f>
        <v>50.025228058335564</v>
      </c>
      <c r="R219" cm="1">
        <f t="array" ref="R219">vega_new(E219,A219,4,B219,D219,C219)</f>
        <v>54.285140679504963</v>
      </c>
      <c r="S219" cm="1">
        <f t="array" ref="S219">vega_new(E219,A219,5,B219,D219,C219)</f>
        <v>56.940720388012714</v>
      </c>
    </row>
    <row r="220" spans="1:19" x14ac:dyDescent="0.3">
      <c r="A220">
        <v>100</v>
      </c>
      <c r="B220">
        <f t="shared" si="11"/>
        <v>0.01</v>
      </c>
      <c r="C220">
        <v>0.7</v>
      </c>
      <c r="D220">
        <v>0</v>
      </c>
      <c r="E220" s="5">
        <v>85</v>
      </c>
      <c r="F220" cm="1">
        <f t="array" ref="F220">vega_new(E220,A220,0.1,B220,D220,C220)</f>
        <v>8.8538008344186832</v>
      </c>
      <c r="G220" cm="1">
        <f t="array" ref="G220">vega_new(E220,A220,0.2,B220,D220,C220)</f>
        <v>14.232703516610266</v>
      </c>
      <c r="H220" cm="1">
        <f t="array" ref="H220">vega_new(E220,A220,0.3,B220,D220,C220)</f>
        <v>18.111711675519782</v>
      </c>
      <c r="I220" cm="1">
        <f t="array" ref="I220">vega_new(E220,A220,0.4,B220,D220,C220)</f>
        <v>21.247179155846791</v>
      </c>
      <c r="J220" cm="1">
        <f t="array" ref="J220">vega_new(E220,A220,0.5,B220,D220,C220)</f>
        <v>23.918122329254142</v>
      </c>
      <c r="K220" cm="1">
        <f t="array" ref="K220">vega_new(E220,A220,0.6,B220,D220,C220)</f>
        <v>26.262598394219712</v>
      </c>
      <c r="L220" cm="1">
        <f t="array" ref="L220">vega_new(E220,A220,0.7,B220,D220,C220)</f>
        <v>28.360659499505097</v>
      </c>
      <c r="M220" cm="1">
        <f t="array" ref="M220">vega_new(E220,A220,0.8,B220,D220,C220)</f>
        <v>30.263616146190643</v>
      </c>
      <c r="N220" cm="1">
        <f t="array" ref="N220">vega_new(E220,A220,0.9,B220,D220,C220)</f>
        <v>32.006716512763944</v>
      </c>
      <c r="O220" cm="1">
        <f t="array" ref="O220">vega_new(E220,A220,1,B220,D220,C220)</f>
        <v>33.615438109760717</v>
      </c>
      <c r="P220" cm="1">
        <f t="array" ref="P220">vega_new(E220,A220,2,B220,D220,C220)</f>
        <v>45.091001079567462</v>
      </c>
      <c r="Q220" cm="1">
        <f t="array" ref="Q220">vega_new(E220,A220,3,B220,D220,C220)</f>
        <v>51.912266573588411</v>
      </c>
      <c r="R220" cm="1">
        <f t="array" ref="R220">vega_new(E220,A220,4,B220,D220,C220)</f>
        <v>56.220983573628523</v>
      </c>
      <c r="S220" cm="1">
        <f t="array" ref="S220">vega_new(E220,A220,5,B220,D220,C220)</f>
        <v>58.90095867280202</v>
      </c>
    </row>
    <row r="221" spans="1:19" x14ac:dyDescent="0.3">
      <c r="A221">
        <v>100</v>
      </c>
      <c r="B221">
        <f t="shared" si="11"/>
        <v>0.01</v>
      </c>
      <c r="C221">
        <v>0.7</v>
      </c>
      <c r="D221">
        <v>0</v>
      </c>
      <c r="E221" s="5">
        <v>90</v>
      </c>
      <c r="F221" cm="1">
        <f t="array" ref="F221">vega_new(E221,A221,0.1,B221,D221,C221)</f>
        <v>10.638718119750292</v>
      </c>
      <c r="G221" cm="1">
        <f t="array" ref="G221">vega_new(E221,A221,0.2,B221,D221,C221)</f>
        <v>15.816841898831074</v>
      </c>
      <c r="H221" cm="1">
        <f t="array" ref="H221">vega_new(E221,A221,0.3,B221,D221,C221)</f>
        <v>19.610235354345711</v>
      </c>
      <c r="I221" cm="1">
        <f t="array" ref="I221">vega_new(E221,A221,0.4,B221,D221,C221)</f>
        <v>22.707538510902584</v>
      </c>
      <c r="J221" cm="1">
        <f t="array" ref="J221">vega_new(E221,A221,0.5,B221,D221,C221)</f>
        <v>25.36314730392759</v>
      </c>
      <c r="K221" cm="1">
        <f t="array" ref="K221">vega_new(E221,A221,0.6,B221,D221,C221)</f>
        <v>27.704603661630856</v>
      </c>
      <c r="L221" cm="1">
        <f t="array" ref="L221">vega_new(E221,A221,0.7,B221,D221,C221)</f>
        <v>29.806775369121372</v>
      </c>
      <c r="M221" cm="1">
        <f t="array" ref="M221">vega_new(E221,A221,0.8,B221,D221,C221)</f>
        <v>31.718146718263604</v>
      </c>
      <c r="N221" cm="1">
        <f t="array" ref="N221">vega_new(E221,A221,0.9,B221,D221,C221)</f>
        <v>33.472310023527854</v>
      </c>
      <c r="O221" cm="1">
        <f t="array" ref="O221">vega_new(E221,A221,1,B221,D221,C221)</f>
        <v>35.093719497419094</v>
      </c>
      <c r="P221" cm="1">
        <f t="array" ref="P221">vega_new(E221,A221,2,B221,D221,C221)</f>
        <v>46.707624889744359</v>
      </c>
      <c r="Q221" cm="1">
        <f t="array" ref="Q221">vega_new(E221,A221,3,B221,D221,C221)</f>
        <v>53.633605297296235</v>
      </c>
      <c r="R221" cm="1">
        <f t="array" ref="R221">vega_new(E221,A221,4,B221,D221,C221)</f>
        <v>58.009615446117202</v>
      </c>
      <c r="S221" cm="1">
        <f t="array" ref="S221">vega_new(E221,A221,5,B221,D221,C221)</f>
        <v>60.72739319579091</v>
      </c>
    </row>
    <row r="222" spans="1:19" x14ac:dyDescent="0.3">
      <c r="A222">
        <v>100</v>
      </c>
      <c r="B222">
        <f t="shared" si="11"/>
        <v>0.01</v>
      </c>
      <c r="C222">
        <v>0.7</v>
      </c>
      <c r="D222">
        <v>0</v>
      </c>
      <c r="E222" s="5">
        <v>95</v>
      </c>
      <c r="F222" cm="1">
        <f t="array" ref="F222">vega_new(E222,A222,0.1,B222,D222,C222)</f>
        <v>11.903793100297138</v>
      </c>
      <c r="G222" cm="1">
        <f t="array" ref="G222">vega_new(E222,A222,0.2,B222,D222,C222)</f>
        <v>16.949171664700572</v>
      </c>
      <c r="H222" cm="1">
        <f t="array" ref="H222">vega_new(E222,A222,0.3,B222,D222,C222)</f>
        <v>20.713606569885599</v>
      </c>
      <c r="I222" cm="1">
        <f t="array" ref="I222">vega_new(E222,A222,0.4,B222,D222,C222)</f>
        <v>23.813053229002669</v>
      </c>
      <c r="J222" cm="1">
        <f t="array" ref="J222">vega_new(E222,A222,0.5,B222,D222,C222)</f>
        <v>26.483259195362759</v>
      </c>
      <c r="K222" cm="1">
        <f t="array" ref="K222">vega_new(E222,A222,0.6,B222,D222,C222)</f>
        <v>28.844902220041885</v>
      </c>
      <c r="L222" cm="1">
        <f t="array" ref="L222">vega_new(E222,A222,0.7,B222,D222,C222)</f>
        <v>30.969802815722204</v>
      </c>
      <c r="M222" cm="1">
        <f t="array" ref="M222">vega_new(E222,A222,0.8,B222,D222,C222)</f>
        <v>32.904931140997654</v>
      </c>
      <c r="N222" cm="1">
        <f t="array" ref="N222">vega_new(E222,A222,0.9,B222,D222,C222)</f>
        <v>34.683071588229829</v>
      </c>
      <c r="O222" cm="1">
        <f t="array" ref="O222">vega_new(E222,A222,1,B222,D222,C222)</f>
        <v>36.32822802922653</v>
      </c>
      <c r="P222" cm="1">
        <f t="array" ref="P222">vega_new(E222,A222,2,B222,D222,C222)</f>
        <v>48.14219214448066</v>
      </c>
      <c r="Q222" cm="1">
        <f t="array" ref="Q222">vega_new(E222,A222,3,B222,D222,C222)</f>
        <v>55.201323571758117</v>
      </c>
      <c r="R222" cm="1">
        <f t="array" ref="R222">vega_new(E222,A222,4,B222,D222,C222)</f>
        <v>59.66225947030587</v>
      </c>
      <c r="S222" cm="1">
        <f t="array" ref="S222">vega_new(E222,A222,5,B222,D222,C222)</f>
        <v>62.430480174948805</v>
      </c>
    </row>
    <row r="223" spans="1:19" x14ac:dyDescent="0.3">
      <c r="A223">
        <v>100</v>
      </c>
      <c r="B223">
        <f t="shared" si="11"/>
        <v>0.01</v>
      </c>
      <c r="C223">
        <v>0.7</v>
      </c>
      <c r="D223">
        <v>0</v>
      </c>
      <c r="E223" s="5">
        <v>100</v>
      </c>
      <c r="F223" cm="1">
        <f t="array" ref="F223">vega_new(E223,A223,0.1,B223,D223,C223)</f>
        <v>12.532232209018206</v>
      </c>
      <c r="G223" cm="1">
        <f t="array" ref="G223">vega_new(E223,A223,0.2,B223,D223,C223)</f>
        <v>17.606044637682018</v>
      </c>
      <c r="H223" cm="1">
        <f t="array" ref="H223">vega_new(E223,A223,0.3,B223,D223,C223)</f>
        <v>21.420312163559078</v>
      </c>
      <c r="I223" cm="1">
        <f t="array" ref="I223">vega_new(E223,A223,0.4,B223,D223,C223)</f>
        <v>24.570473812122259</v>
      </c>
      <c r="J223" cm="1">
        <f t="array" ref="J223">vega_new(E223,A223,0.5,B223,D223,C223)</f>
        <v>27.288955014272481</v>
      </c>
      <c r="K223" cm="1">
        <f t="array" ref="K223">vega_new(E223,A223,0.6,B223,D223,C223)</f>
        <v>29.695859235557471</v>
      </c>
      <c r="L223" cm="1">
        <f t="array" ref="L223">vega_new(E223,A223,0.7,B223,D223,C223)</f>
        <v>31.863072973844929</v>
      </c>
      <c r="M223" cm="1">
        <f t="array" ref="M223">vega_new(E223,A223,0.8,B223,D223,C223)</f>
        <v>33.837790649565513</v>
      </c>
      <c r="N223" cm="1">
        <f t="array" ref="N223">vega_new(E223,A223,0.9,B223,D223,C223)</f>
        <v>35.653045045005278</v>
      </c>
      <c r="O223" cm="1">
        <f t="array" ref="O223">vega_new(E223,A223,1,B223,D223,C223)</f>
        <v>37.333073096271022</v>
      </c>
      <c r="P223" cm="1">
        <f t="array" ref="P223">vega_new(E223,A223,2,B223,D223,C223)</f>
        <v>49.407446980755509</v>
      </c>
      <c r="Q223" cm="1">
        <f t="array" ref="Q223">vega_new(E223,A223,3,B223,D223,C223)</f>
        <v>56.62676054761571</v>
      </c>
      <c r="R223" cm="1">
        <f t="array" ref="R223">vega_new(E223,A223,4,B223,D223,C223)</f>
        <v>61.189197963671148</v>
      </c>
      <c r="S223" cm="1">
        <f t="array" ref="S223">vega_new(E223,A223,5,B223,D223,C223)</f>
        <v>64.019671602385458</v>
      </c>
    </row>
    <row r="224" spans="1:19" x14ac:dyDescent="0.3">
      <c r="A224">
        <v>100</v>
      </c>
      <c r="B224">
        <f t="shared" si="11"/>
        <v>0.01</v>
      </c>
      <c r="C224">
        <v>0.7</v>
      </c>
      <c r="D224">
        <v>0</v>
      </c>
      <c r="E224" s="5">
        <v>105</v>
      </c>
      <c r="F224" cm="1">
        <f t="array" ref="F224">vega_new(E224,A224,0.1,B224,D224,C224)</f>
        <v>12.521067845227742</v>
      </c>
      <c r="G224" cm="1">
        <f t="array" ref="G224">vega_new(E224,A224,0.2,B224,D224,C224)</f>
        <v>17.8053032108512</v>
      </c>
      <c r="H224" cm="1">
        <f t="array" ref="H224">vega_new(E224,A224,0.3,B224,D224,C224)</f>
        <v>21.750617146171912</v>
      </c>
      <c r="I224" cm="1">
        <f t="array" ref="I224">vega_new(E224,A224,0.4,B224,D224,C224)</f>
        <v>24.999908918508016</v>
      </c>
      <c r="J224" cm="1">
        <f t="array" ref="J224">vega_new(E224,A224,0.5,B224,D224,C224)</f>
        <v>27.799645917938147</v>
      </c>
      <c r="K224" cm="1">
        <f t="array" ref="K224">vega_new(E224,A224,0.6,B224,D224,C224)</f>
        <v>30.276097665526613</v>
      </c>
      <c r="L224" cm="1">
        <f t="array" ref="L224">vega_new(E224,A224,0.7,B224,D224,C224)</f>
        <v>32.504450845561195</v>
      </c>
      <c r="M224" cm="1">
        <f t="array" ref="M224">vega_new(E224,A224,0.8,B224,D224,C224)</f>
        <v>34.533894196562727</v>
      </c>
      <c r="N224" cm="1">
        <f t="array" ref="N224">vega_new(E224,A224,0.9,B224,D224,C224)</f>
        <v>36.398769372254343</v>
      </c>
      <c r="O224" cm="1">
        <f t="array" ref="O224">vega_new(E224,A224,1,B224,D224,C224)</f>
        <v>38.124225313265832</v>
      </c>
      <c r="P224" cm="1">
        <f t="array" ref="P224">vega_new(E224,A224,2,B224,D224,C224)</f>
        <v>50.515791744284769</v>
      </c>
      <c r="Q224" cm="1">
        <f t="array" ref="Q224">vega_new(E224,A224,3,B224,D224,C224)</f>
        <v>57.920498341427745</v>
      </c>
      <c r="R224" cm="1">
        <f t="array" ref="R224">vega_new(E224,A224,4,B224,D224,C224)</f>
        <v>62.599842942052739</v>
      </c>
      <c r="S224" cm="1">
        <f t="array" ref="S224">vega_new(E224,A224,5,B224,D224,C224)</f>
        <v>65.503524941773364</v>
      </c>
    </row>
    <row r="225" spans="1:29" x14ac:dyDescent="0.3">
      <c r="A225">
        <v>100</v>
      </c>
      <c r="B225">
        <f t="shared" si="11"/>
        <v>0.01</v>
      </c>
      <c r="C225">
        <v>0.7</v>
      </c>
      <c r="D225">
        <v>0</v>
      </c>
      <c r="E225" s="5">
        <v>110</v>
      </c>
      <c r="F225" cm="1">
        <f t="array" ref="F225">vega_new(E225,A225,0.1,B225,D225,C225)</f>
        <v>11.957033694466926</v>
      </c>
      <c r="G225" cm="1">
        <f t="array" ref="G225">vega_new(E225,A225,0.2,B225,D225,C225)</f>
        <v>17.594831230886026</v>
      </c>
      <c r="H225" cm="1">
        <f t="array" ref="H225">vega_new(E225,A225,0.3,B225,D225,C225)</f>
        <v>21.739949527966502</v>
      </c>
      <c r="I225" cm="1">
        <f t="array" ref="I225">vega_new(E225,A225,0.4,B225,D225,C225)</f>
        <v>25.130491454194321</v>
      </c>
      <c r="J225" cm="1">
        <f t="array" ref="J225">vega_new(E225,A225,0.5,B225,D225,C225)</f>
        <v>28.040592396742046</v>
      </c>
      <c r="K225" cm="1">
        <f t="array" ref="K225">vega_new(E225,A225,0.6,B225,D225,C225)</f>
        <v>30.608219051702584</v>
      </c>
      <c r="L225" cm="1">
        <f t="array" ref="L225">vega_new(E225,A225,0.7,B225,D225,C225)</f>
        <v>32.914579636329364</v>
      </c>
      <c r="M225" cm="1">
        <f t="array" ref="M225">vega_new(E225,A225,0.8,B225,D225,C225)</f>
        <v>35.012370966649435</v>
      </c>
      <c r="N225" cm="1">
        <f t="array" ref="N225">vega_new(E225,A225,0.9,B225,D225,C225)</f>
        <v>36.938160931535393</v>
      </c>
      <c r="O225" cm="1">
        <f t="array" ref="O225">vega_new(E225,A225,1,B225,D225,C225)</f>
        <v>38.718602814057931</v>
      </c>
      <c r="P225" cm="1">
        <f t="array" ref="P225">vega_new(E225,A225,2,B225,D225,C225)</f>
        <v>51.479127602602837</v>
      </c>
      <c r="Q225" cm="1">
        <f t="array" ref="Q225">vega_new(E225,A225,3,B225,D225,C225)</f>
        <v>59.09237234880154</v>
      </c>
      <c r="R225" cm="1">
        <f t="array" ref="R225">vega_new(E225,A225,4,B225,D225,C225)</f>
        <v>63.902807712605544</v>
      </c>
      <c r="S225" cm="1">
        <f t="array" ref="S225">vega_new(E225,A225,5,B225,D225,C225)</f>
        <v>66.889801084855648</v>
      </c>
    </row>
    <row r="226" spans="1:29" x14ac:dyDescent="0.3">
      <c r="A226">
        <v>100</v>
      </c>
      <c r="B226">
        <f t="shared" si="11"/>
        <v>0.01</v>
      </c>
      <c r="C226">
        <v>0.7</v>
      </c>
      <c r="D226">
        <v>0</v>
      </c>
      <c r="E226" s="5">
        <v>115</v>
      </c>
      <c r="F226" cm="1">
        <f t="array" ref="F226">vega_new(E226,A226,0.1,B226,D226,C226)</f>
        <v>10.979305417674309</v>
      </c>
      <c r="G226" cm="1">
        <f t="array" ref="G226">vega_new(E226,A226,0.2,B226,D226,C226)</f>
        <v>17.040805105044697</v>
      </c>
      <c r="H226" cm="1">
        <f t="array" ref="H226">vega_new(E226,A226,0.3,B226,D226,C226)</f>
        <v>21.432922772554079</v>
      </c>
      <c r="I226" cm="1">
        <f t="array" ref="I226">vega_new(E226,A226,0.4,B226,D226,C226)</f>
        <v>24.996705939324286</v>
      </c>
      <c r="J226" cm="1">
        <f t="array" ref="J226">vega_new(E226,A226,0.5,B226,D226,C226)</f>
        <v>28.040408934155536</v>
      </c>
      <c r="K226" cm="1">
        <f t="array" ref="K226">vega_new(E226,A226,0.6,B226,D226,C226)</f>
        <v>30.716999596365167</v>
      </c>
      <c r="L226" cm="1">
        <f t="array" ref="L226">vega_new(E226,A226,0.7,B226,D226,C226)</f>
        <v>33.115521305388278</v>
      </c>
      <c r="M226" cm="1">
        <f t="array" ref="M226">vega_new(E226,A226,0.8,B226,D226,C226)</f>
        <v>35.293255360813959</v>
      </c>
      <c r="N226" cm="1">
        <f t="array" ref="N226">vega_new(E226,A226,0.9,B226,D226,C226)</f>
        <v>37.289676997358065</v>
      </c>
      <c r="O226" cm="1">
        <f t="array" ref="O226">vega_new(E226,A226,1,B226,D226,C226)</f>
        <v>39.133397454399912</v>
      </c>
      <c r="P226" cm="1">
        <f t="array" ref="P226">vega_new(E226,A226,2,B226,D226,C226)</f>
        <v>52.308758699246923</v>
      </c>
      <c r="Q226" cm="1">
        <f t="array" ref="Q226">vega_new(E226,A226,3,B226,D226,C226)</f>
        <v>60.151498060972962</v>
      </c>
      <c r="R226" cm="1">
        <f t="array" ref="R226">vega_new(E226,A226,4,B226,D226,C226)</f>
        <v>65.105976270189316</v>
      </c>
      <c r="S226" cm="1">
        <f t="array" ref="S226">vega_new(E226,A226,5,B226,D226,C226)</f>
        <v>68.185551208786094</v>
      </c>
    </row>
    <row r="227" spans="1:29" x14ac:dyDescent="0.3">
      <c r="A227">
        <v>100</v>
      </c>
      <c r="B227">
        <f t="shared" si="11"/>
        <v>0.01</v>
      </c>
      <c r="C227">
        <v>0.7</v>
      </c>
      <c r="D227">
        <v>0</v>
      </c>
      <c r="E227" s="5">
        <v>120</v>
      </c>
      <c r="F227" cm="1">
        <f t="array" ref="F227">vega_new(E227,A227,0.1,B227,D227,C227)</f>
        <v>9.742993619945425</v>
      </c>
      <c r="G227" cm="1">
        <f t="array" ref="G227">vega_new(E227,A227,0.2,B227,D227,C227)</f>
        <v>16.217396340493519</v>
      </c>
      <c r="H227" cm="1">
        <f t="array" ref="H227">vega_new(E227,A227,0.3,B227,D227,C227)</f>
        <v>20.878385398702481</v>
      </c>
      <c r="I227" cm="1">
        <f t="array" ref="I227">vega_new(E227,A227,0.4,B227,D227,C227)</f>
        <v>24.635452120428095</v>
      </c>
      <c r="J227" cm="1">
        <f t="array" ref="J227">vega_new(E227,A227,0.5,B227,D227,C227)</f>
        <v>27.829118222576422</v>
      </c>
      <c r="K227" cm="1">
        <f t="array" ref="K227">vega_new(E227,A227,0.6,B227,D227,C227)</f>
        <v>30.628010882425016</v>
      </c>
      <c r="L227" cm="1">
        <f t="array" ref="L227">vega_new(E227,A227,0.7,B227,D227,C227)</f>
        <v>33.129734273448264</v>
      </c>
      <c r="M227" cm="1">
        <f t="array" ref="M227">vega_new(E227,A227,0.8,B227,D227,C227)</f>
        <v>35.396705422951172</v>
      </c>
      <c r="N227" cm="1">
        <f t="array" ref="N227">vega_new(E227,A227,0.9,B227,D227,C227)</f>
        <v>37.471704809392229</v>
      </c>
      <c r="O227" cm="1">
        <f t="array" ref="O227">vega_new(E227,A227,1,B227,D227,C227)</f>
        <v>39.385589527811277</v>
      </c>
      <c r="P227" cm="1">
        <f t="array" ref="P227">vega_new(E227,A227,2,B227,D227,C227)</f>
        <v>53.015340829618069</v>
      </c>
      <c r="Q227" cm="1">
        <f t="array" ref="Q227">vega_new(E227,A227,3,B227,D227,C227)</f>
        <v>61.106307382824859</v>
      </c>
      <c r="R227" cm="1">
        <f t="array" ref="R227">vega_new(E227,A227,4,B227,D227,C227)</f>
        <v>66.216568769523363</v>
      </c>
      <c r="S227" cm="1">
        <f t="array" ref="S227">vega_new(E227,A227,5,B227,D227,C227)</f>
        <v>69.397193487943809</v>
      </c>
    </row>
    <row r="228" spans="1:29" x14ac:dyDescent="0.3">
      <c r="A228">
        <v>100</v>
      </c>
      <c r="B228">
        <f t="shared" si="11"/>
        <v>0.01</v>
      </c>
      <c r="C228">
        <v>0.7</v>
      </c>
      <c r="D228">
        <v>0</v>
      </c>
      <c r="E228" s="5">
        <v>125</v>
      </c>
      <c r="F228" cm="1">
        <f t="array" ref="F228">vega_new(E228,A228,0.1,B228,D228,C228)</f>
        <v>8.3915851600833538</v>
      </c>
      <c r="G228" cm="1">
        <f t="array" ref="G228">vega_new(E228,A228,0.2,B228,D228,C228)</f>
        <v>15.198761870712445</v>
      </c>
      <c r="H228" cm="1">
        <f t="array" ref="H228">vega_new(E228,A228,0.3,B228,D228,C228)</f>
        <v>20.125614703077758</v>
      </c>
      <c r="I228" cm="1">
        <f t="array" ref="I228">vega_new(E228,A228,0.4,B228,D228,C228)</f>
        <v>24.083819463673894</v>
      </c>
      <c r="J228" cm="1">
        <f t="array" ref="J228">vega_new(E228,A228,0.5,B228,D228,C228)</f>
        <v>27.436696607217264</v>
      </c>
      <c r="K228" cm="1">
        <f t="array" ref="K228">vega_new(E228,A228,0.6,B228,D228,C228)</f>
        <v>30.366602228225808</v>
      </c>
      <c r="L228" cm="1">
        <f t="array" ref="L228">vega_new(E228,A228,0.7,B228,D228,C228)</f>
        <v>32.979328790539775</v>
      </c>
      <c r="M228" cm="1">
        <f t="array" ref="M228">vega_new(E228,A228,0.8,B228,D228,C228)</f>
        <v>35.342440907432668</v>
      </c>
      <c r="N228" cm="1">
        <f t="array" ref="N228">vega_new(E228,A228,0.9,B228,D228,C228)</f>
        <v>37.502128256713576</v>
      </c>
      <c r="O228" cm="1">
        <f t="array" ref="O228">vega_new(E228,A228,1,B228,D228,C228)</f>
        <v>39.491608587785272</v>
      </c>
      <c r="P228" cm="1">
        <f t="array" ref="P228">vega_new(E228,A228,2,B228,D228,C228)</f>
        <v>53.60886105072251</v>
      </c>
      <c r="Q228" cm="1">
        <f t="array" ref="Q228">vega_new(E228,A228,3,B228,D228,C228)</f>
        <v>61.96458986062423</v>
      </c>
      <c r="R228" cm="1">
        <f t="array" ref="R228">vega_new(E228,A228,4,B228,D228,C228)</f>
        <v>67.241202255175324</v>
      </c>
      <c r="S228" cm="1">
        <f t="array" ref="S228">vega_new(E228,A228,5,B228,D228,C228)</f>
        <v>70.530580712140889</v>
      </c>
    </row>
    <row r="229" spans="1:29" x14ac:dyDescent="0.3">
      <c r="A229">
        <v>100</v>
      </c>
      <c r="B229">
        <f t="shared" si="11"/>
        <v>0.01</v>
      </c>
      <c r="C229">
        <v>0.7</v>
      </c>
      <c r="D229">
        <v>0</v>
      </c>
      <c r="E229" s="5">
        <v>130</v>
      </c>
      <c r="F229" cm="1">
        <f t="array" ref="F229">vega_new(E229,A229,0.1,B229,D229,C229)</f>
        <v>7.0408832808624151</v>
      </c>
      <c r="G229" cm="1">
        <f t="array" ref="G229">vega_new(E229,A229,0.2,B229,D229,C229)</f>
        <v>14.053493762129586</v>
      </c>
      <c r="H229" cm="1">
        <f t="array" ref="H229">vega_new(E229,A229,0.3,B229,D229,C229)</f>
        <v>19.221601410518993</v>
      </c>
      <c r="I229" cm="1">
        <f t="array" ref="I229">vega_new(E229,A229,0.4,B229,D229,C229)</f>
        <v>23.377492994725657</v>
      </c>
      <c r="J229" cm="1">
        <f t="array" ref="J229">vega_new(E229,A229,0.5,B229,D229,C229)</f>
        <v>26.892036312437781</v>
      </c>
      <c r="K229" cm="1">
        <f t="array" ref="K229">vega_new(E229,A229,0.6,B229,D229,C229)</f>
        <v>29.957180248286541</v>
      </c>
      <c r="L229" cm="1">
        <f t="array" ref="L229">vega_new(E229,A229,0.7,B229,D229,C229)</f>
        <v>32.685545140427458</v>
      </c>
      <c r="M229" cm="1">
        <f t="array" ref="M229">vega_new(E229,A229,0.8,B229,D229,C229)</f>
        <v>35.149354354410441</v>
      </c>
      <c r="N229" cm="1">
        <f t="array" ref="N229">vega_new(E229,A229,0.9,B229,D229,C229)</f>
        <v>37.398032339012218</v>
      </c>
      <c r="O229" cm="1">
        <f t="array" ref="O229">vega_new(E229,A229,1,B229,D229,C229)</f>
        <v>39.467106104339777</v>
      </c>
      <c r="P229" cm="1">
        <f t="array" ref="P229">vega_new(E229,A229,2,B229,D229,C229)</f>
        <v>54.098638504054165</v>
      </c>
      <c r="Q229" cm="1">
        <f t="array" ref="Q229">vega_new(E229,A229,3,B229,D229,C229)</f>
        <v>62.73353583034033</v>
      </c>
      <c r="R229" cm="1">
        <f t="array" ref="R229">vega_new(E229,A229,4,B229,D229,C229)</f>
        <v>68.185946375072433</v>
      </c>
      <c r="S229" cm="1">
        <f t="array" ref="S229">vega_new(E229,A229,5,B229,D229,C229)</f>
        <v>71.591059850044303</v>
      </c>
    </row>
    <row r="230" spans="1:29" x14ac:dyDescent="0.3">
      <c r="A230">
        <v>100</v>
      </c>
      <c r="B230">
        <f t="shared" si="11"/>
        <v>0.01</v>
      </c>
      <c r="C230">
        <v>0.7</v>
      </c>
      <c r="D230">
        <v>0</v>
      </c>
      <c r="E230" s="5">
        <v>135</v>
      </c>
      <c r="F230" cm="1">
        <f t="array" ref="F230">vega_new(E230,A230,0.1,B230,D230,C230)</f>
        <v>5.7731842674237228</v>
      </c>
      <c r="G230" cm="1">
        <f t="array" ref="G230">vega_new(E230,A230,0.2,B230,D230,C230)</f>
        <v>12.841294242118861</v>
      </c>
      <c r="H230" cm="1">
        <f t="array" ref="H230">vega_new(E230,A230,0.3,B230,D230,C230)</f>
        <v>18.209281031904371</v>
      </c>
      <c r="I230" cm="1">
        <f t="array" ref="I230">vega_new(E230,A230,0.4,B230,D230,C230)</f>
        <v>22.549687958639215</v>
      </c>
      <c r="J230" cm="1">
        <f t="array" ref="J230">vega_new(E230,A230,0.5,B230,D230,C230)</f>
        <v>26.222247474498374</v>
      </c>
      <c r="K230" cm="1">
        <f t="array" ref="K230">vega_new(E230,A230,0.6,B230,D230,C230)</f>
        <v>29.422725708573562</v>
      </c>
      <c r="L230" cm="1">
        <f t="array" ref="L230">vega_new(E230,A230,0.7,B230,D230,C230)</f>
        <v>32.26840678499277</v>
      </c>
      <c r="M230" cm="1">
        <f t="array" ref="M230">vega_new(E230,A230,0.8,B230,D230,C230)</f>
        <v>34.835256077674792</v>
      </c>
      <c r="N230" cm="1">
        <f t="array" ref="N230">vega_new(E230,A230,0.9,B230,D230,C230)</f>
        <v>37.175512963628734</v>
      </c>
      <c r="O230" cm="1">
        <f t="array" ref="O230">vega_new(E230,A230,1,B230,D230,C230)</f>
        <v>39.326812675652675</v>
      </c>
      <c r="P230" cm="1">
        <f t="array" ref="P230">vega_new(E230,A230,2,B230,D230,C230)</f>
        <v>54.493339495611259</v>
      </c>
      <c r="Q230" cm="1">
        <f t="array" ref="Q230">vega_new(E230,A230,3,B230,D230,C230)</f>
        <v>63.419779568136306</v>
      </c>
      <c r="R230" cm="1">
        <f t="array" ref="R230">vega_new(E230,A230,4,B230,D230,C230)</f>
        <v>69.056374121247956</v>
      </c>
      <c r="S230" cm="1">
        <f t="array" ref="S230">vega_new(E230,A230,5,B230,D230,C230)</f>
        <v>72.583524528968923</v>
      </c>
    </row>
    <row r="231" spans="1:29" x14ac:dyDescent="0.3">
      <c r="A231">
        <v>100</v>
      </c>
      <c r="B231">
        <f t="shared" si="11"/>
        <v>0.01</v>
      </c>
      <c r="C231">
        <v>0.7</v>
      </c>
      <c r="D231">
        <v>0</v>
      </c>
      <c r="E231" s="5">
        <v>140</v>
      </c>
      <c r="F231" cm="1">
        <f t="array" ref="F231">vega_new(E231,A231,0.1,B231,D231,C231)</f>
        <v>4.6386935802635083</v>
      </c>
      <c r="G231" cm="1">
        <f t="array" ref="G231">vega_new(E231,A231,0.2,B231,D231,C231)</f>
        <v>11.611446648342634</v>
      </c>
      <c r="H231" cm="1">
        <f t="array" ref="H231">vega_new(E231,A231,0.3,B231,D231,C231)</f>
        <v>17.126531654488254</v>
      </c>
      <c r="I231" cm="1">
        <f t="array" ref="I231">vega_new(E231,A231,0.4,B231,D231,C231)</f>
        <v>21.630507254024636</v>
      </c>
      <c r="J231" cm="1">
        <f t="array" ref="J231">vega_new(E231,A231,0.5,B231,D231,C231)</f>
        <v>25.452228070899576</v>
      </c>
      <c r="K231" cm="1">
        <f t="array" ref="K231">vega_new(E231,A231,0.6,B231,D231,C231)</f>
        <v>28.78449505779335</v>
      </c>
      <c r="L231" cm="1">
        <f t="array" ref="L231">vega_new(E231,A231,0.7,B231,D231,C231)</f>
        <v>31.746508075611086</v>
      </c>
      <c r="M231" cm="1">
        <f t="array" ref="M231">vega_new(E231,A231,0.8,B231,D231,C231)</f>
        <v>34.4167210648882</v>
      </c>
      <c r="N231" cm="1">
        <f t="array" ref="N231">vega_new(E231,A231,0.9,B231,D231,C231)</f>
        <v>36.849566107900657</v>
      </c>
      <c r="O231" cm="1">
        <f t="array" ref="O231">vega_new(E231,A231,1,B231,D231,C231)</f>
        <v>39.084458336862355</v>
      </c>
      <c r="P231" cm="1">
        <f t="array" ref="P231">vega_new(E231,A231,2,B231,D231,C231)</f>
        <v>54.801001861123062</v>
      </c>
      <c r="Q231" cm="1">
        <f t="array" ref="Q231">vega_new(E231,A231,3,B231,D231,C231)</f>
        <v>64.029441241901296</v>
      </c>
      <c r="R231" cm="1">
        <f t="array" ref="R231">vega_new(E231,A231,4,B231,D231,C231)</f>
        <v>69.857607820211456</v>
      </c>
      <c r="S231" cm="1">
        <f t="array" ref="S231">vega_new(E231,A231,5,B231,D231,C231)</f>
        <v>73.512461311334135</v>
      </c>
    </row>
    <row r="233" spans="1:29" x14ac:dyDescent="0.3">
      <c r="A233" s="11" t="s">
        <v>31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</row>
    <row r="234" spans="1:29" x14ac:dyDescent="0.3">
      <c r="A234" t="s">
        <v>13</v>
      </c>
      <c r="B234" t="s">
        <v>14</v>
      </c>
      <c r="C234" t="s">
        <v>15</v>
      </c>
      <c r="D234" t="s">
        <v>26</v>
      </c>
      <c r="F234" s="7">
        <v>0.1</v>
      </c>
      <c r="G234" s="7">
        <v>0.2</v>
      </c>
      <c r="H234" s="7">
        <v>0.3</v>
      </c>
      <c r="I234" s="7">
        <v>0.4</v>
      </c>
      <c r="J234" s="7">
        <v>0.5</v>
      </c>
      <c r="K234" s="7">
        <v>0.6</v>
      </c>
      <c r="L234" s="7">
        <v>0.7</v>
      </c>
      <c r="M234" s="7">
        <v>0.8</v>
      </c>
      <c r="N234" s="7">
        <v>0.9</v>
      </c>
      <c r="O234" s="7">
        <v>1</v>
      </c>
      <c r="P234" s="7">
        <v>2</v>
      </c>
      <c r="Q234" s="7">
        <v>3</v>
      </c>
      <c r="R234" s="7">
        <v>4</v>
      </c>
      <c r="S234" s="7">
        <v>5</v>
      </c>
    </row>
    <row r="235" spans="1:29" x14ac:dyDescent="0.3">
      <c r="A235">
        <v>100</v>
      </c>
      <c r="B235">
        <f>1/100</f>
        <v>0.01</v>
      </c>
      <c r="C235">
        <v>0.2</v>
      </c>
      <c r="D235">
        <v>0</v>
      </c>
      <c r="E235" s="5">
        <v>60</v>
      </c>
      <c r="F235" cm="1">
        <f t="array" ref="F235">rho_call(E235,A235,0.1,B235,D235,C235)</f>
        <v>2.9155373317769776E-15</v>
      </c>
      <c r="G235" cm="1">
        <f t="array" ref="G235">rho_call(E235,A235,0.2,B235,D235,C235)</f>
        <v>9.8144996773923596E-8</v>
      </c>
      <c r="H235" cm="1">
        <f t="array" ref="H235">rho_call(E235,A235,0.3,B235,D235,C235)</f>
        <v>4.0745379654174123E-5</v>
      </c>
      <c r="I235" cm="1">
        <f t="array" ref="I235">rho_call(E235,A235,0.4,B235,D235,C235)</f>
        <v>9.3629247971002423E-4</v>
      </c>
      <c r="J235" cm="1">
        <f t="array" ref="J235">rho_call(E235,A235,0.5,B235,D235,C235)</f>
        <v>6.5886799235162479E-3</v>
      </c>
      <c r="K235" cm="1">
        <f t="array" ref="K235">rho_call(E235,A235,0.6,B235,D235,C235)</f>
        <v>2.5336754690401989E-2</v>
      </c>
      <c r="L235" cm="1">
        <f t="array" ref="L235">rho_call(E235,A235,0.7,B235,D235,C235)</f>
        <v>6.8496313647904108E-2</v>
      </c>
      <c r="M235" cm="1">
        <f t="array" ref="M235">rho_call(E235,A235,0.8,B235,D235,C235)</f>
        <v>0.1479229983212314</v>
      </c>
      <c r="N235" cm="1">
        <f t="array" ref="N235">rho_call(E235,A235,0.9,B235,D235,C235)</f>
        <v>0.2742313900181243</v>
      </c>
      <c r="O235" cm="1">
        <f t="array" ref="O235">rho_call(E235,A235,1,B235,D235,C235)</f>
        <v>0.45595912570109309</v>
      </c>
      <c r="P235" cm="1">
        <f t="array" ref="P235">rho_call(E235,A235,2,B235,D235,C235)</f>
        <v>5.9353081456012937</v>
      </c>
      <c r="Q235" cm="1">
        <f t="array" ref="Q235">rho_call(E235,A235,3,B235,D235,C235)</f>
        <v>17.245259544138367</v>
      </c>
      <c r="R235" cm="1">
        <f t="array" ref="R235">rho_call(E235,A235,4,B235,D235,C235)</f>
        <v>32.377152020462432</v>
      </c>
      <c r="S235" cm="1">
        <f t="array" ref="S235">rho_call(E235,A235,5,B235,D235,C235)</f>
        <v>49.898150544272639</v>
      </c>
    </row>
    <row r="236" spans="1:29" x14ac:dyDescent="0.3">
      <c r="A236">
        <v>100</v>
      </c>
      <c r="B236">
        <f t="shared" ref="B236:B251" si="12">1/100</f>
        <v>0.01</v>
      </c>
      <c r="C236">
        <v>0.2</v>
      </c>
      <c r="D236">
        <v>0</v>
      </c>
      <c r="E236" s="5">
        <v>65</v>
      </c>
      <c r="F236" cm="1">
        <f t="array" ref="F236">rho_call(E236,A236,0.1,B236,D236,C236)</f>
        <v>4.3284662987202277E-11</v>
      </c>
      <c r="G236" cm="1">
        <f t="array" ref="G236">rho_call(E236,A236,0.2,B236,D236,C236)</f>
        <v>1.3045620291245922E-5</v>
      </c>
      <c r="H236" cm="1">
        <f t="array" ref="H236">rho_call(E236,A236,0.3,B236,D236,C236)</f>
        <v>1.1214508890306986E-3</v>
      </c>
      <c r="I236" cm="1">
        <f t="array" ref="I236">rho_call(E236,A236,0.4,B236,D236,C236)</f>
        <v>1.1705675325644333E-2</v>
      </c>
      <c r="J236" cm="1">
        <f t="array" ref="J236">rho_call(E236,A236,0.5,B236,D236,C236)</f>
        <v>5.1241821470043636E-2</v>
      </c>
      <c r="K236" cm="1">
        <f t="array" ref="K236">rho_call(E236,A236,0.6,B236,D236,C236)</f>
        <v>0.1434674536858371</v>
      </c>
      <c r="L236" cm="1">
        <f t="array" ref="L236">rho_call(E236,A236,0.7,B236,D236,C236)</f>
        <v>0.30898154554743779</v>
      </c>
      <c r="M236" cm="1">
        <f t="array" ref="M236">rho_call(E236,A236,0.8,B236,D236,C236)</f>
        <v>0.56236751489784886</v>
      </c>
      <c r="N236" cm="1">
        <f t="array" ref="N236">rho_call(E236,A236,0.9,B236,D236,C236)</f>
        <v>0.91231525678742365</v>
      </c>
      <c r="O236" cm="1">
        <f t="array" ref="O236">rho_call(E236,A236,1,B236,D236,C236)</f>
        <v>1.3628210187071796</v>
      </c>
      <c r="P236" cm="1">
        <f t="array" ref="P236">rho_call(E236,A236,2,B236,D236,C236)</f>
        <v>10.87924313868019</v>
      </c>
      <c r="Q236" cm="1">
        <f t="array" ref="Q236">rho_call(E236,A236,3,B236,D236,C236)</f>
        <v>26.706226544028677</v>
      </c>
      <c r="R236" cm="1">
        <f t="array" ref="R236">rho_call(E236,A236,4,B236,D236,C236)</f>
        <v>45.966579050016662</v>
      </c>
      <c r="S236" cm="1">
        <f t="array" ref="S236">rho_call(E236,A236,5,B236,D236,C236)</f>
        <v>67.144050131601475</v>
      </c>
    </row>
    <row r="237" spans="1:29" x14ac:dyDescent="0.3">
      <c r="A237">
        <v>100</v>
      </c>
      <c r="B237">
        <f t="shared" si="12"/>
        <v>0.01</v>
      </c>
      <c r="C237">
        <v>0.2</v>
      </c>
      <c r="D237">
        <v>0</v>
      </c>
      <c r="E237" s="5">
        <v>70</v>
      </c>
      <c r="F237" cm="1">
        <f t="array" ref="F237">rho_call(E237,A237,0.1,B237,D237,C237)</f>
        <v>7.7692467200589755E-8</v>
      </c>
      <c r="G237" cm="1">
        <f t="array" ref="G237">rho_call(E237,A237,0.2,B237,D237,C237)</f>
        <v>6.0569776566511083E-4</v>
      </c>
      <c r="H237" cm="1">
        <f t="array" ref="H237">rho_call(E237,A237,0.3,B237,D237,C237)</f>
        <v>1.5340110803905882E-2</v>
      </c>
      <c r="I237" cm="1">
        <f t="array" ref="I237">rho_call(E237,A237,0.4,B237,D237,C237)</f>
        <v>8.6710702538517648E-2</v>
      </c>
      <c r="J237" cm="1">
        <f t="array" ref="J237">rho_call(E237,A237,0.5,B237,D237,C237)</f>
        <v>0.2623085939603807</v>
      </c>
      <c r="K237" cm="1">
        <f t="array" ref="K237">rho_call(E237,A237,0.6,B237,D237,C237)</f>
        <v>0.5734265004042175</v>
      </c>
      <c r="L237" cm="1">
        <f t="array" ref="L237">rho_call(E237,A237,0.7,B237,D237,C237)</f>
        <v>1.0340638105047844</v>
      </c>
      <c r="M237" cm="1">
        <f t="array" ref="M237">rho_call(E237,A237,0.8,B237,D237,C237)</f>
        <v>1.6463949579291828</v>
      </c>
      <c r="N237" cm="1">
        <f t="array" ref="N237">rho_call(E237,A237,0.9,B237,D237,C237)</f>
        <v>2.405785146566469</v>
      </c>
      <c r="O237" cm="1">
        <f t="array" ref="O237">rho_call(E237,A237,1,B237,D237,C237)</f>
        <v>3.3041361033821035</v>
      </c>
      <c r="P237" cm="1">
        <f t="array" ref="P237">rho_call(E237,A237,2,B237,D237,C237)</f>
        <v>17.932080685197075</v>
      </c>
      <c r="Q237" cm="1">
        <f t="array" ref="Q237">rho_call(E237,A237,3,B237,D237,C237)</f>
        <v>38.476487533043752</v>
      </c>
      <c r="R237" cm="1">
        <f t="array" ref="R237">rho_call(E237,A237,4,B237,D237,C237)</f>
        <v>61.749948584880109</v>
      </c>
      <c r="S237" cm="1">
        <f t="array" ref="S237">rho_call(E237,A237,5,B237,D237,C237)</f>
        <v>86.363051145805372</v>
      </c>
    </row>
    <row r="238" spans="1:29" x14ac:dyDescent="0.3">
      <c r="A238">
        <v>100</v>
      </c>
      <c r="B238">
        <f t="shared" si="12"/>
        <v>0.01</v>
      </c>
      <c r="C238">
        <v>0.2</v>
      </c>
      <c r="D238">
        <v>0</v>
      </c>
      <c r="E238" s="5">
        <v>75</v>
      </c>
      <c r="F238" cm="1">
        <f t="array" ref="F238">rho_call(E238,A238,0.1,B238,D238,C238)</f>
        <v>2.5013539023405381E-5</v>
      </c>
      <c r="G238" cm="1">
        <f t="array" ref="G238">rho_call(E238,A238,0.2,B238,D238,C238)</f>
        <v>1.1981739309242229E-2</v>
      </c>
      <c r="H238" cm="1">
        <f t="array" ref="H238">rho_call(E238,A238,0.3,B238,D238,C238)</f>
        <v>0.11911631216126904</v>
      </c>
      <c r="I238" cm="1">
        <f t="array" ref="I238">rho_call(E238,A238,0.4,B238,D238,C238)</f>
        <v>0.42058365657656555</v>
      </c>
      <c r="J238" cm="1">
        <f t="array" ref="J238">rho_call(E238,A238,0.5,B238,D238,C238)</f>
        <v>0.95750502791312742</v>
      </c>
      <c r="K238" cm="1">
        <f t="array" ref="K238">rho_call(E238,A238,0.6,B238,D238,C238)</f>
        <v>1.7295450873604514</v>
      </c>
      <c r="L238" cm="1">
        <f t="array" ref="L238">rho_call(E238,A238,0.7,B238,D238,C238)</f>
        <v>2.7188766452768531</v>
      </c>
      <c r="M238" cm="1">
        <f t="array" ref="M238">rho_call(E238,A238,0.8,B238,D238,C238)</f>
        <v>3.902596571002467</v>
      </c>
      <c r="N238" cm="1">
        <f t="array" ref="N238">rho_call(E238,A238,0.9,B238,D238,C238)</f>
        <v>5.2579361449743294</v>
      </c>
      <c r="O238" cm="1">
        <f t="array" ref="O238">rho_call(E238,A238,1,B238,D238,C238)</f>
        <v>6.7641543932963435</v>
      </c>
      <c r="P238" cm="1">
        <f t="array" ref="P238">rho_call(E238,A238,2,B238,D238,C238)</f>
        <v>27.119588189475021</v>
      </c>
      <c r="Q238" cm="1">
        <f t="array" ref="Q238">rho_call(E238,A238,3,B238,D238,C238)</f>
        <v>52.273981099216769</v>
      </c>
      <c r="R238" cm="1">
        <f t="array" ref="R238">rho_call(E238,A238,4,B238,D238,C238)</f>
        <v>79.297672467890536</v>
      </c>
      <c r="S238" cm="1">
        <f t="array" ref="S238">rho_call(E238,A238,5,B238,D238,C238)</f>
        <v>107.06109558869031</v>
      </c>
    </row>
    <row r="239" spans="1:29" x14ac:dyDescent="0.3">
      <c r="A239">
        <v>100</v>
      </c>
      <c r="B239">
        <f t="shared" si="12"/>
        <v>0.01</v>
      </c>
      <c r="C239">
        <v>0.2</v>
      </c>
      <c r="D239">
        <v>0</v>
      </c>
      <c r="E239" s="5">
        <v>80</v>
      </c>
      <c r="F239" cm="1">
        <f t="array" ref="F239">rho_call(E239,A239,0.1,B239,D239,C239)</f>
        <v>1.9684019476440403E-3</v>
      </c>
      <c r="G239" cm="1">
        <f t="array" ref="G239">rho_call(E239,A239,0.2,B239,D239,C239)</f>
        <v>0.11806153679816468</v>
      </c>
      <c r="H239" cm="1">
        <f t="array" ref="H239">rho_call(E239,A239,0.3,B239,D239,C239)</f>
        <v>0.58294742224800944</v>
      </c>
      <c r="I239" cm="1">
        <f t="array" ref="I239">rho_call(E239,A239,0.4,B239,D239,C239)</f>
        <v>1.4449660567580991</v>
      </c>
      <c r="J239" cm="1">
        <f t="array" ref="J239">rho_call(E239,A239,0.5,B239,D239,C239)</f>
        <v>2.6541221761137002</v>
      </c>
      <c r="K239" cm="1">
        <f t="array" ref="K239">rho_call(E239,A239,0.6,B239,D239,C239)</f>
        <v>4.1483206002554978</v>
      </c>
      <c r="L239" cm="1">
        <f t="array" ref="L239">rho_call(E239,A239,0.7,B239,D239,C239)</f>
        <v>5.8743138124230585</v>
      </c>
      <c r="M239" cm="1">
        <f t="array" ref="M239">rho_call(E239,A239,0.8,B239,D239,C239)</f>
        <v>7.7898920427139711</v>
      </c>
      <c r="N239" cm="1">
        <f t="array" ref="N239">rho_call(E239,A239,0.9,B239,D239,C239)</f>
        <v>9.8621140558167983</v>
      </c>
      <c r="O239" cm="1">
        <f t="array" ref="O239">rho_call(E239,A239,1,B239,D239,C239)</f>
        <v>12.065171933845738</v>
      </c>
      <c r="P239" cm="1">
        <f t="array" ref="P239">rho_call(E239,A239,2,B239,D239,C239)</f>
        <v>38.22640213674083</v>
      </c>
      <c r="Q239" cm="1">
        <f t="array" ref="Q239">rho_call(E239,A239,3,B239,D239,C239)</f>
        <v>67.677547849775834</v>
      </c>
      <c r="R239" cm="1">
        <f t="array" ref="R239">rho_call(E239,A239,4,B239,D239,C239)</f>
        <v>98.121354844747444</v>
      </c>
      <c r="S239" cm="1">
        <f t="array" ref="S239">rho_call(E239,A239,5,B239,D239,C239)</f>
        <v>128.73783982233832</v>
      </c>
    </row>
    <row r="240" spans="1:29" x14ac:dyDescent="0.3">
      <c r="A240">
        <v>100</v>
      </c>
      <c r="B240">
        <f t="shared" si="12"/>
        <v>0.01</v>
      </c>
      <c r="C240">
        <v>0.2</v>
      </c>
      <c r="D240">
        <v>0</v>
      </c>
      <c r="E240" s="5">
        <v>85</v>
      </c>
      <c r="F240" cm="1">
        <f t="array" ref="F240">rho_call(E240,A240,0.1,B240,D240,C240)</f>
        <v>4.8575796157643812E-2</v>
      </c>
      <c r="G240" cm="1">
        <f t="array" ref="G240">rho_call(E240,A240,0.2,B240,D240,C240)</f>
        <v>0.65728086131009644</v>
      </c>
      <c r="H240" cm="1">
        <f t="array" ref="H240">rho_call(E240,A240,0.3,B240,D240,C240)</f>
        <v>1.9560484482833904</v>
      </c>
      <c r="I240" cm="1">
        <f t="array" ref="I240">rho_call(E240,A240,0.4,B240,D240,C240)</f>
        <v>3.7454643863001102</v>
      </c>
      <c r="J240" cm="1">
        <f t="array" ref="J240">rho_call(E240,A240,0.5,B240,D240,C240)</f>
        <v>5.8755556011287497</v>
      </c>
      <c r="K240" cm="1">
        <f t="array" ref="K240">rho_call(E240,A240,0.6,B240,D240,C240)</f>
        <v>8.2510457333700931</v>
      </c>
      <c r="L240" cm="1">
        <f t="array" ref="L240">rho_call(E240,A240,0.7,B240,D240,C240)</f>
        <v>10.810010394461257</v>
      </c>
      <c r="M240" cm="1">
        <f t="array" ref="M240">rho_call(E240,A240,0.8,B240,D240,C240)</f>
        <v>13.510429218050067</v>
      </c>
      <c r="N240" cm="1">
        <f t="array" ref="N240">rho_call(E240,A240,0.9,B240,D240,C240)</f>
        <v>16.322605204399807</v>
      </c>
      <c r="O240" cm="1">
        <f t="array" ref="O240">rho_call(E240,A240,1,B240,D240,C240)</f>
        <v>19.224806199408722</v>
      </c>
      <c r="P240" cm="1">
        <f t="array" ref="P240">rho_call(E240,A240,2,B240,D240,C240)</f>
        <v>50.84600116043957</v>
      </c>
      <c r="Q240" cm="1">
        <f t="array" ref="Q240">rho_call(E240,A240,3,B240,D240,C240)</f>
        <v>84.192775036698535</v>
      </c>
      <c r="R240" cm="1">
        <f t="array" ref="R240">rho_call(E240,A240,4,B240,D240,C240)</f>
        <v>117.72513441976243</v>
      </c>
      <c r="S240" cm="1">
        <f t="array" ref="S240">rho_call(E240,A240,5,B240,D240,C240)</f>
        <v>150.92196539513881</v>
      </c>
    </row>
    <row r="241" spans="1:19" x14ac:dyDescent="0.3">
      <c r="A241">
        <v>100</v>
      </c>
      <c r="B241">
        <f t="shared" si="12"/>
        <v>0.01</v>
      </c>
      <c r="C241">
        <v>0.2</v>
      </c>
      <c r="D241">
        <v>0</v>
      </c>
      <c r="E241" s="5">
        <v>90</v>
      </c>
      <c r="F241" cm="1">
        <f t="array" ref="F241">rho_call(E241,A241,0.1,B241,D241,C241)</f>
        <v>0.46266505291057552</v>
      </c>
      <c r="G241" cm="1">
        <f t="array" ref="G241">rho_call(E241,A241,0.2,B241,D241,C241)</f>
        <v>2.2955278113909654</v>
      </c>
      <c r="H241" cm="1">
        <f t="array" ref="H241">rho_call(E241,A241,0.3,B241,D241,C241)</f>
        <v>4.8240469025865851</v>
      </c>
      <c r="I241" cm="1">
        <f t="array" ref="I241">rho_call(E241,A241,0.4,B241,D241,C241)</f>
        <v>7.7145681524544099</v>
      </c>
      <c r="J241" cm="1">
        <f t="array" ref="J241">rho_call(E241,A241,0.5,B241,D241,C241)</f>
        <v>10.82511559814913</v>
      </c>
      <c r="K241" cm="1">
        <f t="array" ref="K241">rho_call(E241,A241,0.6,B241,D241,C241)</f>
        <v>14.082638092999993</v>
      </c>
      <c r="L241" cm="1">
        <f t="array" ref="L241">rho_call(E241,A241,0.7,B241,D241,C241)</f>
        <v>17.44442247907995</v>
      </c>
      <c r="M241" cm="1">
        <f t="array" ref="M241">rho_call(E241,A241,0.8,B241,D241,C241)</f>
        <v>20.883210534016246</v>
      </c>
      <c r="N241" cm="1">
        <f t="array" ref="N241">rho_call(E241,A241,0.9,B241,D241,C241)</f>
        <v>24.380474754909542</v>
      </c>
      <c r="O241" cm="1">
        <f t="array" ref="O241">rho_call(E241,A241,1,B241,D241,C241)</f>
        <v>27.923010462044491</v>
      </c>
      <c r="P241" cm="1">
        <f t="array" ref="P241">rho_call(E241,A241,2,B241,D241,C241)</f>
        <v>64.458771564347103</v>
      </c>
      <c r="Q241" cm="1">
        <f t="array" ref="Q241">rho_call(E241,A241,3,B241,D241,C241)</f>
        <v>101.3116673800278</v>
      </c>
      <c r="R241" cm="1">
        <f t="array" ref="R241">rho_call(E241,A241,4,B241,D241,C241)</f>
        <v>137.64368253482542</v>
      </c>
      <c r="S241" cm="1">
        <f t="array" ref="S241">rho_call(E241,A241,5,B241,D241,C241)</f>
        <v>173.19351169097621</v>
      </c>
    </row>
    <row r="242" spans="1:19" x14ac:dyDescent="0.3">
      <c r="A242">
        <v>100</v>
      </c>
      <c r="B242">
        <f t="shared" si="12"/>
        <v>0.01</v>
      </c>
      <c r="C242">
        <v>0.2</v>
      </c>
      <c r="D242">
        <v>0</v>
      </c>
      <c r="E242" s="5">
        <v>95</v>
      </c>
      <c r="F242" cm="1">
        <f t="array" ref="F242">rho_call(E242,A242,0.1,B242,D242,C242)</f>
        <v>2.0396276517295933</v>
      </c>
      <c r="G242" cm="1">
        <f t="array" ref="G242">rho_call(E242,A242,0.2,B242,D242,C242)</f>
        <v>5.5018256030450017</v>
      </c>
      <c r="H242" cm="1">
        <f t="array" ref="H242">rho_call(E242,A242,0.3,B242,D242,C242)</f>
        <v>9.2744913252504038</v>
      </c>
      <c r="I242" cm="1">
        <f t="array" ref="I242">rho_call(E242,A242,0.4,B242,D242,C242)</f>
        <v>13.187458778736866</v>
      </c>
      <c r="J242" cm="1">
        <f t="array" ref="J242">rho_call(E242,A242,0.5,B242,D242,C242)</f>
        <v>17.178656648502809</v>
      </c>
      <c r="K242" cm="1">
        <f t="array" ref="K242">rho_call(E242,A242,0.6,B242,D242,C242)</f>
        <v>21.217661617090137</v>
      </c>
      <c r="L242" cm="1">
        <f t="array" ref="L242">rho_call(E242,A242,0.7,B242,D242,C242)</f>
        <v>25.287075576346904</v>
      </c>
      <c r="M242" cm="1">
        <f t="array" ref="M242">rho_call(E242,A242,0.8,B242,D242,C242)</f>
        <v>29.375944234947266</v>
      </c>
      <c r="N242" cm="1">
        <f t="array" ref="N242">rho_call(E242,A242,0.9,B242,D242,C242)</f>
        <v>33.476899762460484</v>
      </c>
      <c r="O242" cm="1">
        <f t="array" ref="O242">rho_call(E242,A242,1,B242,D242,C242)</f>
        <v>37.584742260070186</v>
      </c>
      <c r="P242" cm="1">
        <f t="array" ref="P242">rho_call(E242,A242,2,B242,D242,C242)</f>
        <v>78.513403617493836</v>
      </c>
      <c r="Q242" cm="1">
        <f t="array" ref="Q242">rho_call(E242,A242,3,B242,D242,C242)</f>
        <v>118.55867137549208</v>
      </c>
      <c r="R242" cm="1">
        <f t="array" ref="R242">rho_call(E242,A242,4,B242,D242,C242)</f>
        <v>157.46664906933412</v>
      </c>
      <c r="S242" cm="1">
        <f t="array" ref="S242">rho_call(E242,A242,5,B242,D242,C242)</f>
        <v>195.1955064989242</v>
      </c>
    </row>
    <row r="243" spans="1:19" x14ac:dyDescent="0.3">
      <c r="A243">
        <v>100</v>
      </c>
      <c r="B243">
        <f t="shared" si="12"/>
        <v>0.01</v>
      </c>
      <c r="C243">
        <v>0.2</v>
      </c>
      <c r="D243">
        <v>0</v>
      </c>
      <c r="E243" s="5">
        <v>100</v>
      </c>
      <c r="F243" cm="1">
        <f t="array" ref="F243">rho_call(E243,A243,0.1,B243,D243,C243)</f>
        <v>4.9319898584384116</v>
      </c>
      <c r="G243" cm="1">
        <f t="array" ref="G243">rho_call(E243,A243,0.2,B243,D243,C243)</f>
        <v>9.8019788801767227</v>
      </c>
      <c r="H243" cm="1">
        <f t="array" ref="H243">rho_call(E243,A243,0.3,B243,D243,C243)</f>
        <v>14.628325566737619</v>
      </c>
      <c r="I243" cm="1">
        <f t="array" ref="I243">rho_call(E243,A243,0.4,B243,D243,C243)</f>
        <v>19.417631512966548</v>
      </c>
      <c r="J243" cm="1">
        <f t="array" ref="J243">rho_call(E243,A243,0.5,B243,D243,C243)</f>
        <v>24.173738548666901</v>
      </c>
      <c r="K243" cm="1">
        <f t="array" ref="K243">rho_call(E243,A243,0.6,B243,D243,C243)</f>
        <v>28.899256857821801</v>
      </c>
      <c r="L243" cm="1">
        <f t="array" ref="L243">rho_call(E243,A243,0.7,B243,D243,C243)</f>
        <v>33.596116095735589</v>
      </c>
      <c r="M243" cm="1">
        <f t="array" ref="M243">rho_call(E243,A243,0.8,B243,D243,C243)</f>
        <v>38.265821976803807</v>
      </c>
      <c r="N243" cm="1">
        <f t="array" ref="N243">rho_call(E243,A243,0.9,B243,D243,C243)</f>
        <v>42.909594584950781</v>
      </c>
      <c r="O243" cm="1">
        <f t="array" ref="O243">rho_call(E243,A243,1,B243,D243,C243)</f>
        <v>47.528450546914641</v>
      </c>
      <c r="P243" cm="1">
        <f t="array" ref="P243">rho_call(E243,A243,2,B243,D243,C243)</f>
        <v>92.494293545844172</v>
      </c>
      <c r="Q243" cm="1">
        <f t="array" ref="Q243">rho_call(E243,A243,3,B243,D243,C243)</f>
        <v>135.52089139551933</v>
      </c>
      <c r="R243" cm="1">
        <f t="array" ref="R243">rho_call(E243,A243,4,B243,D243,C243)</f>
        <v>176.85142165444597</v>
      </c>
      <c r="S243" cm="1">
        <f t="array" ref="S243">rho_call(E243,A243,5,B243,D243,C243)</f>
        <v>216.63757703673949</v>
      </c>
    </row>
    <row r="244" spans="1:19" x14ac:dyDescent="0.3">
      <c r="A244">
        <v>100</v>
      </c>
      <c r="B244">
        <f t="shared" si="12"/>
        <v>0.01</v>
      </c>
      <c r="C244">
        <v>0.2</v>
      </c>
      <c r="D244">
        <v>0</v>
      </c>
      <c r="E244" s="5">
        <v>105</v>
      </c>
      <c r="F244" cm="1">
        <f t="array" ref="F244">rho_call(E244,A244,0.1,B244,D244,C244)</f>
        <v>7.7428944428213189</v>
      </c>
      <c r="G244" cm="1">
        <f t="array" ref="G244">rho_call(E244,A244,0.2,B244,D244,C244)</f>
        <v>13.963207315360485</v>
      </c>
      <c r="H244" cm="1">
        <f t="array" ref="H244">rho_call(E244,A244,0.3,B244,D244,C244)</f>
        <v>19.801355879149483</v>
      </c>
      <c r="I244" cm="1">
        <f t="array" ref="I244">rho_call(E244,A244,0.4,B244,D244,C244)</f>
        <v>25.432746553601696</v>
      </c>
      <c r="J244" cm="1">
        <f t="array" ref="J244">rho_call(E244,A244,0.5,B244,D244,C244)</f>
        <v>30.924184743469105</v>
      </c>
      <c r="K244" cm="1">
        <f t="array" ref="K244">rho_call(E244,A244,0.6,B244,D244,C244)</f>
        <v>36.309866980005239</v>
      </c>
      <c r="L244" cm="1">
        <f t="array" ref="L244">rho_call(E244,A244,0.7,B244,D244,C244)</f>
        <v>41.610220083116076</v>
      </c>
      <c r="M244" cm="1">
        <f t="array" ref="M244">rho_call(E244,A244,0.8,B244,D244,C244)</f>
        <v>46.838682825452466</v>
      </c>
      <c r="N244" cm="1">
        <f t="array" ref="N244">rho_call(E244,A244,0.9,B244,D244,C244)</f>
        <v>52.004704799454153</v>
      </c>
      <c r="O244" cm="1">
        <f t="array" ref="O244">rho_call(E244,A244,1,B244,D244,C244)</f>
        <v>57.1152625744216</v>
      </c>
      <c r="P244" cm="1">
        <f t="array" ref="P244">rho_call(E244,A244,2,B244,D244,C244)</f>
        <v>105.96687970369521</v>
      </c>
      <c r="Q244" cm="1">
        <f t="array" ref="Q244">rho_call(E244,A244,3,B244,D244,C244)</f>
        <v>151.86376940705389</v>
      </c>
      <c r="R244" cm="1">
        <f t="array" ref="R244">rho_call(E244,A244,4,B244,D244,C244)</f>
        <v>195.52688246325391</v>
      </c>
      <c r="S244" cm="1">
        <f t="array" ref="S244">rho_call(E244,A244,5,B244,D244,C244)</f>
        <v>237.29405021947213</v>
      </c>
    </row>
    <row r="245" spans="1:19" x14ac:dyDescent="0.3">
      <c r="A245">
        <v>100</v>
      </c>
      <c r="B245">
        <f t="shared" si="12"/>
        <v>0.01</v>
      </c>
      <c r="C245">
        <v>0.2</v>
      </c>
      <c r="D245">
        <v>0</v>
      </c>
      <c r="E245" s="5">
        <v>110</v>
      </c>
      <c r="F245" cm="1">
        <f t="array" ref="F245">rho_call(E245,A245,0.1,B245,D245,C245)</f>
        <v>9.3111062933054907</v>
      </c>
      <c r="G245" cm="1">
        <f t="array" ref="G245">rho_call(E245,A245,0.2,B245,D245,C245)</f>
        <v>16.997597069863819</v>
      </c>
      <c r="H245" cm="1">
        <f t="array" ref="H245">rho_call(E245,A245,0.3,B245,D245,C245)</f>
        <v>23.936909463006028</v>
      </c>
      <c r="I245" cm="1">
        <f t="array" ref="I245">rho_call(E245,A245,0.4,B245,D245,C245)</f>
        <v>30.470390561626747</v>
      </c>
      <c r="J245" cm="1">
        <f t="array" ref="J245">rho_call(E245,A245,0.5,B245,D245,C245)</f>
        <v>36.738595144398111</v>
      </c>
      <c r="K245" cm="1">
        <f t="array" ref="K245">rho_call(E245,A245,0.6,B245,D245,C245)</f>
        <v>42.813919395874585</v>
      </c>
      <c r="L245" cm="1">
        <f t="array" ref="L245">rho_call(E245,A245,0.7,B245,D245,C245)</f>
        <v>48.739182226438395</v>
      </c>
      <c r="M245" cm="1">
        <f t="array" ref="M245">rho_call(E245,A245,0.8,B245,D245,C245)</f>
        <v>54.542150099630135</v>
      </c>
      <c r="N245" cm="1">
        <f t="array" ref="N245">rho_call(E245,A245,0.9,B245,D245,C245)</f>
        <v>60.242046033683735</v>
      </c>
      <c r="O245" cm="1">
        <f t="array" ref="O245">rho_call(E245,A245,1,B245,D245,C245)</f>
        <v>65.852844532273394</v>
      </c>
      <c r="P245" cm="1">
        <f t="array" ref="P245">rho_call(E245,A245,2,B245,D245,C245)</f>
        <v>118.60034685036835</v>
      </c>
      <c r="Q245" cm="1">
        <f t="array" ref="Q245">rho_call(E245,A245,3,B245,D245,C245)</f>
        <v>167.33520389609637</v>
      </c>
      <c r="R245" cm="1">
        <f t="array" ref="R245">rho_call(E245,A245,4,B245,D245,C245)</f>
        <v>213.29088821197067</v>
      </c>
      <c r="S245" cm="1">
        <f t="array" ref="S245">rho_call(E245,A245,5,B245,D245,C245)</f>
        <v>256.9986224415502</v>
      </c>
    </row>
    <row r="246" spans="1:19" x14ac:dyDescent="0.3">
      <c r="A246">
        <v>100</v>
      </c>
      <c r="B246">
        <f t="shared" si="12"/>
        <v>0.01</v>
      </c>
      <c r="C246">
        <v>0.2</v>
      </c>
      <c r="D246">
        <v>0</v>
      </c>
      <c r="E246" s="5">
        <v>115</v>
      </c>
      <c r="F246" cm="1">
        <f t="array" ref="F246">rho_call(E246,A246,0.1,B246,D246,C246)</f>
        <v>9.8489758625579285</v>
      </c>
      <c r="G246" cm="1">
        <f t="array" ref="G246">rho_call(E246,A246,0.2,B246,D246,C246)</f>
        <v>18.727453260072849</v>
      </c>
      <c r="H246" cm="1">
        <f t="array" ref="H246">rho_call(E246,A246,0.3,B246,D246,C246)</f>
        <v>26.741714753531923</v>
      </c>
      <c r="I246" cm="1">
        <f t="array" ref="I246">rho_call(E246,A246,0.4,B246,D246,C246)</f>
        <v>34.200126589648207</v>
      </c>
      <c r="J246" cm="1">
        <f t="array" ref="J246">rho_call(E246,A246,0.5,B246,D246,C246)</f>
        <v>41.277215823472964</v>
      </c>
      <c r="K246" cm="1">
        <f t="array" ref="K246">rho_call(E246,A246,0.6,B246,D246,C246)</f>
        <v>48.073652121744175</v>
      </c>
      <c r="L246" cm="1">
        <f t="array" ref="L246">rho_call(E246,A246,0.7,B246,D246,C246)</f>
        <v>54.652113577166304</v>
      </c>
      <c r="M246" cm="1">
        <f t="array" ref="M246">rho_call(E246,A246,0.8,B246,D246,C246)</f>
        <v>61.054291488019338</v>
      </c>
      <c r="N246" cm="1">
        <f t="array" ref="N246">rho_call(E246,A246,0.9,B246,D246,C246)</f>
        <v>67.309416261096175</v>
      </c>
      <c r="O246" cm="1">
        <f t="array" ref="O246">rho_call(E246,A246,1,B246,D246,C246)</f>
        <v>73.43885824101524</v>
      </c>
      <c r="P246" cm="1">
        <f t="array" ref="P246">rho_call(E246,A246,2,B246,D246,C246)</f>
        <v>130.1716483822899</v>
      </c>
      <c r="Q246" cm="1">
        <f t="array" ref="Q246">rho_call(E246,A246,3,B246,D246,C246)</f>
        <v>181.76154213669028</v>
      </c>
      <c r="R246" cm="1">
        <f t="array" ref="R246">rho_call(E246,A246,4,B246,D246,C246)</f>
        <v>230.00383938445142</v>
      </c>
      <c r="S246" cm="1">
        <f t="array" ref="S246">rho_call(E246,A246,5,B246,D246,C246)</f>
        <v>275.63718801831254</v>
      </c>
    </row>
    <row r="247" spans="1:19" x14ac:dyDescent="0.3">
      <c r="A247">
        <v>100</v>
      </c>
      <c r="B247">
        <f t="shared" si="12"/>
        <v>0.01</v>
      </c>
      <c r="C247">
        <v>0.2</v>
      </c>
      <c r="D247">
        <v>0</v>
      </c>
      <c r="E247" s="5">
        <v>120</v>
      </c>
      <c r="F247" cm="1">
        <f t="array" ref="F247">rho_call(E247,A247,0.1,B247,D247,C247)</f>
        <v>9.9693029945287854</v>
      </c>
      <c r="G247" cm="1">
        <f t="array" ref="G247">rho_call(E247,A247,0.2,B247,D247,C247)</f>
        <v>19.522974084010123</v>
      </c>
      <c r="H247" cm="1">
        <f t="array" ref="H247">rho_call(E247,A247,0.3,B247,D247,C247)</f>
        <v>28.39016422301777</v>
      </c>
      <c r="I247" cm="1">
        <f t="array" ref="I247">rho_call(E247,A247,0.4,B247,D247,C247)</f>
        <v>36.680746478076991</v>
      </c>
      <c r="J247" cm="1">
        <f t="array" ref="J247">rho_call(E247,A247,0.5,B247,D247,C247)</f>
        <v>44.52940714583994</v>
      </c>
      <c r="K247" cm="1">
        <f t="array" ref="K247">rho_call(E247,A247,0.6,B247,D247,C247)</f>
        <v>52.035124616342841</v>
      </c>
      <c r="L247" cm="1">
        <f t="array" ref="L247">rho_call(E247,A247,0.7,B247,D247,C247)</f>
        <v>59.267237553388959</v>
      </c>
      <c r="M247" cm="1">
        <f t="array" ref="M247">rho_call(E247,A247,0.8,B247,D247,C247)</f>
        <v>66.275083755870497</v>
      </c>
      <c r="N247" cm="1">
        <f t="array" ref="N247">rho_call(E247,A247,0.9,B247,D247,C247)</f>
        <v>73.094735333031409</v>
      </c>
      <c r="O247" cm="1">
        <f t="array" ref="O247">rho_call(E247,A247,1,B247,D247,C247)</f>
        <v>79.753296736124057</v>
      </c>
      <c r="P247" cm="1">
        <f t="array" ref="P247">rho_call(E247,A247,2,B247,D247,C247)</f>
        <v>140.55657274099252</v>
      </c>
      <c r="Q247" cm="1">
        <f t="array" ref="Q247">rho_call(E247,A247,3,B247,D247,C247)</f>
        <v>195.03860096125629</v>
      </c>
      <c r="R247" cm="1">
        <f t="array" ref="R247">rho_call(E247,A247,4,B247,D247,C247)</f>
        <v>245.58019526519712</v>
      </c>
      <c r="S247" cm="1">
        <f t="array" ref="S247">rho_call(E247,A247,5,B247,D247,C247)</f>
        <v>293.13996071778939</v>
      </c>
    </row>
    <row r="248" spans="1:19" x14ac:dyDescent="0.3">
      <c r="A248">
        <v>100</v>
      </c>
      <c r="B248">
        <f t="shared" si="12"/>
        <v>0.01</v>
      </c>
      <c r="C248">
        <v>0.2</v>
      </c>
      <c r="D248">
        <v>0</v>
      </c>
      <c r="E248" s="5">
        <v>125</v>
      </c>
      <c r="F248" cm="1">
        <f t="array" ref="F248">rho_call(E248,A248,0.1,B248,D248,C248)</f>
        <v>9.9877868050641503</v>
      </c>
      <c r="G248" cm="1">
        <f t="array" ref="G248">rho_call(E248,A248,0.2,B248,D248,C248)</f>
        <v>19.826121374631196</v>
      </c>
      <c r="H248" cm="1">
        <f t="array" ref="H248">rho_call(E248,A248,0.3,B248,D248,C248)</f>
        <v>29.245072006046918</v>
      </c>
      <c r="I248" cm="1">
        <f t="array" ref="I248">rho_call(E248,A248,0.4,B248,D248,C248)</f>
        <v>38.183205335550987</v>
      </c>
      <c r="J248" cm="1">
        <f t="array" ref="J248">rho_call(E248,A248,0.5,B248,D248,C248)</f>
        <v>46.692198548977835</v>
      </c>
      <c r="K248" cm="1">
        <f t="array" ref="K248">rho_call(E248,A248,0.6,B248,D248,C248)</f>
        <v>54.839430840815325</v>
      </c>
      <c r="L248" cm="1">
        <f t="array" ref="L248">rho_call(E248,A248,0.7,B248,D248,C248)</f>
        <v>62.68359645053561</v>
      </c>
      <c r="M248" cm="1">
        <f t="array" ref="M248">rho_call(E248,A248,0.8,B248,D248,C248)</f>
        <v>70.271704194040638</v>
      </c>
      <c r="N248" cm="1">
        <f t="array" ref="N248">rho_call(E248,A248,0.9,B248,D248,C248)</f>
        <v>77.640758146235598</v>
      </c>
      <c r="O248" cm="1">
        <f t="array" ref="O248">rho_call(E248,A248,1,B248,D248,C248)</f>
        <v>84.819982584634872</v>
      </c>
      <c r="P248" cm="1">
        <f t="array" ref="P248">rho_call(E248,A248,2,B248,D248,C248)</f>
        <v>149.71347861958171</v>
      </c>
      <c r="Q248" cm="1">
        <f t="array" ref="Q248">rho_call(E248,A248,3,B248,D248,C248)</f>
        <v>207.12025200276011</v>
      </c>
      <c r="R248" cm="1">
        <f t="array" ref="R248">rho_call(E248,A248,4,B248,D248,C248)</f>
        <v>259.97927799092872</v>
      </c>
      <c r="S248" cm="1">
        <f t="array" ref="S248">rho_call(E248,A248,5,B248,D248,C248)</f>
        <v>309.47364560622196</v>
      </c>
    </row>
    <row r="249" spans="1:19" x14ac:dyDescent="0.3">
      <c r="A249">
        <v>100</v>
      </c>
      <c r="B249">
        <f t="shared" si="12"/>
        <v>0.01</v>
      </c>
      <c r="C249">
        <v>0.2</v>
      </c>
      <c r="D249">
        <v>0</v>
      </c>
      <c r="E249" s="5">
        <v>130</v>
      </c>
      <c r="F249" cm="1">
        <f t="array" ref="F249">rho_call(E249,A249,0.1,B249,D249,C249)</f>
        <v>9.989825783141761</v>
      </c>
      <c r="G249" cm="1">
        <f t="array" ref="G249">rho_call(E249,A249,0.2,B249,D249,C249)</f>
        <v>19.924080062887658</v>
      </c>
      <c r="H249" cm="1">
        <f t="array" ref="H249">rho_call(E249,A249,0.3,B249,D249,C249)</f>
        <v>29.642425234579132</v>
      </c>
      <c r="I249" cm="1">
        <f t="array" ref="I249">rho_call(E249,A249,0.4,B249,D249,C249)</f>
        <v>39.021658405667154</v>
      </c>
      <c r="J249" cm="1">
        <f t="array" ref="J249">rho_call(E249,A249,0.5,B249,D249,C249)</f>
        <v>48.039616695751533</v>
      </c>
      <c r="K249" cm="1">
        <f t="array" ref="K249">rho_call(E249,A249,0.6,B249,D249,C249)</f>
        <v>56.719853041525752</v>
      </c>
      <c r="L249" cm="1">
        <f t="array" ref="L249">rho_call(E249,A249,0.7,B249,D249,C249)</f>
        <v>65.098182663181063</v>
      </c>
      <c r="M249" cm="1">
        <f t="array" ref="M249">rho_call(E249,A249,0.8,B249,D249,C249)</f>
        <v>73.210216289147127</v>
      </c>
      <c r="N249" cm="1">
        <f t="array" ref="N249">rho_call(E249,A249,0.9,B249,D249,C249)</f>
        <v>81.087590504535044</v>
      </c>
      <c r="O249" cm="1">
        <f t="array" ref="O249">rho_call(E249,A249,1,B249,D249,C249)</f>
        <v>88.757319713568378</v>
      </c>
      <c r="P249" cm="1">
        <f t="array" ref="P249">rho_call(E249,A249,2,B249,D249,C249)</f>
        <v>157.6642413734192</v>
      </c>
      <c r="Q249" cm="1">
        <f t="array" ref="Q249">rho_call(E249,A249,3,B249,D249,C249)</f>
        <v>218.00640774968917</v>
      </c>
      <c r="R249" cm="1">
        <f t="array" ref="R249">rho_call(E249,A249,4,B249,D249,C249)</f>
        <v>273.19626305478522</v>
      </c>
      <c r="S249" cm="1">
        <f t="array" ref="S249">rho_call(E249,A249,5,B249,D249,C249)</f>
        <v>324.63412741759055</v>
      </c>
    </row>
    <row r="250" spans="1:19" x14ac:dyDescent="0.3">
      <c r="A250">
        <v>100</v>
      </c>
      <c r="B250">
        <f t="shared" si="12"/>
        <v>0.01</v>
      </c>
      <c r="C250">
        <v>0.2</v>
      </c>
      <c r="D250">
        <v>0</v>
      </c>
      <c r="E250" s="5">
        <v>135</v>
      </c>
      <c r="F250" cm="1">
        <f t="array" ref="F250">rho_call(E250,A250,0.1,B250,D250,C250)</f>
        <v>9.9899937425487071</v>
      </c>
      <c r="G250" cm="1">
        <f t="array" ref="G250">rho_call(E250,A250,0.2,B250,D250,C250)</f>
        <v>19.95146289139338</v>
      </c>
      <c r="H250" cm="1">
        <f t="array" ref="H250">rho_call(E250,A250,0.3,B250,D250,C250)</f>
        <v>29.81017221563636</v>
      </c>
      <c r="I250" cm="1">
        <f t="array" ref="I250">rho_call(E250,A250,0.4,B250,D250,C250)</f>
        <v>39.457121776080648</v>
      </c>
      <c r="J250" cm="1">
        <f t="array" ref="J250">rho_call(E250,A250,0.5,B250,D250,C250)</f>
        <v>48.832355634235022</v>
      </c>
      <c r="K250" cm="1">
        <f t="array" ref="K250">rho_call(E250,A250,0.6,B250,D250,C250)</f>
        <v>57.922265459566475</v>
      </c>
      <c r="L250" cm="1">
        <f t="array" ref="L250">rho_call(E250,A250,0.7,B250,D250,C250)</f>
        <v>66.73692184392155</v>
      </c>
      <c r="M250" cm="1">
        <f t="array" ref="M250">rho_call(E250,A250,0.8,B250,D250,C250)</f>
        <v>75.2957374231259</v>
      </c>
      <c r="N250" cm="1">
        <f t="array" ref="N250">rho_call(E250,A250,0.9,B250,D250,C250)</f>
        <v>83.62051674627169</v>
      </c>
      <c r="O250" cm="1">
        <f t="array" ref="O250">rho_call(E250,A250,1,B250,D250,C250)</f>
        <v>91.732436651684779</v>
      </c>
      <c r="P250" cm="1">
        <f t="array" ref="P250">rho_call(E250,A250,2,B250,D250,C250)</f>
        <v>164.47556479755494</v>
      </c>
      <c r="Q250" cm="1">
        <f t="array" ref="Q250">rho_call(E250,A250,3,B250,D250,C250)</f>
        <v>227.73160793645627</v>
      </c>
      <c r="R250" cm="1">
        <f t="array" ref="R250">rho_call(E250,A250,4,B250,D250,C250)</f>
        <v>285.25390074635311</v>
      </c>
      <c r="S250" cm="1">
        <f t="array" ref="S250">rho_call(E250,A250,5,B250,D250,C250)</f>
        <v>338.63992954318462</v>
      </c>
    </row>
    <row r="251" spans="1:19" x14ac:dyDescent="0.3">
      <c r="A251">
        <v>100</v>
      </c>
      <c r="B251">
        <f t="shared" si="12"/>
        <v>0.01</v>
      </c>
      <c r="C251">
        <v>0.2</v>
      </c>
      <c r="D251">
        <v>0</v>
      </c>
      <c r="E251" s="5">
        <v>140</v>
      </c>
      <c r="F251" cm="1">
        <f t="array" ref="F251">rho_call(E251,A251,0.1,B251,D251,C251)</f>
        <v>9.9900044333117659</v>
      </c>
      <c r="G251" cm="1">
        <f t="array" ref="G251">rho_call(E251,A251,0.2,B251,D251,C251)</f>
        <v>19.958199888181856</v>
      </c>
      <c r="H251" cm="1">
        <f t="array" ref="H251">rho_call(E251,A251,0.3,B251,D251,C251)</f>
        <v>29.875241343482667</v>
      </c>
      <c r="I251" cm="1">
        <f t="array" ref="I251">rho_call(E251,A251,0.4,B251,D251,C251)</f>
        <v>39.669441320637574</v>
      </c>
      <c r="J251" cm="1">
        <f t="array" ref="J251">rho_call(E251,A251,0.5,B251,D251,C251)</f>
        <v>49.275873716227721</v>
      </c>
      <c r="K251" cm="1">
        <f t="array" ref="K251">rho_call(E251,A251,0.6,B251,D251,C251)</f>
        <v>58.659707295076835</v>
      </c>
      <c r="L251" cm="1">
        <f t="array" ref="L251">rho_call(E251,A251,0.7,B251,D251,C251)</f>
        <v>67.810197543662682</v>
      </c>
      <c r="M251" cm="1">
        <f t="array" ref="M251">rho_call(E251,A251,0.8,B251,D251,C251)</f>
        <v>76.730661853179058</v>
      </c>
      <c r="N251" cm="1">
        <f t="array" ref="N251">rho_call(E251,A251,0.9,B251,D251,C251)</f>
        <v>85.431448147951741</v>
      </c>
      <c r="O251" cm="1">
        <f t="array" ref="O251">rho_call(E251,A251,1,B251,D251,C251)</f>
        <v>93.925858365570519</v>
      </c>
      <c r="P251" cm="1">
        <f t="array" ref="P251">rho_call(E251,A251,2,B251,D251,C251)</f>
        <v>170.24252108865093</v>
      </c>
      <c r="Q251" cm="1">
        <f t="array" ref="Q251">rho_call(E251,A251,3,B251,D251,C251)</f>
        <v>236.35489328260059</v>
      </c>
      <c r="R251" cm="1">
        <f t="array" ref="R251">rho_call(E251,A251,4,B251,D251,C251)</f>
        <v>296.19525249901477</v>
      </c>
      <c r="S251" cm="1">
        <f t="array" ref="S251">rho_call(E251,A251,5,B251,D251,C251)</f>
        <v>351.52655093388364</v>
      </c>
    </row>
    <row r="253" spans="1:19" x14ac:dyDescent="0.3">
      <c r="A253" t="s">
        <v>13</v>
      </c>
      <c r="B253" t="s">
        <v>14</v>
      </c>
      <c r="C253" t="s">
        <v>15</v>
      </c>
      <c r="D253" t="s">
        <v>26</v>
      </c>
      <c r="F253" s="7">
        <v>0.1</v>
      </c>
      <c r="G253" s="7">
        <v>0.2</v>
      </c>
      <c r="H253" s="7">
        <v>0.3</v>
      </c>
      <c r="I253" s="7">
        <v>0.4</v>
      </c>
      <c r="J253" s="7">
        <v>0.5</v>
      </c>
      <c r="K253" s="7">
        <v>0.6</v>
      </c>
      <c r="L253" s="7">
        <v>0.7</v>
      </c>
      <c r="M253" s="7">
        <v>0.8</v>
      </c>
      <c r="N253" s="7">
        <v>0.9</v>
      </c>
      <c r="O253" s="7">
        <v>1</v>
      </c>
      <c r="P253" s="7">
        <v>2</v>
      </c>
      <c r="Q253" s="7">
        <v>3</v>
      </c>
      <c r="R253" s="7">
        <v>4</v>
      </c>
      <c r="S253" s="7">
        <v>5</v>
      </c>
    </row>
    <row r="254" spans="1:19" x14ac:dyDescent="0.3">
      <c r="A254">
        <v>100</v>
      </c>
      <c r="B254">
        <f>1/100</f>
        <v>0.01</v>
      </c>
      <c r="C254">
        <v>0.05</v>
      </c>
      <c r="D254">
        <v>0</v>
      </c>
      <c r="E254" s="5">
        <v>60</v>
      </c>
      <c r="F254" cm="1">
        <f t="array" ref="F254">rho_call(E254,A254,0.1,B254,D254,C254)</f>
        <v>1.641553105978537E-227</v>
      </c>
      <c r="G254" cm="1">
        <f t="array" ref="G254">rho_call(E254,A254,0.2,B254,D254,C254)</f>
        <v>9.8187222103124457E-114</v>
      </c>
      <c r="H254" cm="1">
        <f t="array" ref="H254">rho_call(E254,A254,0.3,B254,D254,C254)</f>
        <v>1.0734044095925279E-75</v>
      </c>
      <c r="I254" cm="1">
        <f t="array" ref="I254">rho_call(E254,A254,0.4,B254,D254,C254)</f>
        <v>1.2737154348439875E-56</v>
      </c>
      <c r="J254" cm="1">
        <f t="array" ref="J254">rho_call(E254,A254,0.5,B254,D254,C254)</f>
        <v>3.8218212172732768E-45</v>
      </c>
      <c r="K254" cm="1">
        <f t="array" ref="K254">rho_call(E254,A254,0.6,B254,D254,C254)</f>
        <v>1.8002854398516442E-37</v>
      </c>
      <c r="L254" cm="1">
        <f t="array" ref="L254">rho_call(E254,A254,0.7,B254,D254,C254)</f>
        <v>5.6424810108498467E-32</v>
      </c>
      <c r="M254" cm="1">
        <f t="array" ref="M254">rho_call(E254,A254,0.8,B254,D254,C254)</f>
        <v>7.6744561436066302E-28</v>
      </c>
      <c r="N254" cm="1">
        <f t="array" ref="N254">rho_call(E254,A254,0.9,B254,D254,C254)</f>
        <v>1.2851489079788704E-24</v>
      </c>
      <c r="O254" cm="1">
        <f t="array" ref="O254">rho_call(E254,A254,1,B254,D254,C254)</f>
        <v>4.9565340175784387E-22</v>
      </c>
      <c r="P254" cm="1">
        <f t="array" ref="P254">rho_call(E254,A254,2,B254,D254,C254)</f>
        <v>2.9625681881726952E-10</v>
      </c>
      <c r="Q254" cm="1">
        <f t="array" ref="Q254">rho_call(E254,A254,3,B254,D254,C254)</f>
        <v>3.2041744077805241E-6</v>
      </c>
      <c r="R254" cm="1">
        <f t="array" ref="R254">rho_call(E254,A254,4,B254,D254,C254)</f>
        <v>3.7523154783471798E-4</v>
      </c>
      <c r="S254" cm="1">
        <f t="array" ref="S254">rho_call(E254,A254,5,B254,D254,C254)</f>
        <v>7.0042501896429724E-3</v>
      </c>
    </row>
    <row r="255" spans="1:19" x14ac:dyDescent="0.3">
      <c r="A255">
        <v>100</v>
      </c>
      <c r="B255">
        <f t="shared" ref="B255:B270" si="13">1/100</f>
        <v>0.01</v>
      </c>
      <c r="C255">
        <v>0.05</v>
      </c>
      <c r="D255">
        <v>0</v>
      </c>
      <c r="E255" s="5">
        <v>65</v>
      </c>
      <c r="F255" cm="1">
        <f t="array" ref="F255">rho_call(E255,A255,0.1,B255,D255,C255)</f>
        <v>4.2870990463147753E-162</v>
      </c>
      <c r="G255" cm="1">
        <f t="array" ref="G255">rho_call(E255,A255,0.2,B255,D255,C255)</f>
        <v>4.749386362570978E-81</v>
      </c>
      <c r="H255" cm="1">
        <f t="array" ref="H255">rho_call(E255,A255,0.3,B255,D255,C255)</f>
        <v>6.376041443341769E-54</v>
      </c>
      <c r="I255" cm="1">
        <f t="array" ref="I255">rho_call(E255,A255,0.4,B255,D255,C255)</f>
        <v>2.651237331352813E-40</v>
      </c>
      <c r="J255" cm="1">
        <f t="array" ref="J255">rho_call(E255,A255,0.5,B255,D255,C255)</f>
        <v>4.2402219182879647E-32</v>
      </c>
      <c r="K255" cm="1">
        <f t="array" ref="K255">rho_call(E255,A255,0.6,B255,D255,C255)</f>
        <v>1.3130420996139901E-26</v>
      </c>
      <c r="L255" cm="1">
        <f t="array" ref="L255">rho_call(E255,A255,0.7,B255,D255,C255)</f>
        <v>1.1368397402833347E-22</v>
      </c>
      <c r="M255" cm="1">
        <f t="array" ref="M255">rho_call(E255,A255,0.8,B255,D255,C255)</f>
        <v>1.0477056316338999E-19</v>
      </c>
      <c r="N255" cm="1">
        <f t="array" ref="N255">rho_call(E255,A255,0.9,B255,D255,C255)</f>
        <v>2.1621620814411144E-17</v>
      </c>
      <c r="O255" cm="1">
        <f t="array" ref="O255">rho_call(E255,A255,1,B255,D255,C255)</f>
        <v>1.5620774385176444E-15</v>
      </c>
      <c r="P255" cm="1">
        <f t="array" ref="P255">rho_call(E255,A255,2,B255,D255,C255)</f>
        <v>4.9742406600242002E-7</v>
      </c>
      <c r="Q255" cm="1">
        <f t="array" ref="Q255">rho_call(E255,A255,3,B255,D255,C255)</f>
        <v>4.3601226285741351E-4</v>
      </c>
      <c r="R255" cm="1">
        <f t="array" ref="R255">rho_call(E255,A255,4,B255,D255,C255)</f>
        <v>1.4533673597427381E-2</v>
      </c>
      <c r="S255" cm="1">
        <f t="array" ref="S255">rho_call(E255,A255,5,B255,D255,C255)</f>
        <v>0.12763596624669782</v>
      </c>
    </row>
    <row r="256" spans="1:19" x14ac:dyDescent="0.3">
      <c r="A256">
        <v>100</v>
      </c>
      <c r="B256">
        <f t="shared" si="13"/>
        <v>0.01</v>
      </c>
      <c r="C256">
        <v>0.05</v>
      </c>
      <c r="D256">
        <v>0</v>
      </c>
      <c r="E256" s="5">
        <v>70</v>
      </c>
      <c r="F256" cm="1">
        <f t="array" ref="F256">rho_call(E256,A256,0.1,B256,D256,C256)</f>
        <v>1.9479710477541845E-111</v>
      </c>
      <c r="G256" cm="1">
        <f t="array" ref="G256">rho_call(E256,A256,0.2,B256,D256,C256)</f>
        <v>9.7699399138549059E-56</v>
      </c>
      <c r="H256" cm="1">
        <f t="array" ref="H256">rho_call(E256,A256,0.3,B256,D256,C256)</f>
        <v>4.6740899589510587E-37</v>
      </c>
      <c r="I256" cm="1">
        <f t="array" ref="I256">rho_call(E256,A256,0.4,B256,D256,C256)</f>
        <v>1.1601154770210566E-27</v>
      </c>
      <c r="J256" cm="1">
        <f t="array" ref="J256">rho_call(E256,A256,0.5,B256,D256,C256)</f>
        <v>5.4194445715484974E-22</v>
      </c>
      <c r="K256" cm="1">
        <f t="array" ref="K256">rho_call(E256,A256,0.6,B256,D256,C256)</f>
        <v>3.4289609961322741E-18</v>
      </c>
      <c r="L256" cm="1">
        <f t="array" ref="L256">rho_call(E256,A256,0.7,B256,D256,C256)</f>
        <v>1.8435147293688629E-15</v>
      </c>
      <c r="M256" cm="1">
        <f t="array" ref="M256">rho_call(E256,A256,0.8,B256,D256,C256)</f>
        <v>2.1133269277831091E-13</v>
      </c>
      <c r="N256" cm="1">
        <f t="array" ref="N256">rho_call(E256,A256,0.9,B256,D256,C256)</f>
        <v>8.6206592479276146E-12</v>
      </c>
      <c r="O256" cm="1">
        <f t="array" ref="O256">rho_call(E256,A256,1,B256,D256,C256)</f>
        <v>1.7024772121921013E-10</v>
      </c>
      <c r="P256" cm="1">
        <f t="array" ref="P256">rho_call(E256,A256,2,B256,D256,C256)</f>
        <v>1.5814002213361178E-4</v>
      </c>
      <c r="Q256" cm="1">
        <f t="array" ref="Q256">rho_call(E256,A256,3,B256,D256,C256)</f>
        <v>1.9790140158374096E-2</v>
      </c>
      <c r="R256" cm="1">
        <f t="array" ref="R256">rho_call(E256,A256,4,B256,D256,C256)</f>
        <v>0.24913611060470042</v>
      </c>
      <c r="S256" cm="1">
        <f t="array" ref="S256">rho_call(E256,A256,5,B256,D256,C256)</f>
        <v>1.2194588133343358</v>
      </c>
    </row>
    <row r="257" spans="1:19" x14ac:dyDescent="0.3">
      <c r="A257">
        <v>100</v>
      </c>
      <c r="B257">
        <f t="shared" si="13"/>
        <v>0.01</v>
      </c>
      <c r="C257">
        <v>0.05</v>
      </c>
      <c r="D257">
        <v>0</v>
      </c>
      <c r="E257" s="5">
        <v>75</v>
      </c>
      <c r="F257" cm="1">
        <f t="array" ref="F257">rho_call(E257,A257,0.1,B257,D257,C257)</f>
        <v>7.7964536356685973E-73</v>
      </c>
      <c r="G257" cm="1">
        <f t="array" ref="G257">rho_call(E257,A257,0.2,B257,D257,C257)</f>
        <v>1.9275156264027636E-36</v>
      </c>
      <c r="H257" cm="1">
        <f t="array" ref="H257">rho_call(E257,A257,0.3,B257,D257,C257)</f>
        <v>3.38019203838595E-24</v>
      </c>
      <c r="I257" cm="1">
        <f t="array" ref="I257">rho_call(E257,A257,0.4,B257,D257,C257)</f>
        <v>5.0783645010191762E-18</v>
      </c>
      <c r="J257" cm="1">
        <f t="array" ref="J257">rho_call(E257,A257,0.5,B257,D257,C257)</f>
        <v>2.7815974982913545E-14</v>
      </c>
      <c r="K257" cm="1">
        <f t="array" ref="K257">rho_call(E257,A257,0.6,B257,D257,C257)</f>
        <v>9.0821805958350692E-12</v>
      </c>
      <c r="L257" cm="1">
        <f t="array" ref="L257">rho_call(E257,A257,0.7,B257,D257,C257)</f>
        <v>5.8765014628742159E-10</v>
      </c>
      <c r="M257" cm="1">
        <f t="array" ref="M257">rho_call(E257,A257,0.8,B257,D257,C257)</f>
        <v>1.3763622037866506E-8</v>
      </c>
      <c r="N257" cm="1">
        <f t="array" ref="N257">rho_call(E257,A257,0.9,B257,D257,C257)</f>
        <v>1.6324287130996327E-7</v>
      </c>
      <c r="O257" cm="1">
        <f t="array" ref="O257">rho_call(E257,A257,1,B257,D257,C257)</f>
        <v>1.1999617605265421E-6</v>
      </c>
      <c r="P257" cm="1">
        <f t="array" ref="P257">rho_call(E257,A257,2,B257,D257,C257)</f>
        <v>1.3030544475483807E-2</v>
      </c>
      <c r="Q257" cm="1">
        <f t="array" ref="Q257">rho_call(E257,A257,3,B257,D257,C257)</f>
        <v>0.36946835976141862</v>
      </c>
      <c r="R257" cm="1">
        <f t="array" ref="R257">rho_call(E257,A257,4,B257,D257,C257)</f>
        <v>2.2117419063969725</v>
      </c>
      <c r="S257" cm="1">
        <f t="array" ref="S257">rho_call(E257,A257,5,B257,D257,C257)</f>
        <v>6.9260635640923374</v>
      </c>
    </row>
    <row r="258" spans="1:19" x14ac:dyDescent="0.3">
      <c r="A258">
        <v>100</v>
      </c>
      <c r="B258">
        <f t="shared" si="13"/>
        <v>0.01</v>
      </c>
      <c r="C258">
        <v>0.05</v>
      </c>
      <c r="D258">
        <v>0</v>
      </c>
      <c r="E258" s="5">
        <v>80</v>
      </c>
      <c r="F258" cm="1">
        <f t="array" ref="F258">rho_call(E258,A258,0.1,B258,D258,C258)</f>
        <v>3.4612128025015702E-44</v>
      </c>
      <c r="G258" cm="1">
        <f t="array" ref="G258">rho_call(E258,A258,0.2,B258,D258,C258)</f>
        <v>4.1122501988925371E-22</v>
      </c>
      <c r="H258" cm="1">
        <f t="array" ref="H258">rho_call(E258,A258,0.3,B258,D258,C258)</f>
        <v>1.216139323962606E-14</v>
      </c>
      <c r="I258" cm="1">
        <f t="array" ref="I258">rho_call(E258,A258,0.4,B258,D258,C258)</f>
        <v>7.4996289002319333E-11</v>
      </c>
      <c r="J258" cm="1">
        <f t="array" ref="J258">rho_call(E258,A258,0.5,B258,D258,C258)</f>
        <v>1.5185100802461255E-8</v>
      </c>
      <c r="K258" cm="1">
        <f t="array" ref="K258">rho_call(E258,A258,0.6,B258,D258,C258)</f>
        <v>5.5003958274819494E-7</v>
      </c>
      <c r="L258" cm="1">
        <f t="array" ref="L258">rho_call(E258,A258,0.7,B258,D258,C258)</f>
        <v>7.3983574723071071E-6</v>
      </c>
      <c r="M258" cm="1">
        <f t="array" ref="M258">rho_call(E258,A258,0.8,B258,D258,C258)</f>
        <v>5.3336363868796739E-5</v>
      </c>
      <c r="N258" cm="1">
        <f t="array" ref="N258">rho_call(E258,A258,0.9,B258,D258,C258)</f>
        <v>2.5295504128369301E-4</v>
      </c>
      <c r="O258" cm="1">
        <f t="array" ref="O258">rho_call(E258,A258,1,B258,D258,C258)</f>
        <v>8.9299415502144114E-4</v>
      </c>
      <c r="P258" cm="1">
        <f t="array" ref="P258">rho_call(E258,A258,2,B258,D258,C258)</f>
        <v>0.35627324847219083</v>
      </c>
      <c r="Q258" cm="1">
        <f t="array" ref="Q258">rho_call(E258,A258,3,B258,D258,C258)</f>
        <v>3.3471937335324244</v>
      </c>
      <c r="R258" cm="1">
        <f t="array" ref="R258">rho_call(E258,A258,4,B258,D258,C258)</f>
        <v>11.512697843671857</v>
      </c>
      <c r="S258" cm="1">
        <f t="array" ref="S258">rho_call(E258,A258,5,B258,D258,C258)</f>
        <v>25.824461383109348</v>
      </c>
    </row>
    <row r="259" spans="1:19" x14ac:dyDescent="0.3">
      <c r="A259">
        <v>100</v>
      </c>
      <c r="B259">
        <f t="shared" si="13"/>
        <v>0.01</v>
      </c>
      <c r="C259">
        <v>0.05</v>
      </c>
      <c r="D259">
        <v>0</v>
      </c>
      <c r="E259" s="5">
        <v>85</v>
      </c>
      <c r="F259" cm="1">
        <f t="array" ref="F259">rho_call(E259,A259,0.1,B259,D259,C259)</f>
        <v>7.7924409638598548E-24</v>
      </c>
      <c r="G259" cm="1">
        <f t="array" ref="G259">rho_call(E259,A259,0.2,B259,D259,C259)</f>
        <v>6.4754236949085947E-12</v>
      </c>
      <c r="H259" cm="1">
        <f t="array" ref="H259">rho_call(E259,A259,0.3,B259,D259,C259)</f>
        <v>7.8772273592130144E-8</v>
      </c>
      <c r="I259" cm="1">
        <f t="array" ref="I259">rho_call(E259,A259,0.4,B259,D259,C259)</f>
        <v>9.8409990815638587E-6</v>
      </c>
      <c r="J259" cm="1">
        <f t="array" ref="J259">rho_call(E259,A259,0.5,B259,D259,C259)</f>
        <v>1.9187547588819985E-4</v>
      </c>
      <c r="K259" cm="1">
        <f t="array" ref="K259">rho_call(E259,A259,0.6,B259,D259,C259)</f>
        <v>1.4592045191005507E-3</v>
      </c>
      <c r="L259" cm="1">
        <f t="array" ref="L259">rho_call(E259,A259,0.7,B259,D259,C259)</f>
        <v>6.4332888455462135E-3</v>
      </c>
      <c r="M259" cm="1">
        <f t="array" ref="M259">rho_call(E259,A259,0.8,B259,D259,C259)</f>
        <v>2.0082539124395789E-2</v>
      </c>
      <c r="N259" cm="1">
        <f t="array" ref="N259">rho_call(E259,A259,0.9,B259,D259,C259)</f>
        <v>4.965472680548666E-2</v>
      </c>
      <c r="O259" cm="1">
        <f t="array" ref="O259">rho_call(E259,A259,1,B259,D259,C259)</f>
        <v>0.10407181245529616</v>
      </c>
      <c r="P259" cm="1">
        <f t="array" ref="P259">rho_call(E259,A259,2,B259,D259,C259)</f>
        <v>3.9481315095357599</v>
      </c>
      <c r="Q259" cm="1">
        <f t="array" ref="Q259">rho_call(E259,A259,3,B259,D259,C259)</f>
        <v>16.828040360966277</v>
      </c>
      <c r="R259" cm="1">
        <f t="array" ref="R259">rho_call(E259,A259,4,B259,D259,C259)</f>
        <v>38.86244347527866</v>
      </c>
      <c r="S259" cm="1">
        <f t="array" ref="S259">rho_call(E259,A259,5,B259,D259,C259)</f>
        <v>68.512011157963101</v>
      </c>
    </row>
    <row r="260" spans="1:19" x14ac:dyDescent="0.3">
      <c r="A260">
        <v>100</v>
      </c>
      <c r="B260">
        <f t="shared" si="13"/>
        <v>0.01</v>
      </c>
      <c r="C260">
        <v>0.05</v>
      </c>
      <c r="D260">
        <v>0</v>
      </c>
      <c r="E260" s="5">
        <v>90</v>
      </c>
      <c r="F260" cm="1">
        <f t="array" ref="F260">rho_call(E260,A260,0.1,B260,D260,C260)</f>
        <v>1.9425799510435276E-10</v>
      </c>
      <c r="G260" cm="1">
        <f t="array" ref="G260">rho_call(E260,A260,0.2,B260,D260,C260)</f>
        <v>3.5863762698205365E-5</v>
      </c>
      <c r="H260" cm="1">
        <f t="array" ref="H260">rho_call(E260,A260,0.3,B260,D260,C260)</f>
        <v>2.6301551441708345E-3</v>
      </c>
      <c r="I260" cm="1">
        <f t="array" ref="I260">rho_call(E260,A260,0.4,B260,D260,C260)</f>
        <v>2.5436866319320899E-2</v>
      </c>
      <c r="J260" cm="1">
        <f t="array" ref="J260">rho_call(E260,A260,0.5,B260,D260,C260)</f>
        <v>0.10661748329831354</v>
      </c>
      <c r="K260" cm="1">
        <f t="array" ref="K260">rho_call(E260,A260,0.6,B260,D260,C260)</f>
        <v>0.29052218057866946</v>
      </c>
      <c r="L260" cm="1">
        <f t="array" ref="L260">rho_call(E260,A260,0.7,B260,D260,C260)</f>
        <v>0.61460001246215368</v>
      </c>
      <c r="M260" cm="1">
        <f t="array" ref="M260">rho_call(E260,A260,0.8,B260,D260,C260)</f>
        <v>1.1050808875887035</v>
      </c>
      <c r="N260" cm="1">
        <f t="array" ref="N260">rho_call(E260,A260,0.9,B260,D260,C260)</f>
        <v>1.7777224724965428</v>
      </c>
      <c r="O260" cm="1">
        <f t="array" ref="O260">rho_call(E260,A260,1,B260,D260,C260)</f>
        <v>2.6401437529876723</v>
      </c>
      <c r="P260" cm="1">
        <f t="array" ref="P260">rho_call(E260,A260,2,B260,D260,C260)</f>
        <v>20.980085575820251</v>
      </c>
      <c r="Q260" cm="1">
        <f t="array" ref="Q260">rho_call(E260,A260,3,B260,D260,C260)</f>
        <v>52.547460630123489</v>
      </c>
      <c r="R260" cm="1">
        <f t="array" ref="R260">rho_call(E260,A260,4,B260,D260,C260)</f>
        <v>92.558361445530593</v>
      </c>
      <c r="S260" cm="1">
        <f t="array" ref="S260">rho_call(E260,A260,5,B260,D260,C260)</f>
        <v>138.30678902103335</v>
      </c>
    </row>
    <row r="261" spans="1:19" x14ac:dyDescent="0.3">
      <c r="A261">
        <v>100</v>
      </c>
      <c r="B261">
        <f t="shared" si="13"/>
        <v>0.01</v>
      </c>
      <c r="C261">
        <v>0.05</v>
      </c>
      <c r="D261">
        <v>0</v>
      </c>
      <c r="E261" s="5">
        <v>95</v>
      </c>
      <c r="F261" cm="1">
        <f t="array" ref="F261">rho_call(E261,A261,0.1,B261,D261,C261)</f>
        <v>7.1377505166024839E-3</v>
      </c>
      <c r="G261" cm="1">
        <f t="array" ref="G261">rho_call(E261,A261,0.2,B261,D261,C261)</f>
        <v>0.26662550009934899</v>
      </c>
      <c r="H261" cm="1">
        <f t="array" ref="H261">rho_call(E261,A261,0.3,B261,D261,C261)</f>
        <v>1.1298455673281689</v>
      </c>
      <c r="I261" cm="1">
        <f t="array" ref="I261">rho_call(E261,A261,0.4,B261,D261,C261)</f>
        <v>2.6035171220958411</v>
      </c>
      <c r="J261" cm="1">
        <f t="array" ref="J261">rho_call(E261,A261,0.5,B261,D261,C261)</f>
        <v>4.5893015604682583</v>
      </c>
      <c r="K261" cm="1">
        <f t="array" ref="K261">rho_call(E261,A261,0.6,B261,D261,C261)</f>
        <v>6.9930800372694062</v>
      </c>
      <c r="L261" cm="1">
        <f t="array" ref="L261">rho_call(E261,A261,0.7,B261,D261,C261)</f>
        <v>9.7407798347422521</v>
      </c>
      <c r="M261" cm="1">
        <f t="array" ref="M261">rho_call(E261,A261,0.8,B261,D261,C261)</f>
        <v>12.775977503387372</v>
      </c>
      <c r="N261" cm="1">
        <f t="array" ref="N261">rho_call(E261,A261,0.9,B261,D261,C261)</f>
        <v>16.055487746950433</v>
      </c>
      <c r="O261" cm="1">
        <f t="array" ref="O261">rho_call(E261,A261,1,B261,D261,C261)</f>
        <v>19.545754699748962</v>
      </c>
      <c r="P261" cm="1">
        <f t="array" ref="P261">rho_call(E261,A261,2,B261,D261,C261)</f>
        <v>62.018613359043243</v>
      </c>
      <c r="Q261" cm="1">
        <f t="array" ref="Q261">rho_call(E261,A261,3,B261,D261,C261)</f>
        <v>112.44272228148991</v>
      </c>
      <c r="R261" cm="1">
        <f t="array" ref="R261">rho_call(E261,A261,4,B261,D261,C261)</f>
        <v>167.28712913649767</v>
      </c>
      <c r="S261" cm="1">
        <f t="array" ref="S261">rho_call(E261,A261,5,B261,D261,C261)</f>
        <v>225.01525145546884</v>
      </c>
    </row>
    <row r="262" spans="1:19" x14ac:dyDescent="0.3">
      <c r="A262">
        <v>100</v>
      </c>
      <c r="B262">
        <f t="shared" si="13"/>
        <v>0.01</v>
      </c>
      <c r="C262">
        <v>0.05</v>
      </c>
      <c r="D262">
        <v>0</v>
      </c>
      <c r="E262" s="5">
        <v>100</v>
      </c>
      <c r="F262" cm="1">
        <f t="array" ref="F262">rho_call(E262,A262,0.1,B262,D262,C262)</f>
        <v>5.2154434086455765</v>
      </c>
      <c r="G262" cm="1">
        <f t="array" ref="G262">rho_call(E262,A262,0.2,B262,D262,C262)</f>
        <v>10.602580193516067</v>
      </c>
      <c r="H262" cm="1">
        <f t="array" ref="H262">rho_call(E262,A262,0.3,B262,D262,C262)</f>
        <v>16.097057974110687</v>
      </c>
      <c r="I262" cm="1">
        <f t="array" ref="I262">rho_call(E262,A262,0.4,B262,D262,C262)</f>
        <v>21.675716900074672</v>
      </c>
      <c r="J262" cm="1">
        <f t="array" ref="J262">rho_call(E262,A262,0.5,B262,D262,C262)</f>
        <v>27.325076969888265</v>
      </c>
      <c r="K262" cm="1">
        <f t="array" ref="K262">rho_call(E262,A262,0.6,B262,D262,C262)</f>
        <v>33.035981991228653</v>
      </c>
      <c r="L262" cm="1">
        <f t="array" ref="L262">rho_call(E262,A262,0.7,B262,D262,C262)</f>
        <v>38.80166687938042</v>
      </c>
      <c r="M262" cm="1">
        <f t="array" ref="M262">rho_call(E262,A262,0.8,B262,D262,C262)</f>
        <v>44.616857372460707</v>
      </c>
      <c r="N262" cm="1">
        <f t="array" ref="N262">rho_call(E262,A262,0.9,B262,D262,C262)</f>
        <v>50.47728449952892</v>
      </c>
      <c r="O262" cm="1">
        <f t="array" ref="O262">rho_call(E262,A262,1,B262,D262,C262)</f>
        <v>56.37939597115281</v>
      </c>
      <c r="P262" cm="1">
        <f t="array" ref="P262">rho_call(E262,A262,2,B262,D262,C262)</f>
        <v>117.17970668275383</v>
      </c>
      <c r="Q262" cm="1">
        <f t="array" ref="Q262">rho_call(E262,A262,3,B262,D262,C262)</f>
        <v>180.23984767739293</v>
      </c>
      <c r="R262" cm="1">
        <f t="array" ref="R262">rho_call(E262,A262,4,B262,D262,C262)</f>
        <v>244.74406567121272</v>
      </c>
      <c r="S262" cm="1">
        <f t="array" ref="S262">rho_call(E262,A262,5,B262,D262,C262)</f>
        <v>310.20383271045563</v>
      </c>
    </row>
    <row r="263" spans="1:19" x14ac:dyDescent="0.3">
      <c r="A263">
        <v>100</v>
      </c>
      <c r="B263">
        <f t="shared" si="13"/>
        <v>0.01</v>
      </c>
      <c r="C263">
        <v>0.05</v>
      </c>
      <c r="D263">
        <v>0</v>
      </c>
      <c r="E263" s="5">
        <v>105</v>
      </c>
      <c r="F263" cm="1">
        <f t="array" ref="F263">rho_call(E263,A263,0.1,B263,D263,C263)</f>
        <v>9.9815977047491025</v>
      </c>
      <c r="G263" cm="1">
        <f t="array" ref="G263">rho_call(E263,A263,0.2,B263,D263,C263)</f>
        <v>19.722442652470058</v>
      </c>
      <c r="H263" cm="1">
        <f t="array" ref="H263">rho_call(E263,A263,0.3,B263,D263,C263)</f>
        <v>29.005935745471149</v>
      </c>
      <c r="I263" cm="1">
        <f t="array" ref="I263">rho_call(E263,A263,0.4,B263,D263,C263)</f>
        <v>37.883823051454236</v>
      </c>
      <c r="J263" cm="1">
        <f t="array" ref="J263">rho_call(E263,A263,0.5,B263,D263,C263)</f>
        <v>46.450942177652628</v>
      </c>
      <c r="K263" cm="1">
        <f t="array" ref="K263">rho_call(E263,A263,0.6,B263,D263,C263)</f>
        <v>54.782654073780755</v>
      </c>
      <c r="L263" cm="1">
        <f t="array" ref="L263">rho_call(E263,A263,0.7,B263,D263,C263)</f>
        <v>62.933257045068579</v>
      </c>
      <c r="M263" cm="1">
        <f t="array" ref="M263">rho_call(E263,A263,0.8,B263,D263,C263)</f>
        <v>70.941709196962876</v>
      </c>
      <c r="N263" cm="1">
        <f t="array" ref="N263">rho_call(E263,A263,0.9,B263,D263,C263)</f>
        <v>78.836434145986033</v>
      </c>
      <c r="O263" cm="1">
        <f t="array" ref="O263">rho_call(E263,A263,1,B263,D263,C263)</f>
        <v>86.638608819868125</v>
      </c>
      <c r="P263" cm="1">
        <f t="array" ref="P263">rho_call(E263,A263,2,B263,D263,C263)</f>
        <v>161.87888979227972</v>
      </c>
      <c r="Q263" cm="1">
        <f t="array" ref="Q263">rho_call(E263,A263,3,B263,D263,C263)</f>
        <v>234.91255400973751</v>
      </c>
      <c r="R263" cm="1">
        <f t="array" ref="R263">rho_call(E263,A263,4,B263,D263,C263)</f>
        <v>307.05178942131579</v>
      </c>
      <c r="S263" cm="1">
        <f t="array" ref="S263">rho_call(E263,A263,5,B263,D263,C263)</f>
        <v>378.62785195483758</v>
      </c>
    </row>
    <row r="264" spans="1:19" x14ac:dyDescent="0.3">
      <c r="A264">
        <v>100</v>
      </c>
      <c r="B264">
        <f t="shared" si="13"/>
        <v>0.01</v>
      </c>
      <c r="C264">
        <v>0.05</v>
      </c>
      <c r="D264">
        <v>0</v>
      </c>
      <c r="E264" s="5">
        <v>110</v>
      </c>
      <c r="F264" cm="1">
        <f t="array" ref="F264">rho_call(E264,A264,0.1,B264,D264,C264)</f>
        <v>9.990004992452393</v>
      </c>
      <c r="G264" cm="1">
        <f t="array" ref="G264">rho_call(E264,A264,0.2,B264,D264,C264)</f>
        <v>19.959898203851797</v>
      </c>
      <c r="H264" cm="1">
        <f t="array" ref="H264">rho_call(E264,A264,0.3,B264,D264,C264)</f>
        <v>29.904918905011474</v>
      </c>
      <c r="I264" cm="1">
        <f t="array" ref="I264">rho_call(E264,A264,0.4,B264,D264,C264)</f>
        <v>39.804858626215072</v>
      </c>
      <c r="J264" cm="1">
        <f t="array" ref="J264">rho_call(E264,A264,0.5,B264,D264,C264)</f>
        <v>49.630985812514382</v>
      </c>
      <c r="K264" cm="1">
        <f t="array" ref="K264">rho_call(E264,A264,0.6,B264,D264,C264)</f>
        <v>59.360192582529834</v>
      </c>
      <c r="L264" cm="1">
        <f t="array" ref="L264">rho_call(E264,A264,0.7,B264,D264,C264)</f>
        <v>68.97930980124481</v>
      </c>
      <c r="M264" cm="1">
        <f t="array" ref="M264">rho_call(E264,A264,0.8,B264,D264,C264)</f>
        <v>78.483472793431645</v>
      </c>
      <c r="N264" cm="1">
        <f t="array" ref="N264">rho_call(E264,A264,0.9,B264,D264,C264)</f>
        <v>87.873343001175186</v>
      </c>
      <c r="O264" cm="1">
        <f t="array" ref="O264">rho_call(E264,A264,1,B264,D264,C264)</f>
        <v>97.152834057768871</v>
      </c>
      <c r="P264" cm="1">
        <f t="array" ref="P264">rho_call(E264,A264,2,B264,D264,C264)</f>
        <v>185.19599406842477</v>
      </c>
      <c r="Q264" cm="1">
        <f t="array" ref="Q264">rho_call(E264,A264,3,B264,D264,C264)</f>
        <v>267.7816405895245</v>
      </c>
      <c r="R264" cm="1">
        <f t="array" ref="R264">rho_call(E264,A264,4,B264,D264,C264)</f>
        <v>347.31769404379759</v>
      </c>
      <c r="S264" cm="1">
        <f t="array" ref="S264">rho_call(E264,A264,5,B264,D264,C264)</f>
        <v>424.82474377270159</v>
      </c>
    </row>
    <row r="265" spans="1:19" x14ac:dyDescent="0.3">
      <c r="A265">
        <v>100</v>
      </c>
      <c r="B265">
        <f t="shared" si="13"/>
        <v>0.01</v>
      </c>
      <c r="C265">
        <v>0.05</v>
      </c>
      <c r="D265">
        <v>0</v>
      </c>
      <c r="E265" s="5">
        <v>115</v>
      </c>
      <c r="F265" cm="1">
        <f t="array" ref="F265">rho_call(E265,A265,0.1,B265,D265,C265)</f>
        <v>9.9900049983337507</v>
      </c>
      <c r="G265" cm="1">
        <f t="array" ref="G265">rho_call(E265,A265,0.2,B265,D265,C265)</f>
        <v>19.960039970877752</v>
      </c>
      <c r="H265" cm="1">
        <f t="array" ref="H265">rho_call(E265,A265,0.3,B265,D265,C265)</f>
        <v>29.910131872453039</v>
      </c>
      <c r="I265" cm="1">
        <f t="array" ref="I265">rho_call(E265,A265,0.4,B265,D265,C265)</f>
        <v>39.840202266473987</v>
      </c>
      <c r="J265" cm="1">
        <f t="array" ref="J265">rho_call(E265,A265,0.5,B265,D265,C265)</f>
        <v>49.749488200400314</v>
      </c>
      <c r="K265" cm="1">
        <f t="array" ref="K265">rho_call(E265,A265,0.6,B265,D265,C265)</f>
        <v>59.635681069861462</v>
      </c>
      <c r="L265" cm="1">
        <f t="array" ref="L265">rho_call(E265,A265,0.7,B265,D265,C265)</f>
        <v>69.494756917450118</v>
      </c>
      <c r="M265" cm="1">
        <f t="array" ref="M265">rho_call(E265,A265,0.8,B265,D265,C265)</f>
        <v>79.321608262959501</v>
      </c>
      <c r="N265" cm="1">
        <f t="array" ref="N265">rho_call(E265,A265,0.9,B265,D265,C265)</f>
        <v>89.110891324820571</v>
      </c>
      <c r="O265" cm="1">
        <f t="array" ref="O265">rho_call(E265,A265,1,B265,D265,C265)</f>
        <v>98.857679656492337</v>
      </c>
      <c r="P265" cm="1">
        <f t="array" ref="P265">rho_call(E265,A265,2,B265,D265,C265)</f>
        <v>193.47679765716148</v>
      </c>
      <c r="Q265" cm="1">
        <f t="array" ref="Q265">rho_call(E265,A265,3,B265,D265,C265)</f>
        <v>283.09175446033976</v>
      </c>
      <c r="R265" cm="1">
        <f t="array" ref="R265">rho_call(E265,A265,4,B265,D265,C265)</f>
        <v>368.84131062808984</v>
      </c>
      <c r="S265" cm="1">
        <f t="array" ref="S265">rho_call(E265,A265,5,B265,D265,C265)</f>
        <v>451.66313314685397</v>
      </c>
    </row>
    <row r="266" spans="1:19" x14ac:dyDescent="0.3">
      <c r="A266">
        <v>100</v>
      </c>
      <c r="B266">
        <f t="shared" si="13"/>
        <v>0.01</v>
      </c>
      <c r="C266">
        <v>0.05</v>
      </c>
      <c r="D266">
        <v>0</v>
      </c>
      <c r="E266" s="5">
        <v>120</v>
      </c>
      <c r="F266" cm="1">
        <f t="array" ref="F266">rho_call(E266,A266,0.1,B266,D266,C266)</f>
        <v>9.9900049983337507</v>
      </c>
      <c r="G266" cm="1">
        <f t="array" ref="G266">rho_call(E266,A266,0.2,B266,D266,C266)</f>
        <v>19.960039973346657</v>
      </c>
      <c r="H266" cm="1">
        <f t="array" ref="H266">rho_call(E266,A266,0.3,B266,D266,C266)</f>
        <v>29.910134864885052</v>
      </c>
      <c r="I266" cm="1">
        <f t="array" ref="I266">rho_call(E266,A266,0.4,B266,D266,C266)</f>
        <v>39.840319490133353</v>
      </c>
      <c r="J266" cm="1">
        <f t="array" ref="J266">rho_call(E266,A266,0.5,B266,D266,C266)</f>
        <v>49.750620756232365</v>
      </c>
      <c r="K266" cm="1">
        <f t="array" ref="K266">rho_call(E266,A266,0.6,B266,D266,C266)</f>
        <v>59.641039719506949</v>
      </c>
      <c r="L266" cm="1">
        <f t="array" ref="L266">rho_call(E266,A266,0.7,B266,D266,C266)</f>
        <v>69.511480031699364</v>
      </c>
      <c r="M266" cm="1">
        <f t="array" ref="M266">rho_call(E266,A266,0.8,B266,D266,C266)</f>
        <v>79.361639617438144</v>
      </c>
      <c r="N266" cm="1">
        <f t="array" ref="N266">rho_call(E266,A266,0.9,B266,D266,C266)</f>
        <v>89.190922732291682</v>
      </c>
      <c r="O266" cm="1">
        <f t="array" ref="O266">rho_call(E266,A266,1,B266,D266,C266)</f>
        <v>98.998415410794919</v>
      </c>
      <c r="P266" cm="1">
        <f t="array" ref="P266">rho_call(E266,A266,2,B266,D266,C266)</f>
        <v>195.57759591312399</v>
      </c>
      <c r="Q266" cm="1">
        <f t="array" ref="Q266">rho_call(E266,A266,3,B266,D266,C266)</f>
        <v>288.80115110315461</v>
      </c>
      <c r="R266" cm="1">
        <f t="array" ref="R266">rho_call(E266,A266,4,B266,D266,C266)</f>
        <v>378.59636972134138</v>
      </c>
      <c r="S266" cm="1">
        <f t="array" ref="S266">rho_call(E266,A266,5,B266,D266,C266)</f>
        <v>465.34817532852253</v>
      </c>
    </row>
    <row r="267" spans="1:19" x14ac:dyDescent="0.3">
      <c r="A267">
        <v>100</v>
      </c>
      <c r="B267">
        <f t="shared" si="13"/>
        <v>0.01</v>
      </c>
      <c r="C267">
        <v>0.05</v>
      </c>
      <c r="D267">
        <v>0</v>
      </c>
      <c r="E267" s="5">
        <v>125</v>
      </c>
      <c r="F267" cm="1">
        <f t="array" ref="F267">rho_call(E267,A267,0.1,B267,D267,C267)</f>
        <v>9.9900049983337507</v>
      </c>
      <c r="G267" cm="1">
        <f t="array" ref="G267">rho_call(E267,A267,0.2,B267,D267,C267)</f>
        <v>19.96003997334666</v>
      </c>
      <c r="H267" cm="1">
        <f t="array" ref="H267">rho_call(E267,A267,0.3,B267,D267,C267)</f>
        <v>29.910134865101188</v>
      </c>
      <c r="I267" cm="1">
        <f t="array" ref="I267">rho_call(E267,A267,0.4,B267,D267,C267)</f>
        <v>39.840319573744395</v>
      </c>
      <c r="J267" cm="1">
        <f t="array" ref="J267">rho_call(E267,A267,0.5,B267,D267,C267)</f>
        <v>49.750623956566649</v>
      </c>
      <c r="K267" cm="1">
        <f t="array" ref="K267">rho_call(E267,A267,0.6,B267,D267,C267)</f>
        <v>59.641077732913743</v>
      </c>
      <c r="L267" cm="1">
        <f t="array" ref="L267">rho_call(E267,A267,0.7,B267,D267,C267)</f>
        <v>69.511709531797067</v>
      </c>
      <c r="M267" cm="1">
        <f t="array" ref="M267">rho_call(E267,A267,0.8,B267,D267,C267)</f>
        <v>79.362542637149119</v>
      </c>
      <c r="N267" cm="1">
        <f t="array" ref="N267">rho_call(E267,A267,0.9,B267,D267,C267)</f>
        <v>89.193584395471191</v>
      </c>
      <c r="O267" cm="1">
        <f t="array" ref="O267">rho_call(E267,A267,1,B267,D267,C267)</f>
        <v>99.004809118065594</v>
      </c>
      <c r="P267" cm="1">
        <f t="array" ref="P267">rho_call(E267,A267,2,B267,D267,C267)</f>
        <v>195.9744552338023</v>
      </c>
      <c r="Q267" cm="1">
        <f t="array" ref="Q267">rho_call(E267,A267,3,B267,D267,C267)</f>
        <v>290.55431530802588</v>
      </c>
      <c r="R267" cm="1">
        <f t="array" ref="R267">rho_call(E267,A267,4,B267,D267,C267)</f>
        <v>382.42512706458473</v>
      </c>
      <c r="S267" cm="1">
        <f t="array" ref="S267">rho_call(E267,A267,5,B267,D267,C267)</f>
        <v>471.57705067491599</v>
      </c>
    </row>
    <row r="268" spans="1:19" x14ac:dyDescent="0.3">
      <c r="A268">
        <v>100</v>
      </c>
      <c r="B268">
        <f t="shared" si="13"/>
        <v>0.01</v>
      </c>
      <c r="C268">
        <v>0.05</v>
      </c>
      <c r="D268">
        <v>0</v>
      </c>
      <c r="E268" s="5">
        <v>130</v>
      </c>
      <c r="F268" cm="1">
        <f t="array" ref="F268">rho_call(E268,A268,0.1,B268,D268,C268)</f>
        <v>9.9900049983337507</v>
      </c>
      <c r="G268" cm="1">
        <f t="array" ref="G268">rho_call(E268,A268,0.2,B268,D268,C268)</f>
        <v>19.96003997334666</v>
      </c>
      <c r="H268" cm="1">
        <f t="array" ref="H268">rho_call(E268,A268,0.3,B268,D268,C268)</f>
        <v>29.910134865101192</v>
      </c>
      <c r="I268" cm="1">
        <f t="array" ref="I268">rho_call(E268,A268,0.4,B268,D268,C268)</f>
        <v>39.840319573759658</v>
      </c>
      <c r="J268" cm="1">
        <f t="array" ref="J268">rho_call(E268,A268,0.5,B268,D268,C268)</f>
        <v>49.750623959632989</v>
      </c>
      <c r="K268" cm="1">
        <f t="array" ref="K268">rho_call(E268,A268,0.6,B268,D268,C268)</f>
        <v>59.64107784309136</v>
      </c>
      <c r="L268" cm="1">
        <f t="array" ref="L268">rho_call(E268,A268,0.7,B268,D268,C268)</f>
        <v>69.511711000531321</v>
      </c>
      <c r="M268" cm="1">
        <f t="array" ref="M268">rho_call(E268,A268,0.8,B268,D268,C268)</f>
        <v>79.362553119095708</v>
      </c>
      <c r="N268" cm="1">
        <f t="array" ref="N268">rho_call(E268,A268,0.9,B268,D268,C268)</f>
        <v>89.193633546231695</v>
      </c>
      <c r="O268" cm="1">
        <f t="array" ref="O268">rho_call(E268,A268,1,B268,D268,C268)</f>
        <v>99.004980462097549</v>
      </c>
      <c r="P268" cm="1">
        <f t="array" ref="P268">rho_call(E268,A268,2,B268,D268,C268)</f>
        <v>196.03232255192489</v>
      </c>
      <c r="Q268" cm="1">
        <f t="array" ref="Q268">rho_call(E268,A268,3,B268,D268,C268)</f>
        <v>291.008430195247</v>
      </c>
      <c r="R268" cm="1">
        <f t="array" ref="R268">rho_call(E268,A268,4,B268,D268,C268)</f>
        <v>383.75027885188655</v>
      </c>
      <c r="S268" cm="1">
        <f t="array" ref="S268">rho_call(E268,A268,5,B268,D268,C268)</f>
        <v>474.14459045318819</v>
      </c>
    </row>
    <row r="269" spans="1:19" x14ac:dyDescent="0.3">
      <c r="A269">
        <v>100</v>
      </c>
      <c r="B269">
        <f t="shared" si="13"/>
        <v>0.01</v>
      </c>
      <c r="C269">
        <v>0.05</v>
      </c>
      <c r="D269">
        <v>0</v>
      </c>
      <c r="E269" s="5">
        <v>135</v>
      </c>
      <c r="F269" cm="1">
        <f t="array" ref="F269">rho_call(E269,A269,0.1,B269,D269,C269)</f>
        <v>9.9900049983337507</v>
      </c>
      <c r="G269" cm="1">
        <f t="array" ref="G269">rho_call(E269,A269,0.2,B269,D269,C269)</f>
        <v>19.96003997334666</v>
      </c>
      <c r="H269" cm="1">
        <f t="array" ref="H269">rho_call(E269,A269,0.3,B269,D269,C269)</f>
        <v>29.910134865101192</v>
      </c>
      <c r="I269" cm="1">
        <f t="array" ref="I269">rho_call(E269,A269,0.4,B269,D269,C269)</f>
        <v>39.840319573759658</v>
      </c>
      <c r="J269" cm="1">
        <f t="array" ref="J269">rho_call(E269,A269,0.5,B269,D269,C269)</f>
        <v>49.750623959634119</v>
      </c>
      <c r="K269" cm="1">
        <f t="array" ref="K269">rho_call(E269,A269,0.6,B269,D269,C269)</f>
        <v>59.641077843236026</v>
      </c>
      <c r="L269" cm="1">
        <f t="array" ref="L269">rho_call(E269,A269,0.7,B269,D269,C269)</f>
        <v>69.511711005317864</v>
      </c>
      <c r="M269" cm="1">
        <f t="array" ref="M269">rho_call(E269,A269,0.8,B269,D269,C269)</f>
        <v>79.362553186704801</v>
      </c>
      <c r="N269" cm="1">
        <f t="array" ref="N269">rho_call(E269,A269,0.9,B269,D269,C269)</f>
        <v>89.193634085801492</v>
      </c>
      <c r="O269" cm="1">
        <f t="array" ref="O269">rho_call(E269,A269,1,B269,D269,C269)</f>
        <v>99.004983342595096</v>
      </c>
      <c r="P269" cm="1">
        <f t="array" ref="P269">rho_call(E269,A269,2,B269,D269,C269)</f>
        <v>196.03904178146894</v>
      </c>
      <c r="Q269" cm="1">
        <f t="array" ref="Q269">rho_call(E269,A269,3,B269,D269,C269)</f>
        <v>291.10974557725348</v>
      </c>
      <c r="R269" cm="1">
        <f t="array" ref="R269">rho_call(E269,A269,4,B269,D269,C269)</f>
        <v>384.16107520637604</v>
      </c>
      <c r="S269" cm="1">
        <f t="array" ref="S269">rho_call(E269,A269,5,B269,D269,C269)</f>
        <v>475.11500881269768</v>
      </c>
    </row>
    <row r="270" spans="1:19" x14ac:dyDescent="0.3">
      <c r="A270">
        <v>100</v>
      </c>
      <c r="B270">
        <f t="shared" si="13"/>
        <v>0.01</v>
      </c>
      <c r="C270">
        <v>0.05</v>
      </c>
      <c r="D270">
        <v>0</v>
      </c>
      <c r="E270" s="5">
        <v>140</v>
      </c>
      <c r="F270" cm="1">
        <f t="array" ref="F270">rho_call(E270,A270,0.1,B270,D270,C270)</f>
        <v>9.9900049983337507</v>
      </c>
      <c r="G270" cm="1">
        <f t="array" ref="G270">rho_call(E270,A270,0.2,B270,D270,C270)</f>
        <v>19.96003997334666</v>
      </c>
      <c r="H270" cm="1">
        <f t="array" ref="H270">rho_call(E270,A270,0.3,B270,D270,C270)</f>
        <v>29.910134865101192</v>
      </c>
      <c r="I270" cm="1">
        <f t="array" ref="I270">rho_call(E270,A270,0.4,B270,D270,C270)</f>
        <v>39.840319573759658</v>
      </c>
      <c r="J270" cm="1">
        <f t="array" ref="J270">rho_call(E270,A270,0.5,B270,D270,C270)</f>
        <v>49.750623959634119</v>
      </c>
      <c r="K270" cm="1">
        <f t="array" ref="K270">rho_call(E270,A270,0.6,B270,D270,C270)</f>
        <v>59.641077843236118</v>
      </c>
      <c r="L270" cm="1">
        <f t="array" ref="L270">rho_call(E270,A270,0.7,B270,D270,C270)</f>
        <v>69.511711005326447</v>
      </c>
      <c r="M270" cm="1">
        <f t="array" ref="M270">rho_call(E270,A270,0.8,B270,D270,C270)</f>
        <v>79.36255318696422</v>
      </c>
      <c r="N270" cm="1">
        <f t="array" ref="N270">rho_call(E270,A270,0.9,B270,D270,C270)</f>
        <v>89.193634089542201</v>
      </c>
      <c r="O270" cm="1">
        <f t="array" ref="O270">rho_call(E270,A270,1,B270,D270,C270)</f>
        <v>99.004983374667319</v>
      </c>
      <c r="P270" cm="1">
        <f t="array" ref="P270">rho_call(E270,A270,2,B270,D270,C270)</f>
        <v>196.0396801673327</v>
      </c>
      <c r="Q270" cm="1">
        <f t="array" ref="Q270">rho_call(E270,A270,3,B270,D270,C270)</f>
        <v>291.12956988437332</v>
      </c>
      <c r="R270" cm="1">
        <f t="array" ref="R270">rho_call(E270,A270,4,B270,D270,C270)</f>
        <v>384.27668557419531</v>
      </c>
      <c r="S270" cm="1">
        <f t="array" ref="S270">rho_call(E270,A270,5,B270,D270,C270)</f>
        <v>475.45493841704553</v>
      </c>
    </row>
    <row r="272" spans="1:19" x14ac:dyDescent="0.3">
      <c r="A272" t="s">
        <v>13</v>
      </c>
      <c r="B272" t="s">
        <v>14</v>
      </c>
      <c r="C272" t="s">
        <v>15</v>
      </c>
      <c r="D272" t="s">
        <v>26</v>
      </c>
      <c r="F272" s="7">
        <v>0.1</v>
      </c>
      <c r="G272" s="7">
        <v>0.2</v>
      </c>
      <c r="H272" s="7">
        <v>0.3</v>
      </c>
      <c r="I272" s="7">
        <v>0.4</v>
      </c>
      <c r="J272" s="7">
        <v>0.5</v>
      </c>
      <c r="K272" s="7">
        <v>0.6</v>
      </c>
      <c r="L272" s="7">
        <v>0.7</v>
      </c>
      <c r="M272" s="7">
        <v>0.8</v>
      </c>
      <c r="N272" s="7">
        <v>0.9</v>
      </c>
      <c r="O272" s="7">
        <v>1</v>
      </c>
      <c r="P272" s="7">
        <v>2</v>
      </c>
      <c r="Q272" s="7">
        <v>3</v>
      </c>
      <c r="R272" s="7">
        <v>4</v>
      </c>
      <c r="S272" s="7">
        <v>5</v>
      </c>
    </row>
    <row r="273" spans="1:19" x14ac:dyDescent="0.3">
      <c r="A273">
        <v>100</v>
      </c>
      <c r="B273">
        <f>1/100</f>
        <v>0.01</v>
      </c>
      <c r="C273">
        <v>0.7</v>
      </c>
      <c r="D273">
        <v>0</v>
      </c>
      <c r="E273" s="5">
        <v>60</v>
      </c>
      <c r="F273" cm="1">
        <f t="array" ref="F273">rho_call(E273,A273,0.1,B273,D273,C273)</f>
        <v>7.8848698337824E-2</v>
      </c>
      <c r="G273" cm="1">
        <f t="array" ref="G273">rho_call(E273,A273,0.2,B273,D273,C273)</f>
        <v>0.74614760349878029</v>
      </c>
      <c r="H273" cm="1">
        <f t="array" ref="H273">rho_call(E273,A273,0.3,B273,D273,C273)</f>
        <v>1.9361576177690814</v>
      </c>
      <c r="I273" cm="1">
        <f t="array" ref="I273">rho_call(E273,A273,0.4,B273,D273,C273)</f>
        <v>3.4240399291339108</v>
      </c>
      <c r="J273" cm="1">
        <f t="array" ref="J273">rho_call(E273,A273,0.5,B273,D273,C273)</f>
        <v>5.08190349256658</v>
      </c>
      <c r="K273" cm="1">
        <f t="array" ref="K273">rho_call(E273,A273,0.6,B273,D273,C273)</f>
        <v>6.83803980462321</v>
      </c>
      <c r="L273" cm="1">
        <f t="array" ref="L273">rho_call(E273,A273,0.7,B273,D273,C273)</f>
        <v>8.6496973179832182</v>
      </c>
      <c r="M273" cm="1">
        <f t="array" ref="M273">rho_call(E273,A273,0.8,B273,D273,C273)</f>
        <v>10.489919546237894</v>
      </c>
      <c r="N273" cm="1">
        <f t="array" ref="N273">rho_call(E273,A273,0.9,B273,D273,C273)</f>
        <v>12.340941914572896</v>
      </c>
      <c r="O273" cm="1">
        <f t="array" ref="O273">rho_call(E273,A273,1,B273,D273,C273)</f>
        <v>14.190655342240106</v>
      </c>
      <c r="P273" cm="1">
        <f t="array" ref="P273">rho_call(E273,A273,2,B273,D273,C273)</f>
        <v>31.541941323972445</v>
      </c>
      <c r="Q273" cm="1">
        <f t="array" ref="Q273">rho_call(E273,A273,3,B273,D273,C273)</f>
        <v>45.993188469136847</v>
      </c>
      <c r="R273" cm="1">
        <f t="array" ref="R273">rho_call(E273,A273,4,B273,D273,C273)</f>
        <v>57.65895975725136</v>
      </c>
      <c r="S273" cm="1">
        <f t="array" ref="S273">rho_call(E273,A273,5,B273,D273,C273)</f>
        <v>66.934414289396841</v>
      </c>
    </row>
    <row r="274" spans="1:19" x14ac:dyDescent="0.3">
      <c r="A274">
        <v>100</v>
      </c>
      <c r="B274">
        <f t="shared" ref="B274:B289" si="14">1/100</f>
        <v>0.01</v>
      </c>
      <c r="C274">
        <v>0.7</v>
      </c>
      <c r="D274">
        <v>0</v>
      </c>
      <c r="E274" s="5">
        <v>65</v>
      </c>
      <c r="F274" cm="1">
        <f t="array" ref="F274">rho_call(E274,A274,0.1,B274,D274,C274)</f>
        <v>0.20053059097119499</v>
      </c>
      <c r="G274" cm="1">
        <f t="array" ref="G274">rho_call(E274,A274,0.2,B274,D274,C274)</f>
        <v>1.2670104484419791</v>
      </c>
      <c r="H274" cm="1">
        <f t="array" ref="H274">rho_call(E274,A274,0.3,B274,D274,C274)</f>
        <v>2.8573271033642325</v>
      </c>
      <c r="I274" cm="1">
        <f t="array" ref="I274">rho_call(E274,A274,0.4,B274,D274,C274)</f>
        <v>4.6986407174876534</v>
      </c>
      <c r="J274" cm="1">
        <f t="array" ref="J274">rho_call(E274,A274,0.5,B274,D274,C274)</f>
        <v>6.6663829324987276</v>
      </c>
      <c r="K274" cm="1">
        <f t="array" ref="K274">rho_call(E274,A274,0.6,B274,D274,C274)</f>
        <v>8.6969192610218737</v>
      </c>
      <c r="L274" cm="1">
        <f t="array" ref="L274">rho_call(E274,A274,0.7,B274,D274,C274)</f>
        <v>10.754362172719512</v>
      </c>
      <c r="M274" cm="1">
        <f t="array" ref="M274">rho_call(E274,A274,0.8,B274,D274,C274)</f>
        <v>12.816993573514528</v>
      </c>
      <c r="N274" cm="1">
        <f t="array" ref="N274">rho_call(E274,A274,0.9,B274,D274,C274)</f>
        <v>14.871001133314559</v>
      </c>
      <c r="O274" cm="1">
        <f t="array" ref="O274">rho_call(E274,A274,1,B274,D274,C274)</f>
        <v>16.907291349624085</v>
      </c>
      <c r="P274" cm="1">
        <f t="array" ref="P274">rho_call(E274,A274,2,B274,D274,C274)</f>
        <v>35.567528313919013</v>
      </c>
      <c r="Q274" cm="1">
        <f t="array" ref="Q274">rho_call(E274,A274,3,B274,D274,C274)</f>
        <v>50.784305315054048</v>
      </c>
      <c r="R274" cm="1">
        <f t="array" ref="R274">rho_call(E274,A274,4,B274,D274,C274)</f>
        <v>62.934672677482695</v>
      </c>
      <c r="S274" cm="1">
        <f t="array" ref="S274">rho_call(E274,A274,5,B274,D274,C274)</f>
        <v>72.516999484047147</v>
      </c>
    </row>
    <row r="275" spans="1:19" x14ac:dyDescent="0.3">
      <c r="A275">
        <v>100</v>
      </c>
      <c r="B275">
        <f t="shared" si="14"/>
        <v>0.01</v>
      </c>
      <c r="C275">
        <v>0.7</v>
      </c>
      <c r="D275">
        <v>0</v>
      </c>
      <c r="E275" s="5">
        <v>70</v>
      </c>
      <c r="F275" cm="1">
        <f t="array" ref="F275">rho_call(E275,A275,0.1,B275,D275,C275)</f>
        <v>0.42905078089390242</v>
      </c>
      <c r="G275" cm="1">
        <f t="array" ref="G275">rho_call(E275,A275,0.2,B275,D275,C275)</f>
        <v>1.9683292905381609</v>
      </c>
      <c r="H275" cm="1">
        <f t="array" ref="H275">rho_call(E275,A275,0.3,B275,D275,C275)</f>
        <v>3.9662492423125206</v>
      </c>
      <c r="I275" cm="1">
        <f t="array" ref="I275">rho_call(E275,A275,0.4,B275,D275,C275)</f>
        <v>6.1491893731128888</v>
      </c>
      <c r="J275" cm="1">
        <f t="array" ref="J275">rho_call(E275,A275,0.5,B275,D275,C275)</f>
        <v>8.4096918909291034</v>
      </c>
      <c r="K275" cm="1">
        <f t="array" ref="K275">rho_call(E275,A275,0.6,B275,D275,C275)</f>
        <v>10.696536660100842</v>
      </c>
      <c r="L275" cm="1">
        <f t="array" ref="L275">rho_call(E275,A275,0.7,B275,D275,C275)</f>
        <v>12.982173902682737</v>
      </c>
      <c r="M275" cm="1">
        <f t="array" ref="M275">rho_call(E275,A275,0.8,B275,D275,C275)</f>
        <v>15.250611824202377</v>
      </c>
      <c r="N275" cm="1">
        <f t="array" ref="N275">rho_call(E275,A275,0.9,B275,D275,C275)</f>
        <v>17.492110673958443</v>
      </c>
      <c r="O275" cm="1">
        <f t="array" ref="O275">rho_call(E275,A275,1,B275,D275,C275)</f>
        <v>19.700571753215964</v>
      </c>
      <c r="P275" cm="1">
        <f t="array" ref="P275">rho_call(E275,A275,2,B275,D275,C275)</f>
        <v>39.56861459918138</v>
      </c>
      <c r="Q275" cm="1">
        <f t="array" ref="Q275">rho_call(E275,A275,3,B275,D275,C275)</f>
        <v>55.492660840610853</v>
      </c>
      <c r="R275" cm="1">
        <f t="array" ref="R275">rho_call(E275,A275,4,B275,D275,C275)</f>
        <v>68.089980970828023</v>
      </c>
      <c r="S275" cm="1">
        <f t="array" ref="S275">rho_call(E275,A275,5,B275,D275,C275)</f>
        <v>77.953671837139183</v>
      </c>
    </row>
    <row r="276" spans="1:19" x14ac:dyDescent="0.3">
      <c r="A276">
        <v>100</v>
      </c>
      <c r="B276">
        <f t="shared" si="14"/>
        <v>0.01</v>
      </c>
      <c r="C276">
        <v>0.7</v>
      </c>
      <c r="D276">
        <v>0</v>
      </c>
      <c r="E276" s="5">
        <v>75</v>
      </c>
      <c r="F276" cm="1">
        <f t="array" ref="F276">rho_call(E276,A276,0.1,B276,D276,C276)</f>
        <v>0.79815275893770843</v>
      </c>
      <c r="G276" cm="1">
        <f t="array" ref="G276">rho_call(E276,A276,0.2,B276,D276,C276)</f>
        <v>2.8445393420064375</v>
      </c>
      <c r="H276" cm="1">
        <f t="array" ref="H276">rho_call(E276,A276,0.3,B276,D276,C276)</f>
        <v>5.2371874424224361</v>
      </c>
      <c r="I276" cm="1">
        <f t="array" ref="I276">rho_call(E276,A276,0.4,B276,D276,C276)</f>
        <v>7.7412714369603366</v>
      </c>
      <c r="J276" cm="1">
        <f t="array" ref="J276">rho_call(E276,A276,0.5,B276,D276,C276)</f>
        <v>10.27399074617704</v>
      </c>
      <c r="K276" cm="1">
        <f t="array" ref="K276">rho_call(E276,A276,0.6,B276,D276,C276)</f>
        <v>12.798149182333342</v>
      </c>
      <c r="L276" cm="1">
        <f t="array" ref="L276">rho_call(E276,A276,0.7,B276,D276,C276)</f>
        <v>15.29476114907699</v>
      </c>
      <c r="M276" cm="1">
        <f t="array" ref="M276">rho_call(E276,A276,0.8,B276,D276,C276)</f>
        <v>17.753437033997947</v>
      </c>
      <c r="N276" cm="1">
        <f t="array" ref="N276">rho_call(E276,A276,0.9,B276,D276,C276)</f>
        <v>20.168310934141424</v>
      </c>
      <c r="O276" cm="1">
        <f t="array" ref="O276">rho_call(E276,A276,1,B276,D276,C276)</f>
        <v>22.536083963775909</v>
      </c>
      <c r="P276" cm="1">
        <f t="array" ref="P276">rho_call(E276,A276,2,B276,D276,C276)</f>
        <v>43.525583759537568</v>
      </c>
      <c r="Q276" cm="1">
        <f t="array" ref="Q276">rho_call(E276,A276,3,B276,D276,C276)</f>
        <v>60.108743697913248</v>
      </c>
      <c r="R276" cm="1">
        <f t="array" ref="R276">rho_call(E276,A276,4,B276,D276,C276)</f>
        <v>73.122300712452031</v>
      </c>
      <c r="S276" cm="1">
        <f t="array" ref="S276">rho_call(E276,A276,5,B276,D276,C276)</f>
        <v>83.246796347551353</v>
      </c>
    </row>
    <row r="277" spans="1:19" x14ac:dyDescent="0.3">
      <c r="A277">
        <v>100</v>
      </c>
      <c r="B277">
        <f t="shared" si="14"/>
        <v>0.01</v>
      </c>
      <c r="C277">
        <v>0.7</v>
      </c>
      <c r="D277">
        <v>0</v>
      </c>
      <c r="E277" s="5">
        <v>80</v>
      </c>
      <c r="F277" cm="1">
        <f t="array" ref="F277">rho_call(E277,A277,0.1,B277,D277,C277)</f>
        <v>1.3245945642229431</v>
      </c>
      <c r="G277" cm="1">
        <f t="array" ref="G277">rho_call(E277,A277,0.2,B277,D277,C277)</f>
        <v>3.8739383761510222</v>
      </c>
      <c r="H277" cm="1">
        <f t="array" ref="H277">rho_call(E277,A277,0.3,B277,D277,C277)</f>
        <v>6.6362600639307114</v>
      </c>
      <c r="I277" cm="1">
        <f t="array" ref="I277">rho_call(E277,A277,0.4,B277,D277,C277)</f>
        <v>9.4376264733781898</v>
      </c>
      <c r="J277" cm="1">
        <f t="array" ref="J277">rho_call(E277,A277,0.5,B277,D277,C277)</f>
        <v>12.221847438423127</v>
      </c>
      <c r="K277" cm="1">
        <f t="array" ref="K277">rho_call(E277,A277,0.6,B277,D277,C277)</f>
        <v>14.965435327465926</v>
      </c>
      <c r="L277" cm="1">
        <f t="array" ref="L277">rho_call(E277,A277,0.7,B277,D277,C277)</f>
        <v>17.657435377715125</v>
      </c>
      <c r="M277" cm="1">
        <f t="array" ref="M277">rho_call(E277,A277,0.8,B277,D277,C277)</f>
        <v>20.292605861246088</v>
      </c>
      <c r="N277" cm="1">
        <f t="array" ref="N277">rho_call(E277,A277,0.9,B277,D277,C277)</f>
        <v>22.868603734151179</v>
      </c>
      <c r="O277" cm="1">
        <f t="array" ref="O277">rho_call(E277,A277,1,B277,D277,C277)</f>
        <v>25.384662917763606</v>
      </c>
      <c r="P277" cm="1">
        <f t="array" ref="P277">rho_call(E277,A277,2,B277,D277,C277)</f>
        <v>47.423428124440491</v>
      </c>
      <c r="Q277" cm="1">
        <f t="array" ref="Q277">rho_call(E277,A277,3,B277,D277,C277)</f>
        <v>64.626144181993737</v>
      </c>
      <c r="R277" cm="1">
        <f t="array" ref="R277">rho_call(E277,A277,4,B277,D277,C277)</f>
        <v>78.030921266012996</v>
      </c>
      <c r="S277" cm="1">
        <f t="array" ref="S277">rho_call(E277,A277,5,B277,D277,C277)</f>
        <v>88.399663833411893</v>
      </c>
    </row>
    <row r="278" spans="1:19" x14ac:dyDescent="0.3">
      <c r="A278">
        <v>100</v>
      </c>
      <c r="B278">
        <f t="shared" si="14"/>
        <v>0.01</v>
      </c>
      <c r="C278">
        <v>0.7</v>
      </c>
      <c r="D278">
        <v>0</v>
      </c>
      <c r="E278" s="5">
        <v>85</v>
      </c>
      <c r="F278" cm="1">
        <f t="array" ref="F278">rho_call(E278,A278,0.1,B278,D278,C278)</f>
        <v>2.0015642932106616</v>
      </c>
      <c r="G278" cm="1">
        <f t="array" ref="G278">rho_call(E278,A278,0.2,B278,D278,C278)</f>
        <v>5.023089186370906</v>
      </c>
      <c r="H278" cm="1">
        <f t="array" ref="H278">rho_call(E278,A278,0.3,B278,D278,C278)</f>
        <v>8.1257801159640444</v>
      </c>
      <c r="I278" cm="1">
        <f t="array" ref="I278">rho_call(E278,A278,0.4,B278,D278,C278)</f>
        <v>11.201259254743762</v>
      </c>
      <c r="J278" cm="1">
        <f t="array" ref="J278">rho_call(E278,A278,0.5,B278,D278,C278)</f>
        <v>14.218271694061071</v>
      </c>
      <c r="K278" cm="1">
        <f t="array" ref="K278">rho_call(E278,A278,0.6,B278,D278,C278)</f>
        <v>17.165720072380644</v>
      </c>
      <c r="L278" cm="1">
        <f t="array" ref="L278">rho_call(E278,A278,0.7,B278,D278,C278)</f>
        <v>20.039825103371282</v>
      </c>
      <c r="M278" cm="1">
        <f t="array" ref="M278">rho_call(E278,A278,0.8,B278,D278,C278)</f>
        <v>22.83993188664768</v>
      </c>
      <c r="N278" cm="1">
        <f t="array" ref="N278">rho_call(E278,A278,0.9,B278,D278,C278)</f>
        <v>25.566838932096445</v>
      </c>
      <c r="O278" cm="1">
        <f t="array" ref="O278">rho_call(E278,A278,1,B278,D278,C278)</f>
        <v>28.222044305936027</v>
      </c>
      <c r="P278" cm="1">
        <f t="array" ref="P278">rho_call(E278,A278,2,B278,D278,C278)</f>
        <v>51.250821797131835</v>
      </c>
      <c r="Q278" cm="1">
        <f t="array" ref="Q278">rho_call(E278,A278,3,B278,D278,C278)</f>
        <v>69.040789657458802</v>
      </c>
      <c r="R278" cm="1">
        <f t="array" ref="R278">rho_call(E278,A278,4,B278,D278,C278)</f>
        <v>82.81645946710475</v>
      </c>
      <c r="S278" cm="1">
        <f t="array" ref="S278">rho_call(E278,A278,5,B278,D278,C278)</f>
        <v>93.416139204591616</v>
      </c>
    </row>
    <row r="279" spans="1:19" x14ac:dyDescent="0.3">
      <c r="A279">
        <v>100</v>
      </c>
      <c r="B279">
        <f t="shared" si="14"/>
        <v>0.01</v>
      </c>
      <c r="C279">
        <v>0.7</v>
      </c>
      <c r="D279">
        <v>0</v>
      </c>
      <c r="E279" s="5">
        <v>90</v>
      </c>
      <c r="F279" cm="1">
        <f t="array" ref="F279">rho_call(E279,A279,0.1,B279,D279,C279)</f>
        <v>2.7995862869429593</v>
      </c>
      <c r="G279" cm="1">
        <f t="array" ref="G279">rho_call(E279,A279,0.2,B279,D279,C279)</f>
        <v>6.2522080141618313</v>
      </c>
      <c r="H279" cm="1">
        <f t="array" ref="H279">rho_call(E279,A279,0.3,B279,D279,C279)</f>
        <v>9.6679138510541627</v>
      </c>
      <c r="I279" cm="1">
        <f t="array" ref="I279">rho_call(E279,A279,0.4,B279,D279,C279)</f>
        <v>12.997651023175871</v>
      </c>
      <c r="J279" cm="1">
        <f t="array" ref="J279">rho_call(E279,A279,0.5,B279,D279,C279)</f>
        <v>16.23195952584193</v>
      </c>
      <c r="K279" cm="1">
        <f t="array" ref="K279">rho_call(E279,A279,0.6,B279,D279,C279)</f>
        <v>19.370579170822623</v>
      </c>
      <c r="L279" cm="1">
        <f t="array" ref="L279">rho_call(E279,A279,0.7,B279,D279,C279)</f>
        <v>22.416048566631435</v>
      </c>
      <c r="M279" cm="1">
        <f t="array" ref="M279">rho_call(E279,A279,0.8,B279,D279,C279)</f>
        <v>25.371781799277056</v>
      </c>
      <c r="N279" cm="1">
        <f t="array" ref="N279">rho_call(E279,A279,0.9,B279,D279,C279)</f>
        <v>28.241384068164201</v>
      </c>
      <c r="O279" cm="1">
        <f t="array" ref="O279">rho_call(E279,A279,1,B279,D279,C279)</f>
        <v>31.028389198248284</v>
      </c>
      <c r="P279" cm="1">
        <f t="array" ref="P279">rho_call(E279,A279,2,B279,D279,C279)</f>
        <v>54.999378331561111</v>
      </c>
      <c r="Q279" cm="1">
        <f t="array" ref="Q279">rho_call(E279,A279,3,B279,D279,C279)</f>
        <v>73.350373266500185</v>
      </c>
      <c r="R279" cm="1">
        <f t="array" ref="R279">rho_call(E279,A279,4,B279,D279,C279)</f>
        <v>87.48046886377584</v>
      </c>
      <c r="S279" cm="1">
        <f t="array" ref="S279">rho_call(E279,A279,5,B279,D279,C279)</f>
        <v>98.300421595448086</v>
      </c>
    </row>
    <row r="280" spans="1:19" x14ac:dyDescent="0.3">
      <c r="A280">
        <v>100</v>
      </c>
      <c r="B280">
        <f t="shared" si="14"/>
        <v>0.01</v>
      </c>
      <c r="C280">
        <v>0.7</v>
      </c>
      <c r="D280">
        <v>0</v>
      </c>
      <c r="E280" s="5">
        <v>95</v>
      </c>
      <c r="F280" cm="1">
        <f t="array" ref="F280">rho_call(E280,A280,0.1,B280,D280,C280)</f>
        <v>3.6735864096645057</v>
      </c>
      <c r="G280" cm="1">
        <f t="array" ref="G280">rho_call(E280,A280,0.2,B280,D280,C280)</f>
        <v>7.5202580272342248</v>
      </c>
      <c r="H280" cm="1">
        <f t="array" ref="H280">rho_call(E280,A280,0.3,B280,D280,C280)</f>
        <v>11.227391955753525</v>
      </c>
      <c r="I280" cm="1">
        <f t="array" ref="I280">rho_call(E280,A280,0.4,B280,D280,C280)</f>
        <v>14.796146279493332</v>
      </c>
      <c r="J280" cm="1">
        <f t="array" ref="J280">rho_call(E280,A280,0.5,B280,D280,C280)</f>
        <v>18.235919043017915</v>
      </c>
      <c r="K280" cm="1">
        <f t="array" ref="K280">rho_call(E280,A280,0.6,B280,D280,C280)</f>
        <v>21.556003771217657</v>
      </c>
      <c r="L280" cm="1">
        <f t="array" ref="L280">rho_call(E280,A280,0.7,B280,D280,C280)</f>
        <v>24.764587143476923</v>
      </c>
      <c r="M280" cm="1">
        <f t="array" ref="M280">rho_call(E280,A280,0.8,B280,D280,C280)</f>
        <v>27.868759832719427</v>
      </c>
      <c r="N280" cm="1">
        <f t="array" ref="N280">rho_call(E280,A280,0.9,B280,D280,C280)</f>
        <v>30.874684350710879</v>
      </c>
      <c r="O280" cm="1">
        <f t="array" ref="O280">rho_call(E280,A280,1,B280,D280,C280)</f>
        <v>33.78776190598218</v>
      </c>
      <c r="P280" cm="1">
        <f t="array" ref="P280">rho_call(E280,A280,2,B280,D280,C280)</f>
        <v>58.663056778645405</v>
      </c>
      <c r="Q280" cm="1">
        <f t="array" ref="Q280">rho_call(E280,A280,3,B280,D280,C280)</f>
        <v>77.553923508347836</v>
      </c>
      <c r="R280" cm="1">
        <f t="array" ref="R280">rho_call(E280,A280,4,B280,D280,C280)</f>
        <v>92.025157227623112</v>
      </c>
      <c r="S280" cm="1">
        <f t="array" ref="S280">rho_call(E280,A280,5,B280,D280,C280)</f>
        <v>103.05687988122685</v>
      </c>
    </row>
    <row r="281" spans="1:19" x14ac:dyDescent="0.3">
      <c r="A281">
        <v>100</v>
      </c>
      <c r="B281">
        <f t="shared" si="14"/>
        <v>0.01</v>
      </c>
      <c r="C281">
        <v>0.7</v>
      </c>
      <c r="D281">
        <v>0</v>
      </c>
      <c r="E281" s="5">
        <v>100</v>
      </c>
      <c r="F281" cm="1">
        <f t="array" ref="F281">rho_call(E281,A281,0.1,B281,D281,C281)</f>
        <v>4.5726934116265587</v>
      </c>
      <c r="G281" cm="1">
        <f t="array" ref="G281">rho_call(E281,A281,0.2,B281,D281,C281)</f>
        <v>8.7889776917006763</v>
      </c>
      <c r="H281" cm="1">
        <f t="array" ref="H281">rho_call(E281,A281,0.3,B281,D281,C281)</f>
        <v>12.773256772937067</v>
      </c>
      <c r="I281" cm="1">
        <f t="array" ref="I281">rho_call(E281,A281,0.4,B281,D281,C281)</f>
        <v>16.570664486289598</v>
      </c>
      <c r="J281" cm="1">
        <f t="array" ref="J281">rho_call(E281,A281,0.5,B281,D281,C281)</f>
        <v>20.20764544779022</v>
      </c>
      <c r="K281" cm="1">
        <f t="array" ref="K281">rho_call(E281,A281,0.6,B281,D281,C281)</f>
        <v>23.702273139255801</v>
      </c>
      <c r="L281" cm="1">
        <f t="array" ref="L281">rho_call(E281,A281,0.7,B281,D281,C281)</f>
        <v>27.067979144855325</v>
      </c>
      <c r="M281" cm="1">
        <f t="array" ref="M281">rho_call(E281,A281,0.8,B281,D281,C281)</f>
        <v>30.315292980256306</v>
      </c>
      <c r="N281" cm="1">
        <f t="array" ref="N281">rho_call(E281,A281,0.9,B281,D281,C281)</f>
        <v>33.452781834166728</v>
      </c>
      <c r="O281" cm="1">
        <f t="array" ref="O281">rho_call(E281,A281,1,B281,D281,C281)</f>
        <v>36.48761002291878</v>
      </c>
      <c r="P281" cm="1">
        <f t="array" ref="P281">rho_call(E281,A281,2,B281,D281,C281)</f>
        <v>62.237686256662478</v>
      </c>
      <c r="Q281" cm="1">
        <f t="array" ref="Q281">rho_call(E281,A281,3,B281,D281,C281)</f>
        <v>81.651477590736761</v>
      </c>
      <c r="R281" cm="1">
        <f t="array" ref="R281">rho_call(E281,A281,4,B281,D281,C281)</f>
        <v>96.453180749665023</v>
      </c>
      <c r="S281" cm="1">
        <f t="array" ref="S281">rho_call(E281,A281,5,B281,D281,C281)</f>
        <v>107.68993973140061</v>
      </c>
    </row>
    <row r="282" spans="1:19" x14ac:dyDescent="0.3">
      <c r="A282">
        <v>100</v>
      </c>
      <c r="B282">
        <f t="shared" si="14"/>
        <v>0.01</v>
      </c>
      <c r="C282">
        <v>0.7</v>
      </c>
      <c r="D282">
        <v>0</v>
      </c>
      <c r="E282" s="5">
        <v>105</v>
      </c>
      <c r="F282" cm="1">
        <f t="array" ref="F282">rho_call(E282,A282,0.1,B282,D282,C282)</f>
        <v>5.4493471306727219</v>
      </c>
      <c r="G282" cm="1">
        <f t="array" ref="G282">rho_call(E282,A282,0.2,B282,D282,C282)</f>
        <v>10.025555362783129</v>
      </c>
      <c r="H282" cm="1">
        <f t="array" ref="H282">rho_call(E282,A282,0.3,B282,D282,C282)</f>
        <v>14.27977126747426</v>
      </c>
      <c r="I282" cm="1">
        <f t="array" ref="I282">rho_call(E282,A282,0.4,B282,D282,C282)</f>
        <v>18.299904381168947</v>
      </c>
      <c r="J282" cm="1">
        <f t="array" ref="J282">rho_call(E282,A282,0.5,B282,D282,C282)</f>
        <v>22.128989827205015</v>
      </c>
      <c r="K282" cm="1">
        <f t="array" ref="K282">rho_call(E282,A282,0.6,B282,D282,C282)</f>
        <v>25.793648396515209</v>
      </c>
      <c r="L282" cm="1">
        <f t="array" ref="L282">rho_call(E282,A282,0.7,B282,D282,C282)</f>
        <v>29.312418412897678</v>
      </c>
      <c r="M282" cm="1">
        <f t="array" ref="M282">rho_call(E282,A282,0.8,B282,D282,C282)</f>
        <v>32.699178006209102</v>
      </c>
      <c r="N282" cm="1">
        <f t="array" ref="N282">rho_call(E282,A282,0.9,B282,D282,C282)</f>
        <v>35.964836130361554</v>
      </c>
      <c r="O282" cm="1">
        <f t="array" ref="O282">rho_call(E282,A282,1,B282,D282,C282)</f>
        <v>39.118274184144269</v>
      </c>
      <c r="P282" cm="1">
        <f t="array" ref="P282">rho_call(E282,A282,2,B282,D282,C282)</f>
        <v>65.720584978117571</v>
      </c>
      <c r="Q282" cm="1">
        <f t="array" ref="Q282">rho_call(E282,A282,3,B282,D282,C282)</f>
        <v>85.64383197290185</v>
      </c>
      <c r="R282" cm="1">
        <f t="array" ref="R282">rho_call(E282,A282,4,B282,D282,C282)</f>
        <v>100.76749322916845</v>
      </c>
      <c r="S282" cm="1">
        <f t="array" ref="S282">rho_call(E282,A282,5,B282,D282,C282)</f>
        <v>112.20400631816912</v>
      </c>
    </row>
    <row r="283" spans="1:19" x14ac:dyDescent="0.3">
      <c r="A283">
        <v>100</v>
      </c>
      <c r="B283">
        <f t="shared" si="14"/>
        <v>0.01</v>
      </c>
      <c r="C283">
        <v>0.7</v>
      </c>
      <c r="D283">
        <v>0</v>
      </c>
      <c r="E283" s="5">
        <v>110</v>
      </c>
      <c r="F283" cm="1">
        <f t="array" ref="F283">rho_call(E283,A283,0.1,B283,D283,C283)</f>
        <v>6.265575346159638</v>
      </c>
      <c r="G283" cm="1">
        <f t="array" ref="G283">rho_call(E283,A283,0.2,B283,D283,C283)</f>
        <v>11.204004811943674</v>
      </c>
      <c r="H283" cm="1">
        <f t="array" ref="H283">rho_call(E283,A283,0.3,B283,D283,C283)</f>
        <v>15.726675346433295</v>
      </c>
      <c r="I283" cm="1">
        <f t="array" ref="I283">rho_call(E283,A283,0.4,B283,D283,C283)</f>
        <v>19.967196299018099</v>
      </c>
      <c r="J283" cm="1">
        <f t="array" ref="J283">rho_call(E283,A283,0.5,B283,D283,C283)</f>
        <v>23.985836689539273</v>
      </c>
      <c r="K283" cm="1">
        <f t="array" ref="K283">rho_call(E283,A283,0.6,B283,D283,C283)</f>
        <v>27.817969308751401</v>
      </c>
      <c r="L283" cm="1">
        <f t="array" ref="L283">rho_call(E283,A283,0.7,B283,D283,C283)</f>
        <v>31.487314865504295</v>
      </c>
      <c r="M283" cm="1">
        <f t="array" ref="M283">rho_call(E283,A283,0.8,B283,D283,C283)</f>
        <v>35.011128792061939</v>
      </c>
      <c r="N283" cm="1">
        <f t="array" ref="N283">rho_call(E283,A283,0.9,B283,D283,C283)</f>
        <v>38.402671196310934</v>
      </c>
      <c r="O283" cm="1">
        <f t="array" ref="O283">rho_call(E283,A283,1,B283,D283,C283)</f>
        <v>41.672541468251289</v>
      </c>
      <c r="P283" cm="1">
        <f t="array" ref="P283">rho_call(E283,A283,2,B283,D283,C283)</f>
        <v>69.110254527174575</v>
      </c>
      <c r="Q283" cm="1">
        <f t="array" ref="Q283">rho_call(E283,A283,3,B283,D283,C283)</f>
        <v>89.532350840324654</v>
      </c>
      <c r="R283" cm="1">
        <f t="array" ref="R283">rho_call(E283,A283,4,B283,D283,C283)</f>
        <v>104.97123512972533</v>
      </c>
      <c r="S283" cm="1">
        <f t="array" ref="S283">rho_call(E283,A283,5,B283,D283,C283)</f>
        <v>116.60341193056389</v>
      </c>
    </row>
    <row r="284" spans="1:19" x14ac:dyDescent="0.3">
      <c r="A284">
        <v>100</v>
      </c>
      <c r="B284">
        <f t="shared" si="14"/>
        <v>0.01</v>
      </c>
      <c r="C284">
        <v>0.7</v>
      </c>
      <c r="D284">
        <v>0</v>
      </c>
      <c r="E284" s="5">
        <v>115</v>
      </c>
      <c r="F284" cm="1">
        <f t="array" ref="F284">rho_call(E284,A284,0.1,B284,D284,C284)</f>
        <v>6.9958421097670866</v>
      </c>
      <c r="G284" cm="1">
        <f t="array" ref="G284">rho_call(E284,A284,0.2,B284,D284,C284)</f>
        <v>12.305485544371027</v>
      </c>
      <c r="H284" cm="1">
        <f t="array" ref="H284">rho_call(E284,A284,0.3,B284,D284,C284)</f>
        <v>17.098981792999101</v>
      </c>
      <c r="I284" cm="1">
        <f t="array" ref="I284">rho_call(E284,A284,0.4,B284,D284,C284)</f>
        <v>21.560131951026467</v>
      </c>
      <c r="J284" cm="1">
        <f t="array" ref="J284">rho_call(E284,A284,0.5,B284,D284,C284)</f>
        <v>25.767676330131088</v>
      </c>
      <c r="K284" cm="1">
        <f t="array" ref="K284">rho_call(E284,A284,0.6,B284,D284,C284)</f>
        <v>29.766211090686422</v>
      </c>
      <c r="L284" cm="1">
        <f t="array" ref="L284">rho_call(E284,A284,0.7,B284,D284,C284)</f>
        <v>33.584853996011248</v>
      </c>
      <c r="M284" cm="1">
        <f t="array" ref="M284">rho_call(E284,A284,0.8,B284,D284,C284)</f>
        <v>37.24434698986191</v>
      </c>
      <c r="N284" cm="1">
        <f t="array" ref="N284">rho_call(E284,A284,0.9,B284,D284,C284)</f>
        <v>40.760361079300786</v>
      </c>
      <c r="O284" cm="1">
        <f t="array" ref="O284">rho_call(E284,A284,1,B284,D284,C284)</f>
        <v>44.145247933843102</v>
      </c>
      <c r="P284" cm="1">
        <f t="array" ref="P284">rho_call(E284,A284,2,B284,D284,C284)</f>
        <v>72.406134141261475</v>
      </c>
      <c r="Q284" cm="1">
        <f t="array" ref="Q284">rho_call(E284,A284,3,B284,D284,C284)</f>
        <v>93.31881840919614</v>
      </c>
      <c r="R284" cm="1">
        <f t="array" ref="R284">rho_call(E284,A284,4,B284,D284,C284)</f>
        <v>109.06765181099573</v>
      </c>
      <c r="S284" cm="1">
        <f t="array" ref="S284">rho_call(E284,A284,5,B284,D284,C284)</f>
        <v>120.89238111503441</v>
      </c>
    </row>
    <row r="285" spans="1:19" x14ac:dyDescent="0.3">
      <c r="A285">
        <v>100</v>
      </c>
      <c r="B285">
        <f t="shared" si="14"/>
        <v>0.01</v>
      </c>
      <c r="C285">
        <v>0.7</v>
      </c>
      <c r="D285">
        <v>0</v>
      </c>
      <c r="E285" s="5">
        <v>120</v>
      </c>
      <c r="F285" cm="1">
        <f t="array" ref="F285">rho_call(E285,A285,0.1,B285,D285,C285)</f>
        <v>7.6269875334723949</v>
      </c>
      <c r="G285" cm="1">
        <f t="array" ref="G285">rho_call(E285,A285,0.2,B285,D285,C285)</f>
        <v>13.317877399434112</v>
      </c>
      <c r="H285" cm="1">
        <f t="array" ref="H285">rho_call(E285,A285,0.3,B285,D285,C285)</f>
        <v>18.386481738273588</v>
      </c>
      <c r="I285" cm="1">
        <f t="array" ref="I285">rho_call(E285,A285,0.4,B285,D285,C285)</f>
        <v>23.070071713161305</v>
      </c>
      <c r="J285" cm="1">
        <f t="array" ref="J285">rho_call(E285,A285,0.5,B285,D285,C285)</f>
        <v>27.46713323992061</v>
      </c>
      <c r="K285" cm="1">
        <f t="array" ref="K285">rho_call(E285,A285,0.6,B285,D285,C285)</f>
        <v>31.632038949082116</v>
      </c>
      <c r="L285" cm="1">
        <f t="array" ref="L285">rho_call(E285,A285,0.7,B285,D285,C285)</f>
        <v>35.599577949676515</v>
      </c>
      <c r="M285" cm="1">
        <f t="array" ref="M285">rho_call(E285,A285,0.8,B285,D285,C285)</f>
        <v>39.3941284610816</v>
      </c>
      <c r="N285" cm="1">
        <f t="array" ref="N285">rho_call(E285,A285,0.9,B285,D285,C285)</f>
        <v>43.033860060424495</v>
      </c>
      <c r="O285" cm="1">
        <f t="array" ref="O285">rho_call(E285,A285,1,B285,D285,C285)</f>
        <v>46.532930733962495</v>
      </c>
      <c r="P285" cm="1">
        <f t="array" ref="P285">rho_call(E285,A285,2,B285,D285,C285)</f>
        <v>75.608402918803634</v>
      </c>
      <c r="Q285" cm="1">
        <f t="array" ref="Q285">rho_call(E285,A285,3,B285,D285,C285)</f>
        <v>97.00532463462234</v>
      </c>
      <c r="R285" cm="1">
        <f t="array" ref="R285">rho_call(E285,A285,4,B285,D285,C285)</f>
        <v>113.06003328621154</v>
      </c>
      <c r="S285" cm="1">
        <f t="array" ref="S285">rho_call(E285,A285,5,B285,D285,C285)</f>
        <v>125.07500821452059</v>
      </c>
    </row>
    <row r="286" spans="1:19" x14ac:dyDescent="0.3">
      <c r="A286">
        <v>100</v>
      </c>
      <c r="B286">
        <f t="shared" si="14"/>
        <v>0.01</v>
      </c>
      <c r="C286">
        <v>0.7</v>
      </c>
      <c r="D286">
        <v>0</v>
      </c>
      <c r="E286" s="5">
        <v>125</v>
      </c>
      <c r="F286" cm="1">
        <f t="array" ref="F286">rho_call(E286,A286,0.1,B286,D286,C286)</f>
        <v>8.1562833898178528</v>
      </c>
      <c r="G286" cm="1">
        <f t="array" ref="G286">rho_call(E286,A286,0.2,B286,D286,C286)</f>
        <v>14.234905096795366</v>
      </c>
      <c r="H286" cm="1">
        <f t="array" ref="H286">rho_call(E286,A286,0.3,B286,D286,C286)</f>
        <v>19.583095288250583</v>
      </c>
      <c r="I286" cm="1">
        <f t="array" ref="I286">rho_call(E286,A286,0.4,B286,D286,C286)</f>
        <v>24.49160205945125</v>
      </c>
      <c r="J286" cm="1">
        <f t="array" ref="J286">rho_call(E286,A286,0.5,B286,D286,C286)</f>
        <v>29.079491847984695</v>
      </c>
      <c r="K286" cm="1">
        <f t="array" ref="K286">rho_call(E286,A286,0.6,B286,D286,C286)</f>
        <v>33.411383910228807</v>
      </c>
      <c r="L286" cm="1">
        <f t="array" ref="L286">rho_call(E286,A286,0.7,B286,D286,C286)</f>
        <v>37.528000831757829</v>
      </c>
      <c r="M286" cm="1">
        <f t="array" ref="M286">rho_call(E286,A286,0.8,B286,D286,C286)</f>
        <v>41.457511099340373</v>
      </c>
      <c r="N286" cm="1">
        <f t="array" ref="N286">rho_call(E286,A286,0.9,B286,D286,C286)</f>
        <v>45.220678049520814</v>
      </c>
      <c r="O286" cm="1">
        <f t="array" ref="O286">rho_call(E286,A286,1,B286,D286,C286)</f>
        <v>48.833527387550049</v>
      </c>
      <c r="P286" cm="1">
        <f t="array" ref="P286">rho_call(E286,A286,2,B286,D286,C286)</f>
        <v>78.717820386276159</v>
      </c>
      <c r="Q286" cm="1">
        <f t="array" ref="Q286">rho_call(E286,A286,3,B286,D286,C286)</f>
        <v>100.59417654514003</v>
      </c>
      <c r="R286" cm="1">
        <f t="array" ref="R286">rho_call(E286,A286,4,B286,D286,C286)</f>
        <v>116.95166997179979</v>
      </c>
      <c r="S286" cm="1">
        <f t="array" ref="S286">rho_call(E286,A286,5,B286,D286,C286)</f>
        <v>129.15524370433999</v>
      </c>
    </row>
    <row r="287" spans="1:19" x14ac:dyDescent="0.3">
      <c r="A287">
        <v>100</v>
      </c>
      <c r="B287">
        <f t="shared" si="14"/>
        <v>0.01</v>
      </c>
      <c r="C287">
        <v>0.7</v>
      </c>
      <c r="D287">
        <v>0</v>
      </c>
      <c r="E287" s="5">
        <v>130</v>
      </c>
      <c r="F287" cm="1">
        <f t="array" ref="F287">rho_call(E287,A287,0.1,B287,D287,C287)</f>
        <v>8.5886439510280397</v>
      </c>
      <c r="G287" cm="1">
        <f t="array" ref="G287">rho_call(E287,A287,0.2,B287,D287,C287)</f>
        <v>15.055054279654044</v>
      </c>
      <c r="H287" cm="1">
        <f t="array" ref="H287">rho_call(E287,A287,0.3,B287,D287,C287)</f>
        <v>20.686167047609985</v>
      </c>
      <c r="I287" cm="1">
        <f t="array" ref="I287">rho_call(E287,A287,0.4,B287,D287,C287)</f>
        <v>25.82199270405842</v>
      </c>
      <c r="J287" cm="1">
        <f t="array" ref="J287">rho_call(E287,A287,0.5,B287,D287,C287)</f>
        <v>30.602245739510529</v>
      </c>
      <c r="K287" cm="1">
        <f t="array" ref="K287">rho_call(E287,A287,0.6,B287,D287,C287)</f>
        <v>35.102053395334487</v>
      </c>
      <c r="L287" cm="1">
        <f t="array" ref="L287">rho_call(E287,A287,0.7,B287,D287,C287)</f>
        <v>39.368264200870847</v>
      </c>
      <c r="M287" cm="1">
        <f t="array" ref="M287">rho_call(E287,A287,0.8,B287,D287,C287)</f>
        <v>43.43296527393111</v>
      </c>
      <c r="N287" cm="1">
        <f t="array" ref="N287">rho_call(E287,A287,0.9,B287,D287,C287)</f>
        <v>47.319599389092645</v>
      </c>
      <c r="O287" cm="1">
        <f t="array" ref="O287">rho_call(E287,A287,1,B287,D287,C287)</f>
        <v>51.046118305165173</v>
      </c>
      <c r="P287" cm="1">
        <f t="array" ref="P287">rho_call(E287,A287,2,B287,D287,C287)</f>
        <v>81.735597838674209</v>
      </c>
      <c r="Q287" cm="1">
        <f t="array" ref="Q287">rho_call(E287,A287,3,B287,D287,C287)</f>
        <v>104.08782935373287</v>
      </c>
      <c r="R287" cm="1">
        <f t="array" ref="R287">rho_call(E287,A287,4,B287,D287,C287)</f>
        <v>120.74582038692395</v>
      </c>
      <c r="S287" cm="1">
        <f t="array" ref="S287">rho_call(E287,A287,5,B287,D287,C287)</f>
        <v>133.13688677209737</v>
      </c>
    </row>
    <row r="288" spans="1:19" x14ac:dyDescent="0.3">
      <c r="A288">
        <v>100</v>
      </c>
      <c r="B288">
        <f t="shared" si="14"/>
        <v>0.01</v>
      </c>
      <c r="C288">
        <v>0.7</v>
      </c>
      <c r="D288">
        <v>0</v>
      </c>
      <c r="E288" s="5">
        <v>135</v>
      </c>
      <c r="F288" cm="1">
        <f t="array" ref="F288">rho_call(E288,A288,0.1,B288,D288,C288)</f>
        <v>8.9337823875208997</v>
      </c>
      <c r="G288" cm="1">
        <f t="array" ref="G288">rho_call(E288,A288,0.2,B288,D288,C288)</f>
        <v>15.780454043089298</v>
      </c>
      <c r="H288" cm="1">
        <f t="array" ref="H288">rho_call(E288,A288,0.3,B288,D288,C288)</f>
        <v>21.695774297526011</v>
      </c>
      <c r="I288" cm="1">
        <f t="array" ref="I288">rho_call(E288,A288,0.4,B288,D288,C288)</f>
        <v>27.060684890117962</v>
      </c>
      <c r="J288" cm="1">
        <f t="array" ref="J288">rho_call(E288,A288,0.5,B288,D288,C288)</f>
        <v>32.034685446650627</v>
      </c>
      <c r="K288" cm="1">
        <f t="array" ref="K288">rho_call(E288,A288,0.6,B288,D288,C288)</f>
        <v>36.703383072571974</v>
      </c>
      <c r="L288" cm="1">
        <f t="array" ref="L288">rho_call(E288,A288,0.7,B288,D288,C288)</f>
        <v>41.119834348114566</v>
      </c>
      <c r="M288" cm="1">
        <f t="array" ref="M288">rho_call(E288,A288,0.8,B288,D288,C288)</f>
        <v>45.320125489851364</v>
      </c>
      <c r="N288" cm="1">
        <f t="array" ref="N288">rho_call(E288,A288,0.9,B288,D288,C288)</f>
        <v>49.330441763489233</v>
      </c>
      <c r="O288" cm="1">
        <f t="array" ref="O288">rho_call(E288,A288,1,B288,D288,C288)</f>
        <v>53.170708041326641</v>
      </c>
      <c r="P288" cm="1">
        <f t="array" ref="P288">rho_call(E288,A288,2,B288,D288,C288)</f>
        <v>84.663294427122636</v>
      </c>
      <c r="Q288" cm="1">
        <f t="array" ref="Q288">rho_call(E288,A288,3,B288,D288,C288)</f>
        <v>107.48883291176864</v>
      </c>
      <c r="R288" cm="1">
        <f t="array" ref="R288">rho_call(E288,A288,4,B288,D288,C288)</f>
        <v>124.44568782417292</v>
      </c>
      <c r="S288" cm="1">
        <f t="array" ref="S288">rho_call(E288,A288,5,B288,D288,C288)</f>
        <v>137.02358231829956</v>
      </c>
    </row>
    <row r="289" spans="1:19" x14ac:dyDescent="0.3">
      <c r="A289">
        <v>100</v>
      </c>
      <c r="B289">
        <f t="shared" si="14"/>
        <v>0.01</v>
      </c>
      <c r="C289">
        <v>0.7</v>
      </c>
      <c r="D289">
        <v>0</v>
      </c>
      <c r="E289" s="5">
        <v>140</v>
      </c>
      <c r="F289" cm="1">
        <f t="array" ref="F289">rho_call(E289,A289,0.1,B289,D289,C289)</f>
        <v>9.2037830790934709</v>
      </c>
      <c r="G289" cm="1">
        <f t="array" ref="G289">rho_call(E289,A289,0.2,B289,D289,C289)</f>
        <v>16.415838361530223</v>
      </c>
      <c r="H289" cm="1">
        <f t="array" ref="H289">rho_call(E289,A289,0.3,B289,D289,C289)</f>
        <v>22.614089699400331</v>
      </c>
      <c r="I289" cm="1">
        <f t="array" ref="I289">rho_call(E289,A289,0.4,B289,D289,C289)</f>
        <v>28.208828766766189</v>
      </c>
      <c r="J289" cm="1">
        <f t="array" ref="J289">rho_call(E289,A289,0.5,B289,D289,C289)</f>
        <v>33.377532167740945</v>
      </c>
      <c r="K289" cm="1">
        <f t="array" ref="K289">rho_call(E289,A289,0.6,B289,D289,C289)</f>
        <v>38.2159319167151</v>
      </c>
      <c r="L289" cm="1">
        <f t="array" ref="L289">rho_call(E289,A289,0.7,B289,D289,C289)</f>
        <v>42.783240258040586</v>
      </c>
      <c r="M289" cm="1">
        <f t="array" ref="M289">rho_call(E289,A289,0.8,B289,D289,C289)</f>
        <v>47.119560371028975</v>
      </c>
      <c r="N289" cm="1">
        <f t="array" ref="N289">rho_call(E289,A289,0.9,B289,D289,C289)</f>
        <v>51.253851235907469</v>
      </c>
      <c r="O289" cm="1">
        <f t="array" ref="O289">rho_call(E289,A289,1,B289,D289,C289)</f>
        <v>55.20804063617522</v>
      </c>
      <c r="P289" cm="1">
        <f t="array" ref="P289">rho_call(E289,A289,2,B289,D289,C289)</f>
        <v>87.502733195208862</v>
      </c>
      <c r="Q289" cm="1">
        <f t="array" ref="Q289">rho_call(E289,A289,3,B289,D289,C289)</f>
        <v>110.79979012197455</v>
      </c>
      <c r="R289" cm="1">
        <f t="array" ref="R289">rho_call(E289,A289,4,B289,D289,C289)</f>
        <v>128.05440377898594</v>
      </c>
      <c r="S289" cm="1">
        <f t="array" ref="S289">rho_call(E289,A289,5,B289,D289,C289)</f>
        <v>140.81882106716193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D5883-8855-4CE7-9E52-224884984178}">
  <sheetPr codeName="Foglio4"/>
  <dimension ref="A1:AC100"/>
  <sheetViews>
    <sheetView topLeftCell="J58" workbookViewId="0">
      <selection activeCell="S72" sqref="S72"/>
    </sheetView>
  </sheetViews>
  <sheetFormatPr defaultRowHeight="14.4" x14ac:dyDescent="0.3"/>
  <cols>
    <col min="6" max="19" width="12.6640625" bestFit="1" customWidth="1"/>
  </cols>
  <sheetData>
    <row r="1" spans="1:29" s="9" customFormat="1" x14ac:dyDescent="0.3">
      <c r="A1" s="8" t="s">
        <v>27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x14ac:dyDescent="0.3">
      <c r="A2" t="s">
        <v>13</v>
      </c>
      <c r="B2" t="s">
        <v>14</v>
      </c>
      <c r="C2" t="s">
        <v>15</v>
      </c>
      <c r="D2" t="s">
        <v>26</v>
      </c>
      <c r="F2" s="7">
        <v>0.1</v>
      </c>
      <c r="G2" s="7">
        <v>0.2</v>
      </c>
      <c r="H2" s="7">
        <v>0.3</v>
      </c>
      <c r="I2" s="7">
        <v>0.4</v>
      </c>
      <c r="J2" s="7">
        <v>0.5</v>
      </c>
      <c r="K2" s="7">
        <v>0.6</v>
      </c>
      <c r="L2" s="7">
        <v>0.7</v>
      </c>
      <c r="M2" s="7">
        <v>0.8</v>
      </c>
      <c r="N2" s="7">
        <v>0.9</v>
      </c>
      <c r="O2" s="7">
        <v>1</v>
      </c>
      <c r="P2" s="7">
        <v>2</v>
      </c>
      <c r="Q2" s="7">
        <v>3</v>
      </c>
      <c r="R2" s="7">
        <v>4</v>
      </c>
      <c r="S2" s="7">
        <v>5</v>
      </c>
    </row>
    <row r="3" spans="1:29" x14ac:dyDescent="0.3">
      <c r="A3">
        <v>100</v>
      </c>
      <c r="B3">
        <f>1/100</f>
        <v>0.01</v>
      </c>
      <c r="C3">
        <v>0.2</v>
      </c>
      <c r="D3">
        <v>1E-3</v>
      </c>
      <c r="E3" s="5">
        <v>60</v>
      </c>
      <c r="F3" cm="1">
        <f t="array" ref="F3">delta_call(E3,A3,0.1,B3,D3,C3)</f>
        <v>4.833219231207214E-16</v>
      </c>
      <c r="G3" cm="1">
        <f t="array" ref="G3">delta_call(E3,A3,0.2,B3,D3,C3)</f>
        <v>8.1924756420109127E-9</v>
      </c>
      <c r="H3" cm="1">
        <f t="array" ref="H3">delta_call(E3,A3,0.3,B3,D3,C3)</f>
        <v>2.282769631532971E-6</v>
      </c>
      <c r="I3" cm="1">
        <f t="array" ref="I3">delta_call(E3,A3,0.4,B3,D3,C3)</f>
        <v>3.9597875821011554E-5</v>
      </c>
      <c r="J3" cm="1">
        <f t="array" ref="J3">delta_call(E3,A3,0.5,B3,D3,C3)</f>
        <v>2.2431883228609672E-4</v>
      </c>
      <c r="K3" cm="1">
        <f t="array" ref="K3">delta_call(E3,A3,0.6,B3,D3,C3)</f>
        <v>7.2321417725324292E-4</v>
      </c>
      <c r="L3" cm="1">
        <f t="array" ref="L3">delta_call(E3,A3,0.7,B3,D3,C3)</f>
        <v>1.6857308981524611E-3</v>
      </c>
      <c r="M3" cm="1">
        <f t="array" ref="M3">delta_call(E3,A3,0.8,B3,D3,C3)</f>
        <v>3.2036590515106349E-3</v>
      </c>
      <c r="N3" cm="1">
        <f t="array" ref="N3">delta_call(E3,A3,0.9,B3,D3,C3)</f>
        <v>5.3087548664434159E-3</v>
      </c>
      <c r="O3" cm="1">
        <f t="array" ref="O3">delta_call(E3,A3,1,B3,D3,C3)</f>
        <v>7.9873503391243612E-3</v>
      </c>
      <c r="P3" cm="1">
        <f t="array" ref="P3">delta_call(E3,A3,2,B3,D3,C3)</f>
        <v>5.4581364161606971E-2</v>
      </c>
      <c r="Q3" cm="1">
        <f t="array" ref="Q3">delta_call(E3,A3,3,B3,D3,C3)</f>
        <v>0.11024315368038094</v>
      </c>
      <c r="R3" cm="1">
        <f t="array" ref="R3">delta_call(E3,A3,4,B3,D3,C3)</f>
        <v>0.16115968804676797</v>
      </c>
      <c r="S3" cm="1">
        <f t="array" ref="S3">delta_call(E3,A3,5,B3,D3,C3)</f>
        <v>0.20564466559869549</v>
      </c>
    </row>
    <row r="4" spans="1:29" x14ac:dyDescent="0.3">
      <c r="A4">
        <v>100</v>
      </c>
      <c r="B4">
        <f t="shared" ref="B4:B19" si="0">1/100</f>
        <v>0.01</v>
      </c>
      <c r="C4">
        <v>0.2</v>
      </c>
      <c r="D4">
        <v>1E-3</v>
      </c>
      <c r="E4" s="5">
        <v>65</v>
      </c>
      <c r="F4" cm="1">
        <f t="array" ref="F4">delta_call(E4,A4,0.1,B4,D4,C4)</f>
        <v>6.6453521387751581E-12</v>
      </c>
      <c r="G4" cm="1">
        <f t="array" ref="G4">delta_call(E4,A4,0.2,B4,D4,C4)</f>
        <v>1.0095963530293735E-6</v>
      </c>
      <c r="H4" cm="1">
        <f t="array" ref="H4">delta_call(E4,A4,0.3,B4,D4,C4)</f>
        <v>5.8304985107698373E-5</v>
      </c>
      <c r="I4" cm="1">
        <f t="array" ref="I4">delta_call(E4,A4,0.4,B4,D4,C4)</f>
        <v>4.5978555188832507E-4</v>
      </c>
      <c r="J4" cm="1">
        <f t="array" ref="J4">delta_call(E4,A4,0.5,B4,D4,C4)</f>
        <v>1.6214688976387379E-3</v>
      </c>
      <c r="K4" cm="1">
        <f t="array" ref="K4">delta_call(E4,A4,0.6,B4,D4,C4)</f>
        <v>3.8086679954854544E-3</v>
      </c>
      <c r="L4" cm="1">
        <f t="array" ref="L4">delta_call(E4,A4,0.7,B4,D4,C4)</f>
        <v>7.0765016411279899E-3</v>
      </c>
      <c r="M4" cm="1">
        <f t="array" ref="M4">delta_call(E4,A4,0.8,B4,D4,C4)</f>
        <v>1.1340582901559917E-2</v>
      </c>
      <c r="N4" cm="1">
        <f t="array" ref="N4">delta_call(E4,A4,0.9,B4,D4,C4)</f>
        <v>1.6453035771071229E-2</v>
      </c>
      <c r="O4" cm="1">
        <f t="array" ref="O4">delta_call(E4,A4,1,B4,D4,C4)</f>
        <v>2.2250834721320636E-2</v>
      </c>
      <c r="P4" cm="1">
        <f t="array" ref="P4">delta_call(E4,A4,2,B4,D4,C4)</f>
        <v>9.3566739509170826E-2</v>
      </c>
      <c r="Q4" cm="1">
        <f t="array" ref="Q4">delta_call(E4,A4,3,B4,D4,C4)</f>
        <v>0.16001659777147323</v>
      </c>
      <c r="R4" cm="1">
        <f t="array" ref="R4">delta_call(E4,A4,4,B4,D4,C4)</f>
        <v>0.21479254343245519</v>
      </c>
      <c r="S4" cm="1">
        <f t="array" ref="S4">delta_call(E4,A4,5,B4,D4,C4)</f>
        <v>0.26009795267468544</v>
      </c>
    </row>
    <row r="5" spans="1:29" x14ac:dyDescent="0.3">
      <c r="A5">
        <v>100</v>
      </c>
      <c r="B5">
        <f t="shared" si="0"/>
        <v>0.01</v>
      </c>
      <c r="C5">
        <v>0.2</v>
      </c>
      <c r="D5">
        <v>1E-3</v>
      </c>
      <c r="E5" s="5">
        <v>70</v>
      </c>
      <c r="F5" cm="1">
        <f t="array" ref="F5">delta_call(E5,A5,0.1,B5,D5,C5)</f>
        <v>1.1114662296595745E-8</v>
      </c>
      <c r="G5" cm="1">
        <f t="array" ref="G5">delta_call(E5,A5,0.2,B5,D5,C5)</f>
        <v>4.3735782105090158E-5</v>
      </c>
      <c r="H5" cm="1">
        <f t="array" ref="H5">delta_call(E5,A5,0.3,B5,D5,C5)</f>
        <v>7.449358682050859E-4</v>
      </c>
      <c r="I5" cm="1">
        <f t="array" ref="I5">delta_call(E5,A5,0.4,B5,D5,C5)</f>
        <v>3.1841563304711726E-3</v>
      </c>
      <c r="J5" cm="1">
        <f t="array" ref="J5">delta_call(E5,A5,0.5,B5,D5,C5)</f>
        <v>7.7661440143538723E-3</v>
      </c>
      <c r="K5" cm="1">
        <f t="array" ref="K5">delta_call(E5,A5,0.6,B5,D5,C5)</f>
        <v>1.42531887666401E-2</v>
      </c>
      <c r="L5" cm="1">
        <f t="array" ref="L5">delta_call(E5,A5,0.7,B5,D5,C5)</f>
        <v>2.2188164658310208E-2</v>
      </c>
      <c r="M5" cm="1">
        <f t="array" ref="M5">delta_call(E5,A5,0.8,B5,D5,C5)</f>
        <v>3.1123194075213783E-2</v>
      </c>
      <c r="N5" cm="1">
        <f t="array" ref="N5">delta_call(E5,A5,0.9,B5,D5,C5)</f>
        <v>4.069283406966958E-2</v>
      </c>
      <c r="O5" cm="1">
        <f t="array" ref="O5">delta_call(E5,A5,1,B5,D5,C5)</f>
        <v>5.0621128259302012E-2</v>
      </c>
      <c r="P5" cm="1">
        <f t="array" ref="P5">delta_call(E5,A5,2,B5,D5,C5)</f>
        <v>0.14519904033835532</v>
      </c>
      <c r="Q5" cm="1">
        <f t="array" ref="Q5">delta_call(E5,A5,3,B5,D5,C5)</f>
        <v>0.2174882737353846</v>
      </c>
      <c r="R5" cm="1">
        <f t="array" ref="R5">delta_call(E5,A5,4,B5,D5,C5)</f>
        <v>0.27259855481289502</v>
      </c>
      <c r="S5" cm="1">
        <f t="array" ref="S5">delta_call(E5,A5,5,B5,D5,C5)</f>
        <v>0.3164066085651715</v>
      </c>
    </row>
    <row r="6" spans="1:29" x14ac:dyDescent="0.3">
      <c r="A6">
        <v>100</v>
      </c>
      <c r="B6">
        <f t="shared" si="0"/>
        <v>0.01</v>
      </c>
      <c r="C6">
        <v>0.2</v>
      </c>
      <c r="D6">
        <v>1E-3</v>
      </c>
      <c r="E6" s="5">
        <v>75</v>
      </c>
      <c r="F6" cm="1">
        <f t="array" ref="F6">delta_call(E6,A6,0.1,B6,D6,C6)</f>
        <v>3.3528653030748859E-6</v>
      </c>
      <c r="G6" cm="1">
        <f t="array" ref="G6">delta_call(E6,A6,0.2,B6,D6,C6)</f>
        <v>8.119044704301677E-4</v>
      </c>
      <c r="H6" cm="1">
        <f t="array" ref="H6">delta_call(E6,A6,0.3,B6,D6,C6)</f>
        <v>5.4349927554057792E-3</v>
      </c>
      <c r="I6" cm="1">
        <f t="array" ref="I6">delta_call(E6,A6,0.4,B6,D6,C6)</f>
        <v>1.4526075584028351E-2</v>
      </c>
      <c r="J6" cm="1">
        <f t="array" ref="J6">delta_call(E6,A6,0.5,B6,D6,C6)</f>
        <v>2.6685608017103544E-2</v>
      </c>
      <c r="K6" cm="1">
        <f t="array" ref="K6">delta_call(E6,A6,0.6,B6,D6,C6)</f>
        <v>4.0497443961714973E-2</v>
      </c>
      <c r="L6" cm="1">
        <f t="array" ref="L6">delta_call(E6,A6,0.7,B6,D6,C6)</f>
        <v>5.4992604840283961E-2</v>
      </c>
      <c r="M6" cm="1">
        <f t="array" ref="M6">delta_call(E6,A6,0.8,B6,D6,C6)</f>
        <v>6.9581347028098955E-2</v>
      </c>
      <c r="N6" cm="1">
        <f t="array" ref="N6">delta_call(E6,A6,0.9,B6,D6,C6)</f>
        <v>8.3924457935338689E-2</v>
      </c>
      <c r="O6" cm="1">
        <f t="array" ref="O6">delta_call(E6,A6,1,B6,D6,C6)</f>
        <v>9.783669841668266E-2</v>
      </c>
      <c r="P6" cm="1">
        <f t="array" ref="P6">delta_call(E6,A6,2,B6,D6,C6)</f>
        <v>0.20796548096463219</v>
      </c>
      <c r="Q6" cm="1">
        <f t="array" ref="Q6">delta_call(E6,A6,3,B6,D6,C6)</f>
        <v>0.28034459529165096</v>
      </c>
      <c r="R6" cm="1">
        <f t="array" ref="R6">delta_call(E6,A6,4,B6,D6,C6)</f>
        <v>0.33255407611666399</v>
      </c>
      <c r="S6" cm="1">
        <f t="array" ref="S6">delta_call(E6,A6,5,B6,D6,C6)</f>
        <v>0.37297595746519996</v>
      </c>
    </row>
    <row r="7" spans="1:29" x14ac:dyDescent="0.3">
      <c r="A7">
        <v>100</v>
      </c>
      <c r="B7">
        <f t="shared" si="0"/>
        <v>0.01</v>
      </c>
      <c r="C7">
        <v>0.2</v>
      </c>
      <c r="D7">
        <v>1E-3</v>
      </c>
      <c r="E7" s="5">
        <v>80</v>
      </c>
      <c r="F7" cm="1">
        <f t="array" ref="F7">delta_call(E7,A7,0.1,B7,D7,C7)</f>
        <v>2.4848608929178275E-4</v>
      </c>
      <c r="G7" cm="1">
        <f t="array" ref="G7">delta_call(E7,A7,0.2,B7,D7,C7)</f>
        <v>7.5484269964806025E-3</v>
      </c>
      <c r="H7" cm="1">
        <f t="array" ref="H7">delta_call(E7,A7,0.3,B7,D7,C7)</f>
        <v>2.5131363589543165E-2</v>
      </c>
      <c r="I7" cm="1">
        <f t="array" ref="I7">delta_call(E7,A7,0.4,B7,D7,C7)</f>
        <v>4.7203987032543616E-2</v>
      </c>
      <c r="J7" cm="1">
        <f t="array" ref="J7">delta_call(E7,A7,0.5,B7,D7,C7)</f>
        <v>7.0026537580076001E-2</v>
      </c>
      <c r="K7" cm="1">
        <f t="array" ref="K7">delta_call(E7,A7,0.6,B7,D7,C7)</f>
        <v>9.2022441014511069E-2</v>
      </c>
      <c r="L7" cm="1">
        <f t="array" ref="L7">delta_call(E7,A7,0.7,B7,D7,C7)</f>
        <v>0.11263481907077097</v>
      </c>
      <c r="M7" cm="1">
        <f t="array" ref="M7">delta_call(E7,A7,0.8,B7,D7,C7)</f>
        <v>0.13173820150076054</v>
      </c>
      <c r="N7" cm="1">
        <f t="array" ref="N7">delta_call(E7,A7,0.9,B7,D7,C7)</f>
        <v>0.1493816740144083</v>
      </c>
      <c r="O7" cm="1">
        <f t="array" ref="O7">delta_call(E7,A7,1,B7,D7,C7)</f>
        <v>0.16567866202213102</v>
      </c>
      <c r="P7" cm="1">
        <f t="array" ref="P7">delta_call(E7,A7,2,B7,D7,C7)</f>
        <v>0.27909493045421935</v>
      </c>
      <c r="Q7" cm="1">
        <f t="array" ref="Q7">delta_call(E7,A7,3,B7,D7,C7)</f>
        <v>0.34611519034241167</v>
      </c>
      <c r="R7" cm="1">
        <f t="array" ref="R7">delta_call(E7,A7,4,B7,D7,C7)</f>
        <v>0.39282950899423524</v>
      </c>
      <c r="S7" cm="1">
        <f t="array" ref="S7">delta_call(E7,A7,5,B7,D7,C7)</f>
        <v>0.42849636332890573</v>
      </c>
    </row>
    <row r="8" spans="1:29" x14ac:dyDescent="0.3">
      <c r="A8">
        <v>100</v>
      </c>
      <c r="B8">
        <f t="shared" si="0"/>
        <v>0.01</v>
      </c>
      <c r="C8">
        <v>0.2</v>
      </c>
      <c r="D8">
        <v>1E-3</v>
      </c>
      <c r="E8" s="5">
        <v>85</v>
      </c>
      <c r="F8" cm="1">
        <f t="array" ref="F8">delta_call(E8,A8,0.1,B8,D8,C8)</f>
        <v>5.8041689806865452E-3</v>
      </c>
      <c r="G8" cm="1">
        <f t="array" ref="G8">delta_call(E8,A8,0.2,B8,D8,C8)</f>
        <v>3.986423938721384E-2</v>
      </c>
      <c r="H8" cm="1">
        <f t="array" ref="H8">delta_call(E8,A8,0.3,B8,D8,C8)</f>
        <v>8.011033417349224E-2</v>
      </c>
      <c r="I8" cm="1">
        <f t="array" ref="I8">delta_call(E8,A8,0.4,B8,D8,C8)</f>
        <v>0.11636485038007124</v>
      </c>
      <c r="J8" cm="1">
        <f t="array" ref="J8">delta_call(E8,A8,0.5,B8,D8,C8)</f>
        <v>0.14755628400013449</v>
      </c>
      <c r="K8" cm="1">
        <f t="array" ref="K8">delta_call(E8,A8,0.6,B8,D8,C8)</f>
        <v>0.17434186536902754</v>
      </c>
      <c r="L8" cm="1">
        <f t="array" ref="L8">delta_call(E8,A8,0.7,B8,D8,C8)</f>
        <v>0.19754626654924126</v>
      </c>
      <c r="M8" cm="1">
        <f t="array" ref="M8">delta_call(E8,A8,0.8,B8,D8,C8)</f>
        <v>0.21786954522723007</v>
      </c>
      <c r="N8" cm="1">
        <f t="array" ref="N8">delta_call(E8,A8,0.9,B8,D8,C8)</f>
        <v>0.23586089645871333</v>
      </c>
      <c r="O8" cm="1">
        <f t="array" ref="O8">delta_call(E8,A8,1,B8,D8,C8)</f>
        <v>0.25194411751353257</v>
      </c>
      <c r="P8" cm="1">
        <f t="array" ref="P8">delta_call(E8,A8,2,B8,D8,C8)</f>
        <v>0.35515525521268676</v>
      </c>
      <c r="Q8" cm="1">
        <f t="array" ref="Q8">delta_call(E8,A8,3,B8,D8,C8)</f>
        <v>0.41247357402845175</v>
      </c>
      <c r="R8" cm="1">
        <f t="array" ref="R8">delta_call(E8,A8,4,B8,D8,C8)</f>
        <v>0.45189724430191486</v>
      </c>
      <c r="S8" cm="1">
        <f t="array" ref="S8">delta_call(E8,A8,5,B8,D8,C8)</f>
        <v>0.48196018830156895</v>
      </c>
    </row>
    <row r="9" spans="1:29" x14ac:dyDescent="0.3">
      <c r="A9">
        <v>100</v>
      </c>
      <c r="B9">
        <f t="shared" si="0"/>
        <v>0.01</v>
      </c>
      <c r="C9">
        <v>0.2</v>
      </c>
      <c r="D9">
        <v>1E-3</v>
      </c>
      <c r="E9" s="5">
        <v>90</v>
      </c>
      <c r="F9" cm="1">
        <f t="array" ref="F9">delta_call(E9,A9,0.1,B9,D9,C9)</f>
        <v>5.2606259418437912E-2</v>
      </c>
      <c r="G9" cm="1">
        <f t="array" ref="G9">delta_call(E9,A9,0.2,B9,D9,C9)</f>
        <v>0.13280179770414144</v>
      </c>
      <c r="H9" cm="1">
        <f t="array" ref="H9">delta_call(E9,A9,0.3,B9,D9,C9)</f>
        <v>0.18872749349620005</v>
      </c>
      <c r="I9" cm="1">
        <f t="array" ref="I9">delta_call(E9,A9,0.4,B9,D9,C9)</f>
        <v>0.22918168193832159</v>
      </c>
      <c r="J9" cm="1">
        <f t="array" ref="J9">delta_call(E9,A9,0.5,B9,D9,C9)</f>
        <v>0.26015039621879132</v>
      </c>
      <c r="K9" cm="1">
        <f t="array" ref="K9">delta_call(E9,A9,0.6,B9,D9,C9)</f>
        <v>0.2849202650651057</v>
      </c>
      <c r="L9" cm="1">
        <f t="array" ref="L9">delta_call(E9,A9,0.7,B9,D9,C9)</f>
        <v>0.30539577990116196</v>
      </c>
      <c r="M9" cm="1">
        <f t="array" ref="M9">delta_call(E9,A9,0.8,B9,D9,C9)</f>
        <v>0.32275421024029194</v>
      </c>
      <c r="N9" cm="1">
        <f t="array" ref="N9">delta_call(E9,A9,0.9,B9,D9,C9)</f>
        <v>0.33776463414524244</v>
      </c>
      <c r="O9" cm="1">
        <f t="array" ref="O9">delta_call(E9,A9,1,B9,D9,C9)</f>
        <v>0.35095277478845827</v>
      </c>
      <c r="P9" cm="1">
        <f t="array" ref="P9">delta_call(E9,A9,2,B9,D9,C9)</f>
        <v>0.43264392084022701</v>
      </c>
      <c r="Q9" cm="1">
        <f t="array" ref="Q9">delta_call(E9,A9,3,B9,D9,C9)</f>
        <v>0.47743061773038781</v>
      </c>
      <c r="R9" cm="1">
        <f t="array" ref="R9">delta_call(E9,A9,4,B9,D9,C9)</f>
        <v>0.50857173829999158</v>
      </c>
      <c r="S9" cm="1">
        <f t="array" ref="S9">delta_call(E9,A9,5,B9,D9,C9)</f>
        <v>0.53264473983523652</v>
      </c>
    </row>
    <row r="10" spans="1:29" x14ac:dyDescent="0.3">
      <c r="A10">
        <v>100</v>
      </c>
      <c r="B10">
        <f t="shared" si="0"/>
        <v>0.01</v>
      </c>
      <c r="C10">
        <v>0.2</v>
      </c>
      <c r="D10">
        <v>1E-3</v>
      </c>
      <c r="E10" s="5">
        <v>95</v>
      </c>
      <c r="F10" cm="1">
        <f t="array" ref="F10">delta_call(E10,A10,0.1,B10,D10,C10)</f>
        <v>0.22206439134085459</v>
      </c>
      <c r="G10" cm="1">
        <f t="array" ref="G10">delta_call(E10,A10,0.2,B10,D10,C10)</f>
        <v>0.30544453018365098</v>
      </c>
      <c r="H10" cm="1">
        <f t="array" ref="H10">delta_call(E10,A10,0.3,B10,D10,C10)</f>
        <v>0.3485993902827042</v>
      </c>
      <c r="I10" cm="1">
        <f t="array" ref="I10">delta_call(E10,A10,0.4,B10,D10,C10)</f>
        <v>0.37668461169678996</v>
      </c>
      <c r="J10" cm="1">
        <f t="array" ref="J10">delta_call(E10,A10,0.5,B10,D10,C10)</f>
        <v>0.39716850592056901</v>
      </c>
      <c r="K10" cm="1">
        <f t="array" ref="K10">delta_call(E10,A10,0.6,B10,D10,C10)</f>
        <v>0.41316263468803038</v>
      </c>
      <c r="L10" cm="1">
        <f t="array" ref="L10">delta_call(E10,A10,0.7,B10,D10,C10)</f>
        <v>0.42622963471671671</v>
      </c>
      <c r="M10" cm="1">
        <f t="array" ref="M10">delta_call(E10,A10,0.8,B10,D10,C10)</f>
        <v>0.43725423996552104</v>
      </c>
      <c r="N10" cm="1">
        <f t="array" ref="N10">delta_call(E10,A10,0.9,B10,D10,C10)</f>
        <v>0.44678127528057598</v>
      </c>
      <c r="O10" cm="1">
        <f t="array" ref="O10">delta_call(E10,A10,1,B10,D10,C10)</f>
        <v>0.45516783020919599</v>
      </c>
      <c r="P10" cm="1">
        <f t="array" ref="P10">delta_call(E10,A10,2,B10,D10,C10)</f>
        <v>0.50844084799044864</v>
      </c>
      <c r="Q10" cm="1">
        <f t="array" ref="Q10">delta_call(E10,A10,3,B10,D10,C10)</f>
        <v>0.53942811041422722</v>
      </c>
      <c r="R10" cm="1">
        <f t="array" ref="R10">delta_call(E10,A10,4,B10,D10,C10)</f>
        <v>0.56200272372021165</v>
      </c>
      <c r="S10" cm="1">
        <f t="array" ref="S10">delta_call(E10,A10,5,B10,D10,C10)</f>
        <v>0.58007687444220168</v>
      </c>
    </row>
    <row r="11" spans="1:29" x14ac:dyDescent="0.3">
      <c r="A11">
        <v>100</v>
      </c>
      <c r="B11">
        <f t="shared" si="0"/>
        <v>0.01</v>
      </c>
      <c r="C11">
        <v>0.2</v>
      </c>
      <c r="D11">
        <v>1E-3</v>
      </c>
      <c r="E11" s="5">
        <v>100</v>
      </c>
      <c r="F11" cm="1">
        <f t="array" ref="F11">delta_call(E11,A11,0.1,B11,D11,C11)</f>
        <v>0.51823447669605049</v>
      </c>
      <c r="G11" cm="1">
        <f t="array" ref="G11">delta_call(E11,A11,0.2,B11,D11,C11)</f>
        <v>0.52574652087650187</v>
      </c>
      <c r="H11" cm="1">
        <f t="array" ref="H11">delta_call(E11,A11,0.3,B11,D11,C11)</f>
        <v>0.53149115700558591</v>
      </c>
      <c r="I11" cm="1">
        <f t="array" ref="I11">delta_call(E11,A11,0.4,B11,D11,C11)</f>
        <v>0.53631963486387435</v>
      </c>
      <c r="J11" cm="1">
        <f t="array" ref="J11">delta_call(E11,A11,0.5,B11,D11,C11)</f>
        <v>0.54056184240322125</v>
      </c>
      <c r="K11" cm="1">
        <f t="array" ref="K11">delta_call(E11,A11,0.6,B11,D11,C11)</f>
        <v>0.54438704678070537</v>
      </c>
      <c r="L11" cm="1">
        <f t="array" ref="L11">delta_call(E11,A11,0.7,B11,D11,C11)</f>
        <v>0.54789584763310362</v>
      </c>
      <c r="M11" cm="1">
        <f t="array" ref="M11">delta_call(E11,A11,0.8,B11,D11,C11)</f>
        <v>0.55115382176398464</v>
      </c>
      <c r="N11" cm="1">
        <f t="array" ref="N11">delta_call(E11,A11,0.9,B11,D11,C11)</f>
        <v>0.55420654017527193</v>
      </c>
      <c r="O11" cm="1">
        <f t="array" ref="O11">delta_call(E11,A11,1,B11,D11,C11)</f>
        <v>0.55708719827018305</v>
      </c>
      <c r="P11" cm="1">
        <f t="array" ref="P11">delta_call(E11,A11,2,B11,D11,C11)</f>
        <v>0.58007643992738167</v>
      </c>
      <c r="Q11" cm="1">
        <f t="array" ref="Q11">delta_call(E11,A11,3,B11,D11,C11)</f>
        <v>0.59735515598157618</v>
      </c>
      <c r="R11" cm="1">
        <f t="array" ref="R11">delta_call(E11,A11,4,B11,D11,C11)</f>
        <v>0.61164041986536311</v>
      </c>
      <c r="S11" cm="1">
        <f t="array" ref="S11">delta_call(E11,A11,5,B11,D11,C11)</f>
        <v>0.62399022619730782</v>
      </c>
    </row>
    <row r="12" spans="1:29" x14ac:dyDescent="0.3">
      <c r="A12">
        <v>100</v>
      </c>
      <c r="B12">
        <f t="shared" si="0"/>
        <v>0.01</v>
      </c>
      <c r="C12">
        <v>0.2</v>
      </c>
      <c r="D12">
        <v>1E-3</v>
      </c>
      <c r="E12" s="5">
        <v>105</v>
      </c>
      <c r="F12" cm="1">
        <f t="array" ref="F12">delta_call(E12,A12,0.1,B12,D12,C12)</f>
        <v>0.79304026236348213</v>
      </c>
      <c r="G12" cm="1">
        <f t="array" ref="G12">delta_call(E12,A12,0.2,B12,D12,C12)</f>
        <v>0.72903474676532454</v>
      </c>
      <c r="H12" cm="1">
        <f t="array" ref="H12">delta_call(E12,A12,0.3,B12,D12,C12)</f>
        <v>0.69993269527990076</v>
      </c>
      <c r="I12" cm="1">
        <f t="array" ref="I12">delta_call(E12,A12,0.4,B12,D12,C12)</f>
        <v>0.68319732427071544</v>
      </c>
      <c r="J12" cm="1">
        <f t="array" ref="J12">delta_call(E12,A12,0.5,B12,D12,C12)</f>
        <v>0.6724171457747915</v>
      </c>
      <c r="K12" cm="1">
        <f t="array" ref="K12">delta_call(E12,A12,0.6,B12,D12,C12)</f>
        <v>0.6650043199427409</v>
      </c>
      <c r="L12" cm="1">
        <f t="array" ref="L12">delta_call(E12,A12,0.7,B12,D12,C12)</f>
        <v>0.65969543820934951</v>
      </c>
      <c r="M12" cm="1">
        <f t="array" ref="M12">delta_call(E12,A12,0.8,B12,D12,C12)</f>
        <v>0.65579402534538012</v>
      </c>
      <c r="N12" cm="1">
        <f t="array" ref="N12">delta_call(E12,A12,0.9,B12,D12,C12)</f>
        <v>0.65288213872984824</v>
      </c>
      <c r="O12" cm="1">
        <f t="array" ref="O12">delta_call(E12,A12,1,B12,D12,C12)</f>
        <v>0.65069271848203125</v>
      </c>
      <c r="P12" cm="1">
        <f t="array" ref="P12">delta_call(E12,A12,2,B12,D12,C12)</f>
        <v>0.64582840004407993</v>
      </c>
      <c r="Q12" cm="1">
        <f t="array" ref="Q12">delta_call(E12,A12,3,B12,D12,C12)</f>
        <v>0.65051362870947538</v>
      </c>
      <c r="R12" cm="1">
        <f t="array" ref="R12">delta_call(E12,A12,4,B12,D12,C12)</f>
        <v>0.65718726317642617</v>
      </c>
      <c r="S12" cm="1">
        <f t="array" ref="S12">delta_call(E12,A12,5,B12,D12,C12)</f>
        <v>0.66428201579462876</v>
      </c>
    </row>
    <row r="13" spans="1:29" x14ac:dyDescent="0.3">
      <c r="A13">
        <v>100</v>
      </c>
      <c r="B13">
        <f t="shared" si="0"/>
        <v>0.01</v>
      </c>
      <c r="C13">
        <v>0.2</v>
      </c>
      <c r="D13">
        <v>1E-3</v>
      </c>
      <c r="E13" s="5">
        <v>110</v>
      </c>
      <c r="F13" cm="1">
        <f t="array" ref="F13">delta_call(E13,A13,0.1,B13,D13,C13)</f>
        <v>0.93967526074812846</v>
      </c>
      <c r="G13" cm="1">
        <f t="array" ref="G13">delta_call(E13,A13,0.2,B13,D13,C13)</f>
        <v>0.87068171320587384</v>
      </c>
      <c r="H13" cm="1">
        <f t="array" ref="H13">delta_call(E13,A13,0.3,B13,D13,C13)</f>
        <v>0.82856279246692932</v>
      </c>
      <c r="I13" cm="1">
        <f t="array" ref="I13">delta_call(E13,A13,0.4,B13,D13,C13)</f>
        <v>0.80067984481693799</v>
      </c>
      <c r="J13" cm="1">
        <f t="array" ref="J13">delta_call(E13,A13,0.5,B13,D13,C13)</f>
        <v>0.78087524381676854</v>
      </c>
      <c r="K13" cm="1">
        <f t="array" ref="K13">delta_call(E13,A13,0.6,B13,D13,C13)</f>
        <v>0.76609292721316791</v>
      </c>
      <c r="L13" cm="1">
        <f t="array" ref="L13">delta_call(E13,A13,0.7,B13,D13,C13)</f>
        <v>0.75465829514840443</v>
      </c>
      <c r="M13" cm="1">
        <f t="array" ref="M13">delta_call(E13,A13,0.8,B13,D13,C13)</f>
        <v>0.74557533546207222</v>
      </c>
      <c r="N13" cm="1">
        <f t="array" ref="N13">delta_call(E13,A13,0.9,B13,D13,C13)</f>
        <v>0.73821254711701678</v>
      </c>
      <c r="O13" cm="1">
        <f t="array" ref="O13">delta_call(E13,A13,1,B13,D13,C13)</f>
        <v>0.73214887696192521</v>
      </c>
      <c r="P13" cm="1">
        <f t="array" ref="P13">delta_call(E13,A13,2,B13,D13,C13)</f>
        <v>0.70469143715189786</v>
      </c>
      <c r="Q13" cm="1">
        <f t="array" ref="Q13">delta_call(E13,A13,3,B13,D13,C13)</f>
        <v>0.69855579141783153</v>
      </c>
      <c r="R13" cm="1">
        <f t="array" ref="R13">delta_call(E13,A13,4,B13,D13,C13)</f>
        <v>0.698546135242192</v>
      </c>
      <c r="S13" cm="1">
        <f t="array" ref="S13">delta_call(E13,A13,5,B13,D13,C13)</f>
        <v>0.70097338401338638</v>
      </c>
    </row>
    <row r="14" spans="1:29" x14ac:dyDescent="0.3">
      <c r="A14">
        <v>100</v>
      </c>
      <c r="B14">
        <f t="shared" si="0"/>
        <v>0.01</v>
      </c>
      <c r="C14">
        <v>0.2</v>
      </c>
      <c r="D14">
        <v>1E-3</v>
      </c>
      <c r="E14" s="5">
        <v>115</v>
      </c>
      <c r="F14" cm="1">
        <f t="array" ref="F14">delta_call(E14,A14,0.1,B14,D14,C14)</f>
        <v>0.98785597546224801</v>
      </c>
      <c r="G14" cm="1">
        <f t="array" ref="G14">delta_call(E14,A14,0.2,B14,D14,C14)</f>
        <v>0.94798769257414794</v>
      </c>
      <c r="H14" cm="1">
        <f t="array" ref="H14">delta_call(E14,A14,0.3,B14,D14,C14)</f>
        <v>0.91205991538373821</v>
      </c>
      <c r="I14" cm="1">
        <f t="array" ref="I14">delta_call(E14,A14,0.4,B14,D14,C14)</f>
        <v>0.88391924920880083</v>
      </c>
      <c r="J14" cm="1">
        <f t="array" ref="J14">delta_call(E14,A14,0.5,B14,D14,C14)</f>
        <v>0.86188776409912438</v>
      </c>
      <c r="K14" cm="1">
        <f t="array" ref="K14">delta_call(E14,A14,0.6,B14,D14,C14)</f>
        <v>0.84431541509476993</v>
      </c>
      <c r="L14" cm="1">
        <f t="array" ref="L14">delta_call(E14,A14,0.7,B14,D14,C14)</f>
        <v>0.83002233654227364</v>
      </c>
      <c r="M14" cm="1">
        <f t="array" ref="M14">delta_call(E14,A14,0.8,B14,D14,C14)</f>
        <v>0.81819353211703438</v>
      </c>
      <c r="N14" cm="1">
        <f t="array" ref="N14">delta_call(E14,A14,0.9,B14,D14,C14)</f>
        <v>0.80825917875474362</v>
      </c>
      <c r="O14" cm="1">
        <f t="array" ref="O14">delta_call(E14,A14,1,B14,D14,C14)</f>
        <v>0.79981191424462528</v>
      </c>
      <c r="P14" cm="1">
        <f t="array" ref="P14">delta_call(E14,A14,2,B14,D14,C14)</f>
        <v>0.75627056187341668</v>
      </c>
      <c r="Q14" cm="1">
        <f t="array" ref="Q14">delta_call(E14,A14,3,B14,D14,C14)</f>
        <v>0.74141148407172563</v>
      </c>
      <c r="R14" cm="1">
        <f t="array" ref="R14">delta_call(E14,A14,4,B14,D14,C14)</f>
        <v>0.73577122566556341</v>
      </c>
      <c r="S14" cm="1">
        <f t="array" ref="S14">delta_call(E14,A14,5,B14,D14,C14)</f>
        <v>0.73417512472404667</v>
      </c>
    </row>
    <row r="15" spans="1:29" x14ac:dyDescent="0.3">
      <c r="A15">
        <v>100</v>
      </c>
      <c r="B15">
        <f t="shared" si="0"/>
        <v>0.01</v>
      </c>
      <c r="C15">
        <v>0.2</v>
      </c>
      <c r="D15">
        <v>1E-3</v>
      </c>
      <c r="E15" s="5">
        <v>120</v>
      </c>
      <c r="F15" cm="1">
        <f t="array" ref="F15">delta_call(E15,A15,0.1,B15,D15,C15)</f>
        <v>0.99819776832375973</v>
      </c>
      <c r="G15" cm="1">
        <f t="array" ref="G15">delta_call(E15,A15,0.2,B15,D15,C15)</f>
        <v>0.98208216858897046</v>
      </c>
      <c r="H15" cm="1">
        <f t="array" ref="H15">delta_call(E15,A15,0.3,B15,D15,C15)</f>
        <v>0.95911351588111171</v>
      </c>
      <c r="I15" cm="1">
        <f t="array" ref="I15">delta_call(E15,A15,0.4,B15,D15,C15)</f>
        <v>0.93699760999083026</v>
      </c>
      <c r="J15" cm="1">
        <f t="array" ref="J15">delta_call(E15,A15,0.5,B15,D15,C15)</f>
        <v>0.91754032683752695</v>
      </c>
      <c r="K15" cm="1">
        <f t="array" ref="K15">delta_call(E15,A15,0.6,B15,D15,C15)</f>
        <v>0.90079457555973641</v>
      </c>
      <c r="L15" cm="1">
        <f t="array" ref="L15">delta_call(E15,A15,0.7,B15,D15,C15)</f>
        <v>0.88641154826489577</v>
      </c>
      <c r="M15" cm="1">
        <f t="array" ref="M15">delta_call(E15,A15,0.8,B15,D15,C15)</f>
        <v>0.87400199839689041</v>
      </c>
      <c r="N15" cm="1">
        <f t="array" ref="N15">delta_call(E15,A15,0.9,B15,D15,C15)</f>
        <v>0.86322485036166652</v>
      </c>
      <c r="O15" cm="1">
        <f t="array" ref="O15">delta_call(E15,A15,1,B15,D15,C15)</f>
        <v>0.85380045923332071</v>
      </c>
      <c r="P15" cm="1">
        <f t="array" ref="P15">delta_call(E15,A15,2,B15,D15,C15)</f>
        <v>0.80064143689763723</v>
      </c>
      <c r="Q15" cm="1">
        <f t="array" ref="Q15">delta_call(E15,A15,3,B15,D15,C15)</f>
        <v>0.77921641586091117</v>
      </c>
      <c r="R15" cm="1">
        <f t="array" ref="R15">delta_call(E15,A15,4,B15,D15,C15)</f>
        <v>0.76902479613183805</v>
      </c>
      <c r="S15" cm="1">
        <f t="array" ref="S15">delta_call(E15,A15,5,B15,D15,C15)</f>
        <v>0.76405937771557209</v>
      </c>
    </row>
    <row r="16" spans="1:29" x14ac:dyDescent="0.3">
      <c r="A16">
        <v>100</v>
      </c>
      <c r="B16">
        <f t="shared" si="0"/>
        <v>0.01</v>
      </c>
      <c r="C16">
        <v>0.2</v>
      </c>
      <c r="D16">
        <v>1E-3</v>
      </c>
      <c r="E16" s="5">
        <v>125</v>
      </c>
      <c r="F16" cm="1">
        <f t="array" ref="F16">delta_call(E16,A16,0.1,B16,D16,C16)</f>
        <v>0.99972427999457747</v>
      </c>
      <c r="G16" cm="1">
        <f t="array" ref="G16">delta_call(E16,A16,0.2,B16,D16,C16)</f>
        <v>0.9945624382267193</v>
      </c>
      <c r="H16" cm="1">
        <f t="array" ref="H16">delta_call(E16,A16,0.3,B16,D16,C16)</f>
        <v>0.98255116518071306</v>
      </c>
      <c r="I16" cm="1">
        <f t="array" ref="I16">delta_call(E16,A16,0.4,B16,D16,C16)</f>
        <v>0.96787250256980728</v>
      </c>
      <c r="J16" cm="1">
        <f t="array" ref="J16">delta_call(E16,A16,0.5,B16,D16,C16)</f>
        <v>0.95308296559638672</v>
      </c>
      <c r="K16" cm="1">
        <f t="array" ref="K16">delta_call(E16,A16,0.6,B16,D16,C16)</f>
        <v>0.93918913895608358</v>
      </c>
      <c r="L16" cm="1">
        <f t="array" ref="L16">delta_call(E16,A16,0.7,B16,D16,C16)</f>
        <v>0.92649631198223403</v>
      </c>
      <c r="M16" cm="1">
        <f t="array" ref="M16">delta_call(E16,A16,0.8,B16,D16,C16)</f>
        <v>0.91502737688591074</v>
      </c>
      <c r="N16" cm="1">
        <f t="array" ref="N16">delta_call(E16,A16,0.9,B16,D16,C16)</f>
        <v>0.90469983726491088</v>
      </c>
      <c r="O16" cm="1">
        <f t="array" ref="O16">delta_call(E16,A16,1,B16,D16,C16)</f>
        <v>0.89539887620670111</v>
      </c>
      <c r="P16" cm="1">
        <f t="array" ref="P16">delta_call(E16,A16,2,B16,D16,C16)</f>
        <v>0.83820865988784266</v>
      </c>
      <c r="Q16" cm="1">
        <f t="array" ref="Q16">delta_call(E16,A16,3,B16,D16,C16)</f>
        <v>0.81224818094711759</v>
      </c>
      <c r="R16" cm="1">
        <f t="array" ref="R16">delta_call(E16,A16,4,B16,D16,C16)</f>
        <v>0.79854115443703455</v>
      </c>
      <c r="S16" cm="1">
        <f t="array" ref="S16">delta_call(E16,A16,5,B16,D16,C16)</f>
        <v>0.79083707426144667</v>
      </c>
    </row>
    <row r="17" spans="1:29" x14ac:dyDescent="0.3">
      <c r="A17">
        <v>100</v>
      </c>
      <c r="B17">
        <f t="shared" si="0"/>
        <v>0.01</v>
      </c>
      <c r="C17">
        <v>0.2</v>
      </c>
      <c r="D17">
        <v>1E-3</v>
      </c>
      <c r="E17" s="5">
        <v>130</v>
      </c>
      <c r="F17" cm="1">
        <f t="array" ref="F17">delta_call(E17,A17,0.1,B17,D17,C17)</f>
        <v>0.99988631432991948</v>
      </c>
      <c r="G17" cm="1">
        <f t="array" ref="G17">delta_call(E17,A17,0.2,B17,D17,C17)</f>
        <v>0.99844225037148093</v>
      </c>
      <c r="H17" cm="1">
        <f t="array" ref="H17">delta_call(E17,A17,0.3,B17,D17,C17)</f>
        <v>0.99303028641594182</v>
      </c>
      <c r="I17" cm="1">
        <f t="array" ref="I17">delta_call(E17,A17,0.4,B17,D17,C17)</f>
        <v>0.98444587533710837</v>
      </c>
      <c r="J17" cm="1">
        <f t="array" ref="J17">delta_call(E17,A17,0.5,B17,D17,C17)</f>
        <v>0.97438160038063115</v>
      </c>
      <c r="K17" cm="1">
        <f t="array" ref="K17">delta_call(E17,A17,0.6,B17,D17,C17)</f>
        <v>0.96395217498108421</v>
      </c>
      <c r="L17" cm="1">
        <f t="array" ref="L17">delta_call(E17,A17,0.7,B17,D17,C17)</f>
        <v>0.95374562024777898</v>
      </c>
      <c r="M17" cm="1">
        <f t="array" ref="M17">delta_call(E17,A17,0.8,B17,D17,C17)</f>
        <v>0.94403943878424179</v>
      </c>
      <c r="N17" cm="1">
        <f t="array" ref="N17">delta_call(E17,A17,0.9,B17,D17,C17)</f>
        <v>0.93494541825838506</v>
      </c>
      <c r="O17" cm="1">
        <f t="array" ref="O17">delta_call(E17,A17,1,B17,D17,C17)</f>
        <v>0.92649019215432127</v>
      </c>
      <c r="P17" cm="1">
        <f t="array" ref="P17">delta_call(E17,A17,2,B17,D17,C17)</f>
        <v>0.86958029931176783</v>
      </c>
      <c r="Q17" cm="1">
        <f t="array" ref="Q17">delta_call(E17,A17,3,B17,D17,C17)</f>
        <v>0.84087300947849797</v>
      </c>
      <c r="R17" cm="1">
        <f t="array" ref="R17">delta_call(E17,A17,4,B17,D17,C17)</f>
        <v>0.82459792506461471</v>
      </c>
      <c r="S17" cm="1">
        <f t="array" ref="S17">delta_call(E17,A17,5,B17,D17,C17)</f>
        <v>0.81474053166898674</v>
      </c>
    </row>
    <row r="18" spans="1:29" x14ac:dyDescent="0.3">
      <c r="A18">
        <v>100</v>
      </c>
      <c r="B18">
        <f t="shared" si="0"/>
        <v>0.01</v>
      </c>
      <c r="C18">
        <v>0.2</v>
      </c>
      <c r="D18">
        <v>1E-3</v>
      </c>
      <c r="E18" s="5">
        <v>135</v>
      </c>
      <c r="F18" cm="1">
        <f t="array" ref="F18">delta_call(E18,A18,0.1,B18,D18,C18)</f>
        <v>0.99989917500478187</v>
      </c>
      <c r="G18" cm="1">
        <f t="array" ref="G18">delta_call(E18,A18,0.2,B18,D18,C18)</f>
        <v>0.99948711191050388</v>
      </c>
      <c r="H18" cm="1">
        <f t="array" ref="H18">delta_call(E18,A18,0.3,B18,D18,C18)</f>
        <v>0.99729199670311541</v>
      </c>
      <c r="I18" cm="1">
        <f t="array" ref="I18">delta_call(E18,A18,0.4,B18,D18,C18)</f>
        <v>0.99273764103710249</v>
      </c>
      <c r="J18" cm="1">
        <f t="array" ref="J18">delta_call(E18,A18,0.5,B18,D18,C18)</f>
        <v>0.98645227693006188</v>
      </c>
      <c r="K18" cm="1">
        <f t="array" ref="K18">delta_call(E18,A18,0.6,B18,D18,C18)</f>
        <v>0.97920486273177809</v>
      </c>
      <c r="L18" cm="1">
        <f t="array" ref="L18">delta_call(E18,A18,0.7,B18,D18,C18)</f>
        <v>0.9715596216999246</v>
      </c>
      <c r="M18" cm="1">
        <f t="array" ref="M18">delta_call(E18,A18,0.8,B18,D18,C18)</f>
        <v>0.96387298673276822</v>
      </c>
      <c r="N18" cm="1">
        <f t="array" ref="N18">delta_call(E18,A18,0.9,B18,D18,C18)</f>
        <v>0.95635438706498177</v>
      </c>
      <c r="O18" cm="1">
        <f t="array" ref="O18">delta_call(E18,A18,1,B18,D18,C18)</f>
        <v>0.94911940021459906</v>
      </c>
      <c r="P18" cm="1">
        <f t="array" ref="P18">delta_call(E18,A18,2,B18,D18,C18)</f>
        <v>0.89546700884905672</v>
      </c>
      <c r="Q18" cm="1">
        <f t="array" ref="Q18">delta_call(E18,A18,3,B18,D18,C18)</f>
        <v>0.86550388476503159</v>
      </c>
      <c r="R18" cm="1">
        <f t="array" ref="R18">delta_call(E18,A18,4,B18,D18,C18)</f>
        <v>0.84749401762079513</v>
      </c>
      <c r="S18" cm="1">
        <f t="array" ref="S18">delta_call(E18,A18,5,B18,D18,C18)</f>
        <v>0.83601043220519622</v>
      </c>
    </row>
    <row r="19" spans="1:29" x14ac:dyDescent="0.3">
      <c r="A19">
        <v>100</v>
      </c>
      <c r="B19">
        <f t="shared" si="0"/>
        <v>0.01</v>
      </c>
      <c r="C19">
        <v>0.2</v>
      </c>
      <c r="D19">
        <v>1E-3</v>
      </c>
      <c r="E19" s="5">
        <v>140</v>
      </c>
      <c r="F19" cm="1">
        <f t="array" ref="F19">delta_call(E19,A19,0.1,B19,D19,C19)</f>
        <v>0.99989996474089016</v>
      </c>
      <c r="G19" cm="1">
        <f t="array" ref="G19">delta_call(E19,A19,0.2,B19,D19,C19)</f>
        <v>0.99973510192356496</v>
      </c>
      <c r="H19" cm="1">
        <f t="array" ref="H19">delta_call(E19,A19,0.3,B19,D19,C19)</f>
        <v>0.99888666253782266</v>
      </c>
      <c r="I19" cm="1">
        <f t="array" ref="I19">delta_call(E19,A19,0.4,B19,D19,C19)</f>
        <v>0.9966374014946342</v>
      </c>
      <c r="J19" cm="1">
        <f t="array" ref="J19">delta_call(E19,A19,0.5,B19,D19,C19)</f>
        <v>0.99296641664422847</v>
      </c>
      <c r="K19" cm="1">
        <f t="array" ref="K19">delta_call(E19,A19,0.6,B19,D19,C19)</f>
        <v>0.98822803710378981</v>
      </c>
      <c r="L19" cm="1">
        <f t="array" ref="L19">delta_call(E19,A19,0.7,B19,D19,C19)</f>
        <v>0.98281337730278517</v>
      </c>
      <c r="M19" cm="1">
        <f t="array" ref="M19">delta_call(E19,A19,0.8,B19,D19,C19)</f>
        <v>0.97703572554366602</v>
      </c>
      <c r="N19" cm="1">
        <f t="array" ref="N19">delta_call(E19,A19,0.9,B19,D19,C19)</f>
        <v>0.97111839202110151</v>
      </c>
      <c r="O19" cm="1">
        <f t="array" ref="O19">delta_call(E19,A19,1,B19,D19,C19)</f>
        <v>0.96521156486361814</v>
      </c>
      <c r="P19" cm="1">
        <f t="array" ref="P19">delta_call(E19,A19,2,B19,D19,C19)</f>
        <v>0.91660725838643387</v>
      </c>
      <c r="Q19" cm="1">
        <f t="array" ref="Q19">delta_call(E19,A19,3,B19,D19,C19)</f>
        <v>0.88656925822063259</v>
      </c>
      <c r="R19" cm="1">
        <f t="array" ref="R19">delta_call(E19,A19,4,B19,D19,C19)</f>
        <v>0.86753337242529616</v>
      </c>
      <c r="S19" cm="1">
        <f t="array" ref="S19">delta_call(E19,A19,5,B19,D19,C19)</f>
        <v>0.85488640118490899</v>
      </c>
    </row>
    <row r="22" spans="1:29" x14ac:dyDescent="0.3">
      <c r="A22" s="1" t="s">
        <v>28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t="s">
        <v>13</v>
      </c>
      <c r="B23" t="s">
        <v>14</v>
      </c>
      <c r="C23" t="s">
        <v>15</v>
      </c>
      <c r="D23" t="s">
        <v>26</v>
      </c>
      <c r="F23" s="7">
        <v>0.1</v>
      </c>
      <c r="G23" s="7">
        <v>0.2</v>
      </c>
      <c r="H23" s="7">
        <v>0.3</v>
      </c>
      <c r="I23" s="7">
        <v>0.4</v>
      </c>
      <c r="J23" s="7">
        <v>0.5</v>
      </c>
      <c r="K23" s="7">
        <v>0.6</v>
      </c>
      <c r="L23" s="7">
        <v>0.7</v>
      </c>
      <c r="M23" s="7">
        <v>0.8</v>
      </c>
      <c r="N23" s="7">
        <v>0.9</v>
      </c>
      <c r="O23" s="7">
        <v>1</v>
      </c>
      <c r="P23" s="7">
        <v>2</v>
      </c>
      <c r="Q23" s="7">
        <v>3</v>
      </c>
      <c r="R23" s="7">
        <v>4</v>
      </c>
      <c r="S23" s="7">
        <v>5</v>
      </c>
    </row>
    <row r="24" spans="1:29" x14ac:dyDescent="0.3">
      <c r="A24">
        <v>100</v>
      </c>
      <c r="B24">
        <f>1/100</f>
        <v>0.01</v>
      </c>
      <c r="C24">
        <v>0.2</v>
      </c>
      <c r="D24">
        <v>1E-3</v>
      </c>
      <c r="E24" s="5">
        <v>60</v>
      </c>
      <c r="F24" cm="1">
        <f t="array" ref="F24">theta_call(E24,A24,0.1,B24,D24,C24)</f>
        <v>-7.5015779228773362E-14</v>
      </c>
      <c r="G24" cm="1">
        <f t="array" ref="G24">theta_call(E24,A24,0.2,B24,D24,C24)</f>
        <v>-6.4338436737413625E-7</v>
      </c>
      <c r="H24" cm="1">
        <f t="array" ref="H24">theta_call(E24,A24,0.3,B24,D24,C24)</f>
        <v>-1.2086414531691082E-4</v>
      </c>
      <c r="I24" cm="1">
        <f t="array" ref="I24">theta_call(E24,A24,0.4,B24,D24,C24)</f>
        <v>-1.5892166992193734E-3</v>
      </c>
      <c r="J24" cm="1">
        <f t="array" ref="J24">theta_call(E24,A24,0.5,B24,D24,C24)</f>
        <v>-7.2753979367953213E-3</v>
      </c>
      <c r="K24" cm="1">
        <f t="array" ref="K24">theta_call(E24,A24,0.6,B24,D24,C24)</f>
        <v>-1.9736371020121345E-2</v>
      </c>
      <c r="L24" cm="1">
        <f t="array" ref="L24">theta_call(E24,A24,0.7,B24,D24,C24)</f>
        <v>-3.9797347517314827E-2</v>
      </c>
      <c r="M24" cm="1">
        <f t="array" ref="M24">theta_call(E24,A24,0.8,B24,D24,C24)</f>
        <v>-6.6768499881321344E-2</v>
      </c>
      <c r="N24" cm="1">
        <f t="array" ref="N24">theta_call(E24,A24,0.9,B24,D24,C24)</f>
        <v>-9.9190631495791687E-2</v>
      </c>
      <c r="O24" cm="1">
        <f t="array" ref="O24">theta_call(E24,A24,1,B24,D24,C24)</f>
        <v>-0.13542371942337203</v>
      </c>
      <c r="P24" cm="1">
        <f t="array" ref="P24">theta_call(E24,A24,2,B24,D24,C24)</f>
        <v>-0.49604212487924743</v>
      </c>
      <c r="Q24" cm="1">
        <f t="array" ref="Q24">theta_call(E24,A24,3,B24,D24,C24)</f>
        <v>-0.70523212975328431</v>
      </c>
      <c r="R24" cm="1">
        <f t="array" ref="R24">theta_call(E24,A24,4,B24,D24,C24)</f>
        <v>-0.80878370981201009</v>
      </c>
      <c r="S24" cm="1">
        <f t="array" ref="S24">theta_call(E24,A24,5,B24,D24,C24)</f>
        <v>-0.85809122430853546</v>
      </c>
    </row>
    <row r="25" spans="1:29" x14ac:dyDescent="0.3">
      <c r="A25">
        <v>100</v>
      </c>
      <c r="B25">
        <f t="shared" ref="B25:B40" si="1">1/100</f>
        <v>0.01</v>
      </c>
      <c r="C25">
        <v>0.2</v>
      </c>
      <c r="D25">
        <v>1E-3</v>
      </c>
      <c r="E25" s="5">
        <v>65</v>
      </c>
      <c r="F25" cm="1">
        <f t="array" ref="F25">theta_call(E25,A25,0.1,B25,D25,C25)</f>
        <v>-9.4736445686685009E-10</v>
      </c>
      <c r="G25" cm="1">
        <f t="array" ref="G25">theta_call(E25,A25,0.2,B25,D25,C25)</f>
        <v>-7.3165488050719557E-5</v>
      </c>
      <c r="H25" cm="1">
        <f t="array" ref="H25">theta_call(E25,A25,0.3,B25,D25,C25)</f>
        <v>-2.8604060316599822E-3</v>
      </c>
      <c r="I25" cm="1">
        <f t="array" ref="I25">theta_call(E25,A25,0.4,B25,D25,C25)</f>
        <v>-1.7161313206554868E-2</v>
      </c>
      <c r="J25" cm="1">
        <f t="array" ref="J25">theta_call(E25,A25,0.5,B25,D25,C25)</f>
        <v>-4.9071594081316984E-2</v>
      </c>
      <c r="K25" cm="1">
        <f t="array" ref="K25">theta_call(E25,A25,0.6,B25,D25,C25)</f>
        <v>-9.7280434494487214E-2</v>
      </c>
      <c r="L25" cm="1">
        <f t="array" ref="L25">theta_call(E25,A25,0.7,B25,D25,C25)</f>
        <v>-0.15680228732275106</v>
      </c>
      <c r="M25" cm="1">
        <f t="array" ref="M25">theta_call(E25,A25,0.8,B25,D25,C25)</f>
        <v>-0.22240985549878181</v>
      </c>
      <c r="N25" cm="1">
        <f t="array" ref="N25">theta_call(E25,A25,0.9,B25,D25,C25)</f>
        <v>-0.28997752151423889</v>
      </c>
      <c r="O25" cm="1">
        <f t="array" ref="O25">theta_call(E25,A25,1,B25,D25,C25)</f>
        <v>-0.35666206235817033</v>
      </c>
      <c r="P25" cm="1">
        <f t="array" ref="P25">theta_call(E25,A25,2,B25,D25,C25)</f>
        <v>-0.81750892433803179</v>
      </c>
      <c r="Q25" cm="1">
        <f t="array" ref="Q25">theta_call(E25,A25,3,B25,D25,C25)</f>
        <v>-0.99487122280279217</v>
      </c>
      <c r="R25" cm="1">
        <f t="array" ref="R25">theta_call(E25,A25,4,B25,D25,C25)</f>
        <v>-1.0559552091144346</v>
      </c>
      <c r="S25" cm="1">
        <f t="array" ref="S25">theta_call(E25,A25,5,B25,D25,C25)</f>
        <v>-1.0696801187628104</v>
      </c>
    </row>
    <row r="26" spans="1:29" x14ac:dyDescent="0.3">
      <c r="A26">
        <v>100</v>
      </c>
      <c r="B26">
        <f t="shared" si="1"/>
        <v>0.01</v>
      </c>
      <c r="C26">
        <v>0.2</v>
      </c>
      <c r="D26">
        <v>1E-3</v>
      </c>
      <c r="E26" s="5">
        <v>70</v>
      </c>
      <c r="F26" cm="1">
        <f t="array" ref="F26">theta_call(E26,A26,0.1,B26,D26,C26)</f>
        <v>-1.4247063267514448E-6</v>
      </c>
      <c r="G26" cm="1">
        <f t="array" ref="G26">theta_call(E26,A26,0.2,B26,D26,C26)</f>
        <v>-2.8695162033713696E-3</v>
      </c>
      <c r="H26" cm="1">
        <f t="array" ref="H26">theta_call(E26,A26,0.3,B26,D26,C26)</f>
        <v>-3.3280634886869741E-2</v>
      </c>
      <c r="I26" cm="1">
        <f t="array" ref="I26">theta_call(E26,A26,0.4,B26,D26,C26)</f>
        <v>-0.10877984669278724</v>
      </c>
      <c r="J26" cm="1">
        <f t="array" ref="J26">theta_call(E26,A26,0.5,B26,D26,C26)</f>
        <v>-0.21609236645980845</v>
      </c>
      <c r="K26" cm="1">
        <f t="array" ref="K26">theta_call(E26,A26,0.6,B26,D26,C26)</f>
        <v>-0.33606799512732144</v>
      </c>
      <c r="L26" cm="1">
        <f t="array" ref="L26">theta_call(E26,A26,0.7,B26,D26,C26)</f>
        <v>-0.4555140889517344</v>
      </c>
      <c r="M26" cm="1">
        <f t="array" ref="M26">theta_call(E26,A26,0.8,B26,D26,C26)</f>
        <v>-0.56740684641127714</v>
      </c>
      <c r="N26" cm="1">
        <f t="array" ref="N26">theta_call(E26,A26,0.9,B26,D26,C26)</f>
        <v>-0.66873716439469866</v>
      </c>
      <c r="O26" cm="1">
        <f t="array" ref="O26">theta_call(E26,A26,1,B26,D26,C26)</f>
        <v>-0.75873153205487887</v>
      </c>
      <c r="P26" cm="1">
        <f t="array" ref="P26">theta_call(E26,A26,2,B26,D26,C26)</f>
        <v>-1.2104379138812149</v>
      </c>
      <c r="Q26" cm="1">
        <f t="array" ref="Q26">theta_call(E26,A26,3,B26,D26,C26)</f>
        <v>-1.3063193483512485</v>
      </c>
      <c r="R26" cm="1">
        <f t="array" ref="R26">theta_call(E26,A26,4,B26,D26,C26)</f>
        <v>-1.3060767766553629</v>
      </c>
      <c r="S26" cm="1">
        <f t="array" ref="S26">theta_call(E26,A26,5,B26,D26,C26)</f>
        <v>-1.2766319068501129</v>
      </c>
    </row>
    <row r="27" spans="1:29" x14ac:dyDescent="0.3">
      <c r="A27">
        <v>100</v>
      </c>
      <c r="B27">
        <f t="shared" si="1"/>
        <v>0.01</v>
      </c>
      <c r="C27">
        <v>0.2</v>
      </c>
      <c r="D27">
        <v>1E-3</v>
      </c>
      <c r="E27" s="5">
        <v>75</v>
      </c>
      <c r="F27" cm="1">
        <f t="array" ref="F27">theta_call(E27,A27,0.1,B27,D27,C27)</f>
        <v>-3.7653846363148682E-4</v>
      </c>
      <c r="G27" cm="1">
        <f t="array" ref="G27">theta_call(E27,A27,0.2,B27,D27,C27)</f>
        <v>-4.7161266392844653E-2</v>
      </c>
      <c r="H27" cm="1">
        <f t="array" ref="H27">theta_call(E27,A27,0.3,B27,D27,C27)</f>
        <v>-0.21680084618562601</v>
      </c>
      <c r="I27" cm="1">
        <f t="array" ref="I27">theta_call(E27,A27,0.4,B27,D27,C27)</f>
        <v>-0.44625341360140552</v>
      </c>
      <c r="J27" cm="1">
        <f t="array" ref="J27">theta_call(E27,A27,0.5,B27,D27,C27)</f>
        <v>-0.67181311770460161</v>
      </c>
      <c r="K27" cm="1">
        <f t="array" ref="K27">theta_call(E27,A27,0.6,B27,D27,C27)</f>
        <v>-0.86857675225559039</v>
      </c>
      <c r="L27" cm="1">
        <f t="array" ref="L27">theta_call(E27,A27,0.7,B27,D27,C27)</f>
        <v>-1.0318519353870239</v>
      </c>
      <c r="M27" cm="1">
        <f t="array" ref="M27">theta_call(E27,A27,0.8,B27,D27,C27)</f>
        <v>-1.164371715270174</v>
      </c>
      <c r="N27" cm="1">
        <f t="array" ref="N27">theta_call(E27,A27,0.9,B27,D27,C27)</f>
        <v>-1.2708532113017506</v>
      </c>
      <c r="O27" cm="1">
        <f t="array" ref="O27">theta_call(E27,A27,1,B27,D27,C27)</f>
        <v>-1.3560053916747856</v>
      </c>
      <c r="P27" cm="1">
        <f t="array" ref="P27">theta_call(E27,A27,2,B27,D27,C27)</f>
        <v>-1.6423815096815273</v>
      </c>
      <c r="Q27" cm="1">
        <f t="array" ref="Q27">theta_call(E27,A27,3,B27,D27,C27)</f>
        <v>-1.6178998316236382</v>
      </c>
      <c r="R27" cm="1">
        <f t="array" ref="R27">theta_call(E27,A27,4,B27,D27,C27)</f>
        <v>-1.5458024905812877</v>
      </c>
      <c r="S27" cm="1">
        <f t="array" ref="S27">theta_call(E27,A27,5,B27,D27,C27)</f>
        <v>-1.4705090885489382</v>
      </c>
    </row>
    <row r="28" spans="1:29" x14ac:dyDescent="0.3">
      <c r="A28">
        <v>100</v>
      </c>
      <c r="B28">
        <f t="shared" si="1"/>
        <v>0.01</v>
      </c>
      <c r="C28">
        <v>0.2</v>
      </c>
      <c r="D28">
        <v>1E-3</v>
      </c>
      <c r="E28" s="5">
        <v>80</v>
      </c>
      <c r="F28" cm="1">
        <f t="array" ref="F28">theta_call(E28,A28,0.1,B28,D28,C28)</f>
        <v>-2.3653806883407583E-2</v>
      </c>
      <c r="G28" cm="1">
        <f t="array" ref="G28">theta_call(E28,A28,0.2,B28,D28,C28)</f>
        <v>-0.37784178970880827</v>
      </c>
      <c r="H28" cm="1">
        <f t="array" ref="H28">theta_call(E28,A28,0.3,B28,D28,C28)</f>
        <v>-0.87476991855629016</v>
      </c>
      <c r="I28" cm="1">
        <f t="array" ref="I28">theta_call(E28,A28,0.4,B28,D28,C28)</f>
        <v>-1.2782009487710682</v>
      </c>
      <c r="J28" cm="1">
        <f t="array" ref="J28">theta_call(E28,A28,0.5,B28,D28,C28)</f>
        <v>-1.5669649278625042</v>
      </c>
      <c r="K28" cm="1">
        <f t="array" ref="K28">theta_call(E28,A28,0.6,B28,D28,C28)</f>
        <v>-1.7668660244407135</v>
      </c>
      <c r="L28" cm="1">
        <f t="array" ref="L28">theta_call(E28,A28,0.7,B28,D28,C28)</f>
        <v>-1.9037635609603016</v>
      </c>
      <c r="M28" cm="1">
        <f t="array" ref="M28">theta_call(E28,A28,0.8,B28,D28,C28)</f>
        <v>-1.9967185213404439</v>
      </c>
      <c r="N28" cm="1">
        <f t="array" ref="N28">theta_call(E28,A28,0.9,B28,D28,C28)</f>
        <v>-2.0588877332193793</v>
      </c>
      <c r="O28" cm="1">
        <f t="array" ref="O28">theta_call(E28,A28,1,B28,D28,C28)</f>
        <v>-2.0992580606440465</v>
      </c>
      <c r="P28" cm="1">
        <f t="array" ref="P28">theta_call(E28,A28,2,B28,D28,C28)</f>
        <v>-2.073905797387201</v>
      </c>
      <c r="Q28" cm="1">
        <f t="array" ref="Q28">theta_call(E28,A28,3,B28,D28,C28)</f>
        <v>-1.9097118569730016</v>
      </c>
      <c r="R28" cm="1">
        <f t="array" ref="R28">theta_call(E28,A28,4,B28,D28,C28)</f>
        <v>-1.7643653821193996</v>
      </c>
      <c r="S28" cm="1">
        <f t="array" ref="S28">theta_call(E28,A28,5,B28,D28,C28)</f>
        <v>-1.6450618571346065</v>
      </c>
    </row>
    <row r="29" spans="1:29" x14ac:dyDescent="0.3">
      <c r="A29">
        <v>100</v>
      </c>
      <c r="B29">
        <f t="shared" si="1"/>
        <v>0.01</v>
      </c>
      <c r="C29">
        <v>0.2</v>
      </c>
      <c r="D29">
        <v>1E-3</v>
      </c>
      <c r="E29" s="5">
        <v>85</v>
      </c>
      <c r="F29" cm="1">
        <f t="array" ref="F29">theta_call(E29,A29,0.1,B29,D29,C29)</f>
        <v>-0.44811888221924273</v>
      </c>
      <c r="G29" cm="1">
        <f t="array" ref="G29">theta_call(E29,A29,0.2,B29,D29,C29)</f>
        <v>-1.6627309752338206</v>
      </c>
      <c r="H29" cm="1">
        <f t="array" ref="H29">theta_call(E29,A29,0.3,B29,D29,C29)</f>
        <v>-2.3677938126403597</v>
      </c>
      <c r="I29" cm="1">
        <f t="array" ref="I29">theta_call(E29,A29,0.4,B29,D29,C29)</f>
        <v>-2.714289274837558</v>
      </c>
      <c r="J29" cm="1">
        <f t="array" ref="J29">theta_call(E29,A29,0.5,B29,D29,C29)</f>
        <v>-2.8771492587523637</v>
      </c>
      <c r="K29" cm="1">
        <f t="array" ref="K29">theta_call(E29,A29,0.6,B29,D29,C29)</f>
        <v>-2.9448085913072464</v>
      </c>
      <c r="L29" cm="1">
        <f t="array" ref="L29">theta_call(E29,A29,0.7,B29,D29,C29)</f>
        <v>-2.9611963353411377</v>
      </c>
      <c r="M29" cm="1">
        <f t="array" ref="M29">theta_call(E29,A29,0.8,B29,D29,C29)</f>
        <v>-2.9491540895906843</v>
      </c>
      <c r="N29" cm="1">
        <f t="array" ref="N29">theta_call(E29,A29,0.9,B29,D29,C29)</f>
        <v>-2.921143780760477</v>
      </c>
      <c r="O29" cm="1">
        <f t="array" ref="O29">theta_call(E29,A29,1,B29,D29,C29)</f>
        <v>-2.8842459338168931</v>
      </c>
      <c r="P29" cm="1">
        <f t="array" ref="P29">theta_call(E29,A29,2,B29,D29,C29)</f>
        <v>-2.4671671059722899</v>
      </c>
      <c r="Q29" cm="1">
        <f t="array" ref="Q29">theta_call(E29,A29,3,B29,D29,C29)</f>
        <v>-2.165991551935607</v>
      </c>
      <c r="R29" cm="1">
        <f t="array" ref="R29">theta_call(E29,A29,4,B29,D29,C29)</f>
        <v>-1.9541251843389913</v>
      </c>
      <c r="S29" cm="1">
        <f t="array" ref="S29">theta_call(E29,A29,5,B29,D29,C29)</f>
        <v>-1.7962299143182534</v>
      </c>
    </row>
    <row r="30" spans="1:29" x14ac:dyDescent="0.3">
      <c r="A30">
        <v>100</v>
      </c>
      <c r="B30">
        <f t="shared" si="1"/>
        <v>0.01</v>
      </c>
      <c r="C30">
        <v>0.2</v>
      </c>
      <c r="D30">
        <v>1E-3</v>
      </c>
      <c r="E30" s="5">
        <v>90</v>
      </c>
      <c r="F30" cm="1">
        <f t="array" ref="F30">theta_call(E30,A30,0.1,B30,D30,C30)</f>
        <v>-3.0977831555959612</v>
      </c>
      <c r="G30" cm="1">
        <f t="array" ref="G30">theta_call(E30,A30,0.2,B30,D30,C30)</f>
        <v>-4.4229841962722523</v>
      </c>
      <c r="H30" cm="1">
        <f t="array" ref="H30">theta_call(E30,A30,0.3,B30,D30,C30)</f>
        <v>-4.5841828725417866</v>
      </c>
      <c r="I30" cm="1">
        <f t="array" ref="I30">theta_call(E30,A30,0.4,B30,D30,C30)</f>
        <v>-4.4845273933563572</v>
      </c>
      <c r="J30" cm="1">
        <f t="array" ref="J30">theta_call(E30,A30,0.5,B30,D30,C30)</f>
        <v>-4.3229463189782491</v>
      </c>
      <c r="K30" cm="1">
        <f t="array" ref="K30">theta_call(E30,A30,0.6,B30,D30,C30)</f>
        <v>-4.1535779365819154</v>
      </c>
      <c r="L30" cm="1">
        <f t="array" ref="L30">theta_call(E30,A30,0.7,B30,D30,C30)</f>
        <v>-3.992563304650989</v>
      </c>
      <c r="M30" cm="1">
        <f t="array" ref="M30">theta_call(E30,A30,0.8,B30,D30,C30)</f>
        <v>-3.8442850392454271</v>
      </c>
      <c r="N30" cm="1">
        <f t="array" ref="N30">theta_call(E30,A30,0.9,B30,D30,C30)</f>
        <v>-3.7091737718377202</v>
      </c>
      <c r="O30" cm="1">
        <f t="array" ref="O30">theta_call(E30,A30,1,B30,D30,C30)</f>
        <v>-3.5863374013094442</v>
      </c>
      <c r="P30" cm="1">
        <f t="array" ref="P30">theta_call(E30,A30,2,B30,D30,C30)</f>
        <v>-2.7924119579412459</v>
      </c>
      <c r="Q30" cm="1">
        <f t="array" ref="Q30">theta_call(E30,A30,3,B30,D30,C30)</f>
        <v>-2.3761808386270982</v>
      </c>
      <c r="R30" cm="1">
        <f t="array" ref="R30">theta_call(E30,A30,4,B30,D30,C30)</f>
        <v>-2.1105590302407502</v>
      </c>
      <c r="S30" cm="1">
        <f t="array" ref="S30">theta_call(E30,A30,5,B30,D30,C30)</f>
        <v>-1.9219124354361479</v>
      </c>
    </row>
    <row r="31" spans="1:29" x14ac:dyDescent="0.3">
      <c r="A31">
        <v>100</v>
      </c>
      <c r="B31">
        <f t="shared" si="1"/>
        <v>0.01</v>
      </c>
      <c r="C31">
        <v>0.2</v>
      </c>
      <c r="D31">
        <v>1E-3</v>
      </c>
      <c r="E31" s="5">
        <v>95</v>
      </c>
      <c r="F31" cm="1">
        <f t="array" ref="F31">theta_call(E31,A31,0.1,B31,D31,C31)</f>
        <v>-9.1252529148215533</v>
      </c>
      <c r="G31" cm="1">
        <f t="array" ref="G31">theta_call(E31,A31,0.2,B31,D31,C31)</f>
        <v>-7.6912579095084048</v>
      </c>
      <c r="H31" cm="1">
        <f t="array" ref="H31">theta_call(E31,A31,0.3,B31,D31,C31)</f>
        <v>-6.6907026096874445</v>
      </c>
      <c r="I31" cm="1">
        <f t="array" ref="I31">theta_call(E31,A31,0.4,B31,D31,C31)</f>
        <v>-5.9976583391539853</v>
      </c>
      <c r="J31" cm="1">
        <f t="array" ref="J31">theta_call(E31,A31,0.5,B31,D31,C31)</f>
        <v>-5.4868373165497966</v>
      </c>
      <c r="K31" cm="1">
        <f t="array" ref="K31">theta_call(E31,A31,0.6,B31,D31,C31)</f>
        <v>-5.091430356460763</v>
      </c>
      <c r="L31" cm="1">
        <f t="array" ref="L31">theta_call(E31,A31,0.7,B31,D31,C31)</f>
        <v>-4.773968008796027</v>
      </c>
      <c r="M31" cm="1">
        <f t="array" ref="M31">theta_call(E31,A31,0.8,B31,D31,C31)</f>
        <v>-4.5118968881818855</v>
      </c>
      <c r="N31" cm="1">
        <f t="array" ref="N31">theta_call(E31,A31,0.9,B31,D31,C31)</f>
        <v>-4.2907987594201025</v>
      </c>
      <c r="O31" cm="1">
        <f t="array" ref="O31">theta_call(E31,A31,1,B31,D31,C31)</f>
        <v>-4.1009936516584649</v>
      </c>
      <c r="P31" cm="1">
        <f t="array" ref="P31">theta_call(E31,A31,2,B31,D31,C31)</f>
        <v>-3.0312949622104668</v>
      </c>
      <c r="Q31" cm="1">
        <f t="array" ref="Q31">theta_call(E31,A31,3,B31,D31,C31)</f>
        <v>-2.5349439809088783</v>
      </c>
      <c r="R31" cm="1">
        <f t="array" ref="R31">theta_call(E31,A31,4,B31,D31,C31)</f>
        <v>-2.2318994790988484</v>
      </c>
      <c r="S31" cm="1">
        <f t="array" ref="S31">theta_call(E31,A31,5,B31,D31,C31)</f>
        <v>-2.0216231070944857</v>
      </c>
    </row>
    <row r="32" spans="1:29" x14ac:dyDescent="0.3">
      <c r="A32">
        <v>100</v>
      </c>
      <c r="B32">
        <f t="shared" si="1"/>
        <v>0.01</v>
      </c>
      <c r="C32">
        <v>0.2</v>
      </c>
      <c r="D32">
        <v>1E-3</v>
      </c>
      <c r="E32" s="5">
        <v>100</v>
      </c>
      <c r="F32" cm="1">
        <f t="array" ref="F32">theta_call(E32,A32,0.1,B32,D32,C32)</f>
        <v>-13.042878781614586</v>
      </c>
      <c r="G32" cm="1">
        <f t="array" ref="G32">theta_call(E32,A32,0.2,B32,D32,C32)</f>
        <v>-9.3386994923745714</v>
      </c>
      <c r="H32" cm="1">
        <f t="array" ref="H32">theta_call(E32,A32,0.3,B32,D32,C32)</f>
        <v>-7.6948444860286536</v>
      </c>
      <c r="I32" cm="1">
        <f t="array" ref="I32">theta_call(E32,A32,0.4,B32,D32,C32)</f>
        <v>-6.7132925235399981</v>
      </c>
      <c r="J32" cm="1">
        <f t="array" ref="J32">theta_call(E32,A32,0.5,B32,D32,C32)</f>
        <v>-6.0423739860923051</v>
      </c>
      <c r="K32" cm="1">
        <f t="array" ref="K32">theta_call(E32,A32,0.6,B32,D32,C32)</f>
        <v>-5.5463465636924587</v>
      </c>
      <c r="L32" cm="1">
        <f t="array" ref="L32">theta_call(E32,A32,0.7,B32,D32,C32)</f>
        <v>-5.1602427869791798</v>
      </c>
      <c r="M32" cm="1">
        <f t="array" ref="M32">theta_call(E32,A32,0.8,B32,D32,C32)</f>
        <v>-4.8485450630236002</v>
      </c>
      <c r="N32" cm="1">
        <f t="array" ref="N32">theta_call(E32,A32,0.9,B32,D32,C32)</f>
        <v>-4.5899796265881116</v>
      </c>
      <c r="O32" cm="1">
        <f t="array" ref="O32">theta_call(E32,A32,1,B32,D32,C32)</f>
        <v>-4.3709231244623465</v>
      </c>
      <c r="P32" cm="1">
        <f t="array" ref="P32">theta_call(E32,A32,2,B32,D32,C32)</f>
        <v>-3.17720528424478</v>
      </c>
      <c r="Q32" cm="1">
        <f t="array" ref="Q32">theta_call(E32,A32,3,B32,D32,C32)</f>
        <v>-2.6414914935861384</v>
      </c>
      <c r="R32" cm="1">
        <f t="array" ref="R32">theta_call(E32,A32,4,B32,D32,C32)</f>
        <v>-2.3185965540602873</v>
      </c>
      <c r="S32" cm="1">
        <f t="array" ref="S32">theta_call(E32,A32,5,B32,D32,C32)</f>
        <v>-2.096112664464068</v>
      </c>
    </row>
    <row r="33" spans="1:29" x14ac:dyDescent="0.3">
      <c r="A33">
        <v>100</v>
      </c>
      <c r="B33">
        <f t="shared" si="1"/>
        <v>0.01</v>
      </c>
      <c r="C33">
        <v>0.2</v>
      </c>
      <c r="D33">
        <v>1E-3</v>
      </c>
      <c r="E33" s="5">
        <v>105</v>
      </c>
      <c r="F33" cm="1">
        <f t="array" ref="F33">theta_call(E33,A33,0.1,B33,D33,C33)</f>
        <v>-10.176465042986734</v>
      </c>
      <c r="G33" cm="1">
        <f t="array" ref="G33">theta_call(E33,A33,0.2,B33,D33,C33)</f>
        <v>-8.396972857908553</v>
      </c>
      <c r="H33" cm="1">
        <f t="array" ref="H33">theta_call(E33,A33,0.3,B33,D33,C33)</f>
        <v>-7.2514537252769635</v>
      </c>
      <c r="I33" cm="1">
        <f t="array" ref="I33">theta_call(E33,A33,0.4,B33,D33,C33)</f>
        <v>-6.4754492874670637</v>
      </c>
      <c r="J33" cm="1">
        <f t="array" ref="J33">theta_call(E33,A33,0.5,B33,D33,C33)</f>
        <v>-5.9095567428888121</v>
      </c>
      <c r="K33" cm="1">
        <f t="array" ref="K33">theta_call(E33,A33,0.6,B33,D33,C33)</f>
        <v>-5.4742883366365263</v>
      </c>
      <c r="L33" cm="1">
        <f t="array" ref="L33">theta_call(E33,A33,0.7,B33,D33,C33)</f>
        <v>-5.1262952576686498</v>
      </c>
      <c r="M33" cm="1">
        <f t="array" ref="M33">theta_call(E33,A33,0.8,B33,D33,C33)</f>
        <v>-4.8398902987689301</v>
      </c>
      <c r="N33" cm="1">
        <f t="array" ref="N33">theta_call(E33,A33,0.9,B33,D33,C33)</f>
        <v>-4.5988162886223023</v>
      </c>
      <c r="O33" cm="1">
        <f t="array" ref="O33">theta_call(E33,A33,1,B33,D33,C33)</f>
        <v>-4.3922353480230703</v>
      </c>
      <c r="P33" cm="1">
        <f t="array" ref="P33">theta_call(E33,A33,2,B33,D33,C33)</f>
        <v>-3.2334951042086204</v>
      </c>
      <c r="Q33" cm="1">
        <f t="array" ref="Q33">theta_call(E33,A33,3,B33,D33,C33)</f>
        <v>-2.6985561446163508</v>
      </c>
      <c r="R33" cm="1">
        <f t="array" ref="R33">theta_call(E33,A33,4,B33,D33,C33)</f>
        <v>-2.3727333077633697</v>
      </c>
      <c r="S33" cm="1">
        <f t="array" ref="S33">theta_call(E33,A33,5,B33,D33,C33)</f>
        <v>-2.1470102993267033</v>
      </c>
    </row>
    <row r="34" spans="1:29" x14ac:dyDescent="0.3">
      <c r="A34">
        <v>100</v>
      </c>
      <c r="B34">
        <f t="shared" si="1"/>
        <v>0.01</v>
      </c>
      <c r="C34">
        <v>0.2</v>
      </c>
      <c r="D34">
        <v>1E-3</v>
      </c>
      <c r="E34" s="5">
        <v>110</v>
      </c>
      <c r="F34" cm="1">
        <f t="array" ref="F34">theta_call(E34,A34,0.1,B34,D34,C34)</f>
        <v>-4.9851584672093363</v>
      </c>
      <c r="G34" cm="1">
        <f t="array" ref="G34">theta_call(E34,A34,0.2,B34,D34,C34)</f>
        <v>-5.935522826225152</v>
      </c>
      <c r="H34" cm="1">
        <f t="array" ref="H34">theta_call(E34,A34,0.3,B34,D34,C34)</f>
        <v>-5.8140920022738936</v>
      </c>
      <c r="I34" cm="1">
        <f t="array" ref="I34">theta_call(E34,A34,0.4,B34,D34,C34)</f>
        <v>-5.5314584748915125</v>
      </c>
      <c r="J34" cm="1">
        <f t="array" ref="J34">theta_call(E34,A34,0.5,B34,D34,C34)</f>
        <v>-5.2436958269025569</v>
      </c>
      <c r="K34" cm="1">
        <f t="array" ref="K34">theta_call(E34,A34,0.6,B34,D34,C34)</f>
        <v>-4.9819643121492625</v>
      </c>
      <c r="L34" cm="1">
        <f t="array" ref="L34">theta_call(E34,A34,0.7,B34,D34,C34)</f>
        <v>-4.7501415435430951</v>
      </c>
      <c r="M34" cm="1">
        <f t="array" ref="M34">theta_call(E34,A34,0.8,B34,D34,C34)</f>
        <v>-4.5456168574389109</v>
      </c>
      <c r="N34" cm="1">
        <f t="array" ref="N34">theta_call(E34,A34,0.9,B34,D34,C34)</f>
        <v>-4.3645690415695171</v>
      </c>
      <c r="O34" cm="1">
        <f t="array" ref="O34">theta_call(E34,A34,1,B34,D34,C34)</f>
        <v>-4.2033770486995063</v>
      </c>
      <c r="P34" cm="1">
        <f t="array" ref="P34">theta_call(E34,A34,2,B34,D34,C34)</f>
        <v>-3.2106591719170829</v>
      </c>
      <c r="Q34" cm="1">
        <f t="array" ref="Q34">theta_call(E34,A34,3,B34,D34,C34)</f>
        <v>-2.7112867509509937</v>
      </c>
      <c r="R34" cm="1">
        <f t="array" ref="R34">theta_call(E34,A34,4,B34,D34,C34)</f>
        <v>-2.3974773148771882</v>
      </c>
      <c r="S34" cm="1">
        <f t="array" ref="S34">theta_call(E34,A34,5,B34,D34,C34)</f>
        <v>-2.1765114030526251</v>
      </c>
    </row>
    <row r="35" spans="1:29" x14ac:dyDescent="0.3">
      <c r="A35">
        <v>100</v>
      </c>
      <c r="B35">
        <f t="shared" si="1"/>
        <v>0.01</v>
      </c>
      <c r="C35">
        <v>0.2</v>
      </c>
      <c r="D35">
        <v>1E-3</v>
      </c>
      <c r="E35" s="5">
        <v>115</v>
      </c>
      <c r="F35" cm="1">
        <f t="array" ref="F35">theta_call(E35,A35,0.1,B35,D35,C35)</f>
        <v>-2.0126607888942254</v>
      </c>
      <c r="G35" cm="1">
        <f t="array" ref="G35">theta_call(E35,A35,0.2,B35,D35,C35)</f>
        <v>-3.559082636361564</v>
      </c>
      <c r="H35" cm="1">
        <f t="array" ref="H35">theta_call(E35,A35,0.3,B35,D35,C35)</f>
        <v>-4.1338746059159233</v>
      </c>
      <c r="I35" cm="1">
        <f t="array" ref="I35">theta_call(E35,A35,0.4,B35,D35,C35)</f>
        <v>-4.3033176326752942</v>
      </c>
      <c r="J35" cm="1">
        <f t="array" ref="J35">theta_call(E35,A35,0.5,B35,D35,C35)</f>
        <v>-4.310961690026148</v>
      </c>
      <c r="K35" cm="1">
        <f t="array" ref="K35">theta_call(E35,A35,0.6,B35,D35,C35)</f>
        <v>-4.2510107946622471</v>
      </c>
      <c r="L35" cm="1">
        <f t="array" ref="L35">theta_call(E35,A35,0.7,B35,D35,C35)</f>
        <v>-4.1629699054950295</v>
      </c>
      <c r="M35" cm="1">
        <f t="array" ref="M35">theta_call(E35,A35,0.8,B35,D35,C35)</f>
        <v>-4.064614439558909</v>
      </c>
      <c r="N35" cm="1">
        <f t="array" ref="N35">theta_call(E35,A35,0.9,B35,D35,C35)</f>
        <v>-3.9643045298141564</v>
      </c>
      <c r="O35" cm="1">
        <f t="array" ref="O35">theta_call(E35,A35,1,B35,D35,C35)</f>
        <v>-3.8660286582502055</v>
      </c>
      <c r="P35" cm="1">
        <f t="array" ref="P35">theta_call(E35,A35,2,B35,D35,C35)</f>
        <v>-3.1233340777478333</v>
      </c>
      <c r="Q35" cm="1">
        <f t="array" ref="Q35">theta_call(E35,A35,3,B35,D35,C35)</f>
        <v>-2.6862316260829289</v>
      </c>
      <c r="R35" cm="1">
        <f t="array" ref="R35">theta_call(E35,A35,4,B35,D35,C35)</f>
        <v>-2.3966121442056085</v>
      </c>
      <c r="S35" cm="1">
        <f t="array" ref="S35">theta_call(E35,A35,5,B35,D35,C35)</f>
        <v>-2.187122585852038</v>
      </c>
    </row>
    <row r="36" spans="1:29" x14ac:dyDescent="0.3">
      <c r="A36">
        <v>100</v>
      </c>
      <c r="B36">
        <f t="shared" si="1"/>
        <v>0.01</v>
      </c>
      <c r="C36">
        <v>0.2</v>
      </c>
      <c r="D36">
        <v>1E-3</v>
      </c>
      <c r="E36" s="5">
        <v>120</v>
      </c>
      <c r="F36" cm="1">
        <f t="array" ref="F36">theta_call(E36,A36,0.1,B36,D36,C36)</f>
        <v>-1.0869240829553422</v>
      </c>
      <c r="G36" cm="1">
        <f t="array" ref="G36">theta_call(E36,A36,0.2,B36,D36,C36)</f>
        <v>-2.0339976146138263</v>
      </c>
      <c r="H36" cm="1">
        <f t="array" ref="H36">theta_call(E36,A36,0.3,B36,D36,C36)</f>
        <v>-2.7469706590481393</v>
      </c>
      <c r="I36" cm="1">
        <f t="array" ref="I36">theta_call(E36,A36,0.4,B36,D36,C36)</f>
        <v>-3.147706659526639</v>
      </c>
      <c r="J36" cm="1">
        <f t="array" ref="J36">theta_call(E36,A36,0.5,B36,D36,C36)</f>
        <v>-3.3579326278981654</v>
      </c>
      <c r="K36" cm="1">
        <f t="array" ref="K36">theta_call(E36,A36,0.6,B36,D36,C36)</f>
        <v>-3.4594170248867981</v>
      </c>
      <c r="L36" cm="1">
        <f t="array" ref="L36">theta_call(E36,A36,0.7,B36,D36,C36)</f>
        <v>-3.4981659484709287</v>
      </c>
      <c r="M36" cm="1">
        <f t="array" ref="M36">theta_call(E36,A36,0.8,B36,D36,C36)</f>
        <v>-3.5000058505712981</v>
      </c>
      <c r="N36" cm="1">
        <f t="array" ref="N36">theta_call(E36,A36,0.9,B36,D36,C36)</f>
        <v>-3.4798344128974721</v>
      </c>
      <c r="O36" cm="1">
        <f t="array" ref="O36">theta_call(E36,A36,1,B36,D36,C36)</f>
        <v>-3.4465096345011297</v>
      </c>
      <c r="P36" cm="1">
        <f t="array" ref="P36">theta_call(E36,A36,2,B36,D36,C36)</f>
        <v>-2.9876784835675552</v>
      </c>
      <c r="Q36" cm="1">
        <f t="array" ref="Q36">theta_call(E36,A36,3,B36,D36,C36)</f>
        <v>-2.6305014853665147</v>
      </c>
      <c r="R36" cm="1">
        <f t="array" ref="R36">theta_call(E36,A36,4,B36,D36,C36)</f>
        <v>-2.3741655026725783</v>
      </c>
      <c r="S36" cm="1">
        <f t="array" ref="S36">theta_call(E36,A36,5,B36,D36,C36)</f>
        <v>-2.1814645542821167</v>
      </c>
    </row>
    <row r="37" spans="1:29" x14ac:dyDescent="0.3">
      <c r="A37">
        <v>100</v>
      </c>
      <c r="B37">
        <f t="shared" si="1"/>
        <v>0.01</v>
      </c>
      <c r="C37">
        <v>0.2</v>
      </c>
      <c r="D37">
        <v>1E-3</v>
      </c>
      <c r="E37" s="5">
        <v>125</v>
      </c>
      <c r="F37" cm="1">
        <f t="array" ref="F37">theta_call(E37,A37,0.1,B37,D37,C37)</f>
        <v>-0.90235466735135761</v>
      </c>
      <c r="G37" cm="1">
        <f t="array" ref="G37">theta_call(E37,A37,0.2,B37,D37,C37)</f>
        <v>-1.2921208467386696</v>
      </c>
      <c r="H37" cm="1">
        <f t="array" ref="H37">theta_call(E37,A37,0.3,B37,D37,C37)</f>
        <v>-1.8270517338963161</v>
      </c>
      <c r="I37" cm="1">
        <f t="array" ref="I37">theta_call(E37,A37,0.4,B37,D37,C37)</f>
        <v>-2.249470933947189</v>
      </c>
      <c r="J37" cm="1">
        <f t="array" ref="J37">theta_call(E37,A37,0.5,B37,D37,C37)</f>
        <v>-2.5413889361185102</v>
      </c>
      <c r="K37" cm="1">
        <f t="array" ref="K37">theta_call(E37,A37,0.6,B37,D37,C37)</f>
        <v>-2.7344216142405058</v>
      </c>
      <c r="L37" cm="1">
        <f t="array" ref="L37">theta_call(E37,A37,0.7,B37,D37,C37)</f>
        <v>-2.8586230470444058</v>
      </c>
      <c r="M37" cm="1">
        <f t="array" ref="M37">theta_call(E37,A37,0.8,B37,D37,C37)</f>
        <v>-2.9356872053667797</v>
      </c>
      <c r="N37" cm="1">
        <f t="array" ref="N37">theta_call(E37,A37,0.9,B37,D37,C37)</f>
        <v>-2.9803682658391057</v>
      </c>
      <c r="O37" cm="1">
        <f t="array" ref="O37">theta_call(E37,A37,1,B37,D37,C37)</f>
        <v>-3.0026142492558234</v>
      </c>
      <c r="P37" cm="1">
        <f t="array" ref="P37">theta_call(E37,A37,2,B37,D37,C37)</f>
        <v>-2.8194002071223609</v>
      </c>
      <c r="Q37" cm="1">
        <f t="array" ref="Q37">theta_call(E37,A37,3,B37,D37,C37)</f>
        <v>-2.551141326171666</v>
      </c>
      <c r="R37" cm="1">
        <f t="array" ref="R37">theta_call(E37,A37,4,B37,D37,C37)</f>
        <v>-2.3341333437530092</v>
      </c>
      <c r="S37" cm="1">
        <f t="array" ref="S37">theta_call(E37,A37,5,B37,D37,C37)</f>
        <v>-2.1621276436413353</v>
      </c>
    </row>
    <row r="38" spans="1:29" x14ac:dyDescent="0.3">
      <c r="A38">
        <v>100</v>
      </c>
      <c r="B38">
        <f t="shared" si="1"/>
        <v>0.01</v>
      </c>
      <c r="C38">
        <v>0.2</v>
      </c>
      <c r="D38">
        <v>1E-3</v>
      </c>
      <c r="E38" s="5">
        <v>130</v>
      </c>
      <c r="F38" cm="1">
        <f t="array" ref="F38">theta_call(E38,A38,0.1,B38,D38,C38)</f>
        <v>-0.87347982524293966</v>
      </c>
      <c r="G38" cm="1">
        <f t="array" ref="G38">theta_call(E38,A38,0.2,B38,D38,C38)</f>
        <v>-0.99989924890113624</v>
      </c>
      <c r="H38" cm="1">
        <f t="array" ref="H38">theta_call(E38,A38,0.3,B38,D38,C38)</f>
        <v>-1.3080391725907676</v>
      </c>
      <c r="I38" cm="1">
        <f t="array" ref="I38">theta_call(E38,A38,0.4,B38,D38,C38)</f>
        <v>-1.6404883921889724</v>
      </c>
      <c r="J38" cm="1">
        <f t="array" ref="J38">theta_call(E38,A38,0.5,B38,D38,C38)</f>
        <v>-1.9221882263178753</v>
      </c>
      <c r="K38" cm="1">
        <f t="array" ref="K38">theta_call(E38,A38,0.6,B38,D38,C38)</f>
        <v>-2.1413109346341264</v>
      </c>
      <c r="L38" cm="1">
        <f t="array" ref="L38">theta_call(E38,A38,0.7,B38,D38,C38)</f>
        <v>-2.3057479528918283</v>
      </c>
      <c r="M38" cm="1">
        <f t="array" ref="M38">theta_call(E38,A38,0.8,B38,D38,C38)</f>
        <v>-2.4268062229102894</v>
      </c>
      <c r="N38" cm="1">
        <f t="array" ref="N38">theta_call(E38,A38,0.9,B38,D38,C38)</f>
        <v>-2.5145788087989263</v>
      </c>
      <c r="O38" cm="1">
        <f t="array" ref="O38">theta_call(E38,A38,1,B38,D38,C38)</f>
        <v>-2.5770698520709718</v>
      </c>
      <c r="P38" cm="1">
        <f t="array" ref="P38">theta_call(E38,A38,2,B38,D38,C38)</f>
        <v>-2.6324769481649168</v>
      </c>
      <c r="Q38" cm="1">
        <f t="array" ref="Q38">theta_call(E38,A38,3,B38,D38,C38)</f>
        <v>-2.4547025515772098</v>
      </c>
      <c r="R38" cm="1">
        <f t="array" ref="R38">theta_call(E38,A38,4,B38,D38,C38)</f>
        <v>-2.2802895702209378</v>
      </c>
      <c r="S38" cm="1">
        <f t="array" ref="S38">theta_call(E38,A38,5,B38,D38,C38)</f>
        <v>-2.1315721314017555</v>
      </c>
    </row>
    <row r="39" spans="1:29" x14ac:dyDescent="0.3">
      <c r="A39">
        <v>100</v>
      </c>
      <c r="B39">
        <f t="shared" si="1"/>
        <v>0.01</v>
      </c>
      <c r="C39">
        <v>0.2</v>
      </c>
      <c r="D39">
        <v>1E-3</v>
      </c>
      <c r="E39" s="5">
        <v>135</v>
      </c>
      <c r="F39" cm="1">
        <f t="array" ref="F39">theta_call(E39,A39,0.1,B39,D39,C39)</f>
        <v>-0.86618959151031594</v>
      </c>
      <c r="G39" cm="1">
        <f t="array" ref="G39">theta_call(E39,A39,0.2,B39,D39,C39)</f>
        <v>-0.90136095418777906</v>
      </c>
      <c r="H39" cm="1">
        <f t="array" ref="H39">theta_call(E39,A39,0.3,B39,D39,C39)</f>
        <v>-1.0498962182460072</v>
      </c>
      <c r="I39" cm="1">
        <f t="array" ref="I39">theta_call(E39,A39,0.4,B39,D39,C39)</f>
        <v>-1.2689609379241888</v>
      </c>
      <c r="J39" cm="1">
        <f t="array" ref="J39">theta_call(E39,A39,0.5,B39,D39,C39)</f>
        <v>-1.4942259566273672</v>
      </c>
      <c r="K39" cm="1">
        <f t="array" ref="K39">theta_call(E39,A39,0.6,B39,D39,C39)</f>
        <v>-1.6953337896649385</v>
      </c>
      <c r="L39" cm="1">
        <f t="array" ref="L39">theta_call(E39,A39,0.7,B39,D39,C39)</f>
        <v>-1.8638930193156991</v>
      </c>
      <c r="M39" cm="1">
        <f t="array" ref="M39">theta_call(E39,A39,0.8,B39,D39,C39)</f>
        <v>-2.0008231840249731</v>
      </c>
      <c r="N39" cm="1">
        <f t="array" ref="N39">theta_call(E39,A39,0.9,B39,D39,C39)</f>
        <v>-2.1101442724300141</v>
      </c>
      <c r="O39" cm="1">
        <f t="array" ref="O39">theta_call(E39,A39,1,B39,D39,C39)</f>
        <v>-2.1964269231442479</v>
      </c>
      <c r="P39" cm="1">
        <f t="array" ref="P39">theta_call(E39,A39,2,B39,D39,C39)</f>
        <v>-2.438486502072041</v>
      </c>
      <c r="Q39" cm="1">
        <f t="array" ref="Q39">theta_call(E39,A39,3,B39,D39,C39)</f>
        <v>-2.3469862764430851</v>
      </c>
      <c r="R39" cm="1">
        <f t="array" ref="R39">theta_call(E39,A39,4,B39,D39,C39)</f>
        <v>-2.2160667001545571</v>
      </c>
      <c r="S39" cm="1">
        <f t="array" ref="S39">theta_call(E39,A39,5,B39,D39,C39)</f>
        <v>-2.0920647477024126</v>
      </c>
    </row>
    <row r="40" spans="1:29" x14ac:dyDescent="0.3">
      <c r="A40">
        <v>100</v>
      </c>
      <c r="B40">
        <f t="shared" si="1"/>
        <v>0.01</v>
      </c>
      <c r="C40">
        <v>0.2</v>
      </c>
      <c r="D40">
        <v>1E-3</v>
      </c>
      <c r="E40" s="5">
        <v>140</v>
      </c>
      <c r="F40" cm="1">
        <f t="array" ref="F40">theta_call(E40,A40,0.1,B40,D40,C40)</f>
        <v>-0.86102432424140118</v>
      </c>
      <c r="G40" cm="1">
        <f t="array" ref="G40">theta_call(E40,A40,0.2,B40,D40,C40)</f>
        <v>-0.87019825774120929</v>
      </c>
      <c r="H40" cm="1">
        <f t="array" ref="H40">theta_call(E40,A40,0.3,B40,D40,C40)</f>
        <v>-0.93316102119980371</v>
      </c>
      <c r="I40" cm="1">
        <f t="array" ref="I40">theta_call(E40,A40,0.4,B40,D40,C40)</f>
        <v>-1.0603786062427247</v>
      </c>
      <c r="J40" cm="1">
        <f t="array" ref="J40">theta_call(E40,A40,0.5,B40,D40,C40)</f>
        <v>-1.2193180695286674</v>
      </c>
      <c r="K40" cm="1">
        <f t="array" ref="K40">theta_call(E40,A40,0.6,B40,D40,C40)</f>
        <v>-1.3814526528494324</v>
      </c>
      <c r="L40" cm="1">
        <f t="array" ref="L40">theta_call(E40,A40,0.7,B40,D40,C40)</f>
        <v>-1.5316788272661117</v>
      </c>
      <c r="M40" cm="1">
        <f t="array" ref="M40">theta_call(E40,A40,0.8,B40,D40,C40)</f>
        <v>-1.6640919965075454</v>
      </c>
      <c r="N40" cm="1">
        <f t="array" ref="N40">theta_call(E40,A40,0.9,B40,D40,C40)</f>
        <v>-1.7776028210173718</v>
      </c>
      <c r="O40" cm="1">
        <f t="array" ref="O40">theta_call(E40,A40,1,B40,D40,C40)</f>
        <v>-1.8733090956567153</v>
      </c>
      <c r="P40" cm="1">
        <f t="array" ref="P40">theta_call(E40,A40,2,B40,D40,C40)</f>
        <v>-2.2464044408146613</v>
      </c>
      <c r="Q40" cm="1">
        <f t="array" ref="Q40">theta_call(E40,A40,3,B40,D40,C40)</f>
        <v>-2.2329210768772656</v>
      </c>
      <c r="R40" cm="1">
        <f t="array" ref="R40">theta_call(E40,A40,4,B40,D40,C40)</f>
        <v>-2.1444920327361094</v>
      </c>
      <c r="S40" cm="1">
        <f t="array" ref="S40">theta_call(E40,A40,5,B40,D40,C40)</f>
        <v>-2.0456432152628281</v>
      </c>
    </row>
    <row r="42" spans="1:29" x14ac:dyDescent="0.3">
      <c r="A42" s="2" t="s">
        <v>29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3">
      <c r="A43" t="s">
        <v>13</v>
      </c>
      <c r="B43" t="s">
        <v>14</v>
      </c>
      <c r="C43" t="s">
        <v>15</v>
      </c>
      <c r="D43" t="s">
        <v>26</v>
      </c>
      <c r="F43" s="7">
        <v>0.1</v>
      </c>
      <c r="G43" s="7">
        <v>0.2</v>
      </c>
      <c r="H43" s="7">
        <v>0.3</v>
      </c>
      <c r="I43" s="7">
        <v>0.4</v>
      </c>
      <c r="J43" s="7">
        <v>0.5</v>
      </c>
      <c r="K43" s="7">
        <v>0.6</v>
      </c>
      <c r="L43" s="7">
        <v>0.7</v>
      </c>
      <c r="M43" s="7">
        <v>0.8</v>
      </c>
      <c r="N43" s="7">
        <v>0.9</v>
      </c>
      <c r="O43" s="7">
        <v>1</v>
      </c>
      <c r="P43" s="7">
        <v>2</v>
      </c>
      <c r="Q43" s="7">
        <v>3</v>
      </c>
      <c r="R43" s="7">
        <v>4</v>
      </c>
      <c r="S43" s="7">
        <v>5</v>
      </c>
    </row>
    <row r="44" spans="1:29" x14ac:dyDescent="0.3">
      <c r="A44">
        <v>100</v>
      </c>
      <c r="B44">
        <f>1/100</f>
        <v>0.01</v>
      </c>
      <c r="C44">
        <v>0.2</v>
      </c>
      <c r="D44">
        <v>1E-3</v>
      </c>
      <c r="E44" s="5">
        <v>60</v>
      </c>
      <c r="F44" cm="1">
        <f t="array" ref="F44">gamma_new(E44,A44,0.1,B44,D44,C44)</f>
        <v>1.0382834790433627E-15</v>
      </c>
      <c r="G44" cm="1">
        <f t="array" ref="G44">gamma_new(E44,A44,0.2,B44,D44,C44)</f>
        <v>8.8751884497131567E-9</v>
      </c>
      <c r="H44" cm="1">
        <f t="array" ref="H44">gamma_new(E44,A44,0.3,B44,D44,C44)</f>
        <v>1.6618462648011102E-6</v>
      </c>
      <c r="I44" cm="1">
        <f t="array" ref="I44">gamma_new(E44,A44,0.4,B44,D44,C44)</f>
        <v>2.1782159406448456E-5</v>
      </c>
      <c r="J44" cm="1">
        <f t="array" ref="J44">gamma_new(E44,A44,0.5,B44,D44,C44)</f>
        <v>9.9410808490903009E-5</v>
      </c>
      <c r="K44" cm="1">
        <f t="array" ref="K44">gamma_new(E44,A44,0.6,B44,D44,C44)</f>
        <v>2.6886531269758204E-4</v>
      </c>
      <c r="L44" cm="1">
        <f t="array" ref="L44">gamma_new(E44,A44,0.7,B44,D44,C44)</f>
        <v>5.4055668000670728E-4</v>
      </c>
      <c r="M44" cm="1">
        <f t="array" ref="M44">gamma_new(E44,A44,0.8,B44,D44,C44)</f>
        <v>9.0428465821851332E-4</v>
      </c>
      <c r="N44" cm="1">
        <f t="array" ref="N44">gamma_new(E44,A44,0.9,B44,D44,C44)</f>
        <v>1.3396010917756487E-3</v>
      </c>
      <c r="O44" cm="1">
        <f t="array" ref="O44">gamma_new(E44,A44,1,B44,D44,C44)</f>
        <v>1.8238706061423913E-3</v>
      </c>
      <c r="P44" cm="1">
        <f t="array" ref="P44">gamma_new(E44,A44,2,B44,D44,C44)</f>
        <v>6.5127869731934733E-3</v>
      </c>
      <c r="Q44" cm="1">
        <f t="array" ref="Q44">gamma_new(E44,A44,3,B44,D44,C44)</f>
        <v>9.05351687912773E-3</v>
      </c>
      <c r="R44" cm="1">
        <f t="array" ref="R44">gamma_new(E44,A44,4,B44,D44,C44)</f>
        <v>1.0171759324938032E-2</v>
      </c>
      <c r="S44" cm="1">
        <f t="array" ref="S44">gamma_new(E44,A44,5,B44,D44,C44)</f>
        <v>1.0586929479187497E-2</v>
      </c>
    </row>
    <row r="45" spans="1:29" x14ac:dyDescent="0.3">
      <c r="A45">
        <v>100</v>
      </c>
      <c r="B45">
        <f t="shared" ref="B45:B60" si="2">1/100</f>
        <v>0.01</v>
      </c>
      <c r="C45">
        <v>0.2</v>
      </c>
      <c r="D45">
        <v>1E-3</v>
      </c>
      <c r="E45" s="5">
        <v>65</v>
      </c>
      <c r="F45" cm="1">
        <f t="array" ref="F45">gamma_new(E45,A45,0.1,B45,D45,C45)</f>
        <v>1.1165760931782117E-11</v>
      </c>
      <c r="G45" cm="1">
        <f t="array" ref="G45">gamma_new(E45,A45,0.2,B45,D45,C45)</f>
        <v>8.589768458469111E-7</v>
      </c>
      <c r="H45" cm="1">
        <f t="array" ref="H45">gamma_new(E45,A45,0.3,B45,D45,C45)</f>
        <v>3.3455835766968332E-5</v>
      </c>
      <c r="I45" cm="1">
        <f t="array" ref="I45">gamma_new(E45,A45,0.4,B45,D45,C45)</f>
        <v>1.9999565123611686E-4</v>
      </c>
      <c r="J45" cm="1">
        <f t="array" ref="J45">gamma_new(E45,A45,0.5,B45,D45,C45)</f>
        <v>5.69870762016944E-4</v>
      </c>
      <c r="K45" cm="1">
        <f t="array" ref="K45">gamma_new(E45,A45,0.6,B45,D45,C45)</f>
        <v>1.1258822656373291E-3</v>
      </c>
      <c r="L45" cm="1">
        <f t="array" ref="L45">gamma_new(E45,A45,0.7,B45,D45,C45)</f>
        <v>1.8087639477853701E-3</v>
      </c>
      <c r="M45" cm="1">
        <f t="array" ref="M45">gamma_new(E45,A45,0.8,B45,D45,C45)</f>
        <v>2.5573057571737583E-3</v>
      </c>
      <c r="N45" cm="1">
        <f t="array" ref="N45">gamma_new(E45,A45,0.9,B45,D45,C45)</f>
        <v>3.3237326504363344E-3</v>
      </c>
      <c r="O45" cm="1">
        <f t="array" ref="O45">gamma_new(E45,A45,1,B45,D45,C45)</f>
        <v>4.0755205974929336E-3</v>
      </c>
      <c r="P45" cm="1">
        <f t="array" ref="P45">gamma_new(E45,A45,2,B45,D45,C45)</f>
        <v>9.0861330189577379E-3</v>
      </c>
      <c r="Q45" cm="1">
        <f t="array" ref="Q45">gamma_new(E45,A45,3,B45,D45,C45)</f>
        <v>1.0795362979278127E-2</v>
      </c>
      <c r="R45" cm="1">
        <f t="array" ref="R45">gamma_new(E45,A45,4,B45,D45,C45)</f>
        <v>1.1212949541089583E-2</v>
      </c>
      <c r="S45" cm="1">
        <f t="array" ref="S45">gamma_new(E45,A45,5,B45,D45,C45)</f>
        <v>1.1133613150455E-2</v>
      </c>
    </row>
    <row r="46" spans="1:29" x14ac:dyDescent="0.3">
      <c r="A46">
        <v>100</v>
      </c>
      <c r="B46">
        <f t="shared" si="2"/>
        <v>0.01</v>
      </c>
      <c r="C46">
        <v>0.2</v>
      </c>
      <c r="D46">
        <v>1E-3</v>
      </c>
      <c r="E46" s="5">
        <v>70</v>
      </c>
      <c r="F46" cm="1">
        <f t="array" ref="F46">gamma_new(E46,A46,0.1,B46,D46,C46)</f>
        <v>1.4467050014232707E-8</v>
      </c>
      <c r="G46" cm="1">
        <f t="array" ref="G46">gamma_new(E46,A46,0.2,B46,D46,C46)</f>
        <v>2.9004674556816257E-5</v>
      </c>
      <c r="H46" cm="1">
        <f t="array" ref="H46">gamma_new(E46,A46,0.3,B46,D46,C46)</f>
        <v>3.3493205719945619E-4</v>
      </c>
      <c r="I46" cm="1">
        <f t="array" ref="I46">gamma_new(E46,A46,0.4,B46,D46,C46)</f>
        <v>1.0901958706068715E-3</v>
      </c>
      <c r="J46" cm="1">
        <f t="array" ref="J46">gamma_new(E46,A46,0.5,B46,D46,C46)</f>
        <v>2.157048171844565E-3</v>
      </c>
      <c r="K46" cm="1">
        <f t="array" ref="K46">gamma_new(E46,A46,0.6,B46,D46,C46)</f>
        <v>3.3417665355633831E-3</v>
      </c>
      <c r="L46" cm="1">
        <f t="array" ref="L46">gamma_new(E46,A46,0.7,B46,D46,C46)</f>
        <v>4.5126973214893139E-3</v>
      </c>
      <c r="M46" cm="1">
        <f t="array" ref="M46">gamma_new(E46,A46,0.8,B46,D46,C46)</f>
        <v>5.6009972200600907E-3</v>
      </c>
      <c r="N46" cm="1">
        <f t="array" ref="N46">gamma_new(E46,A46,0.9,B46,D46,C46)</f>
        <v>6.5782237588655522E-3</v>
      </c>
      <c r="O46" cm="1">
        <f t="array" ref="O46">gamma_new(E46,A46,1,B46,D46,C46)</f>
        <v>7.4381603619864895E-3</v>
      </c>
      <c r="P46" cm="1">
        <f t="array" ref="P46">gamma_new(E46,A46,2,B46,D46,C46)</f>
        <v>1.1514922610876242E-2</v>
      </c>
      <c r="Q46" cm="1">
        <f t="array" ref="Q46">gamma_new(E46,A46,3,B46,D46,C46)</f>
        <v>1.2114877075067428E-2</v>
      </c>
      <c r="R46" cm="1">
        <f t="array" ref="R46">gamma_new(E46,A46,4,B46,D46,C46)</f>
        <v>1.1841358915074212E-2</v>
      </c>
      <c r="S46" cm="1">
        <f t="array" ref="S46">gamma_new(E46,A46,5,B46,D46,C46)</f>
        <v>1.1336467651705394E-2</v>
      </c>
    </row>
    <row r="47" spans="1:29" x14ac:dyDescent="0.3">
      <c r="A47">
        <v>100</v>
      </c>
      <c r="B47">
        <f t="shared" si="2"/>
        <v>0.01</v>
      </c>
      <c r="C47">
        <v>0.2</v>
      </c>
      <c r="D47">
        <v>1E-3</v>
      </c>
      <c r="E47" s="5">
        <v>75</v>
      </c>
      <c r="F47" cm="1">
        <f t="array" ref="F47">gamma_new(E47,A47,0.1,B47,D47,C47)</f>
        <v>3.327132331982825E-6</v>
      </c>
      <c r="G47" cm="1">
        <f t="array" ref="G47">gamma_new(E47,A47,0.2,B47,D47,C47)</f>
        <v>4.1444772746496503E-4</v>
      </c>
      <c r="H47" cm="1">
        <f t="array" ref="H47">gamma_new(E47,A47,0.3,B47,D47,C47)</f>
        <v>1.8955229223604341E-3</v>
      </c>
      <c r="I47" cm="1">
        <f t="array" ref="I47">gamma_new(E47,A47,0.4,B47,D47,C47)</f>
        <v>3.8829530143266312E-3</v>
      </c>
      <c r="J47" cm="1">
        <f t="array" ref="J47">gamma_new(E47,A47,0.5,B47,D47,C47)</f>
        <v>5.8190034422563224E-3</v>
      </c>
      <c r="K47" cm="1">
        <f t="array" ref="K47">gamma_new(E47,A47,0.6,B47,D47,C47)</f>
        <v>7.4906410691583112E-3</v>
      </c>
      <c r="L47" cm="1">
        <f t="array" ref="L47">gamma_new(E47,A47,0.7,B47,D47,C47)</f>
        <v>8.8617141715543295E-3</v>
      </c>
      <c r="M47" cm="1">
        <f t="array" ref="M47">gamma_new(E47,A47,0.8,B47,D47,C47)</f>
        <v>9.9598059796433182E-3</v>
      </c>
      <c r="N47" cm="1">
        <f t="array" ref="N47">gamma_new(E47,A47,0.9,B47,D47,C47)</f>
        <v>1.0828668106102854E-2</v>
      </c>
      <c r="O47" cm="1">
        <f t="array" ref="O47">gamma_new(E47,A47,1,B47,D47,C47)</f>
        <v>1.1511095105920665E-2</v>
      </c>
      <c r="P47" cm="1">
        <f t="array" ref="P47">gamma_new(E47,A47,2,B47,D47,C47)</f>
        <v>1.349718795826634E-2</v>
      </c>
      <c r="Q47" cm="1">
        <f t="array" ref="Q47">gamma_new(E47,A47,3,B47,D47,C47)</f>
        <v>1.2944293152692979E-2</v>
      </c>
      <c r="R47" cm="1">
        <f t="array" ref="R47">gamma_new(E47,A47,4,B47,D47,C47)</f>
        <v>1.2079512314326366E-2</v>
      </c>
      <c r="S47" cm="1">
        <f t="array" ref="S47">gamma_new(E47,A47,5,B47,D47,C47)</f>
        <v>1.1247570547096401E-2</v>
      </c>
    </row>
    <row r="48" spans="1:29" x14ac:dyDescent="0.3">
      <c r="A48">
        <v>100</v>
      </c>
      <c r="B48">
        <f t="shared" si="2"/>
        <v>0.01</v>
      </c>
      <c r="C48">
        <v>0.2</v>
      </c>
      <c r="D48">
        <v>1E-3</v>
      </c>
      <c r="E48" s="5">
        <v>80</v>
      </c>
      <c r="F48" cm="1">
        <f t="array" ref="F48">gamma_new(E48,A48,0.1,B48,D48,C48)</f>
        <v>1.8341899246738624E-4</v>
      </c>
      <c r="G48" cm="1">
        <f t="array" ref="G48">gamma_new(E48,A48,0.2,B48,D48,C48)</f>
        <v>2.9105971713074426E-3</v>
      </c>
      <c r="H48" cm="1">
        <f t="array" ref="H48">gamma_new(E48,A48,0.3,B48,D48,C48)</f>
        <v>6.698137905324076E-3</v>
      </c>
      <c r="I48" cm="1">
        <f t="array" ref="I48">gamma_new(E48,A48,0.4,B48,D48,C48)</f>
        <v>9.7329284658594552E-3</v>
      </c>
      <c r="J48" cm="1">
        <f t="array" ref="J48">gamma_new(E48,A48,0.5,B48,D48,C48)</f>
        <v>1.1869811477064261E-2</v>
      </c>
      <c r="K48" cm="1">
        <f t="array" ref="K48">gamma_new(E48,A48,0.6,B48,D48,C48)</f>
        <v>1.3318543556341112E-2</v>
      </c>
      <c r="L48" cm="1">
        <f t="array" ref="L48">gamma_new(E48,A48,0.7,B48,D48,C48)</f>
        <v>1.4283775481167138E-2</v>
      </c>
      <c r="M48" cm="1">
        <f t="array" ref="M48">gamma_new(E48,A48,0.8,B48,D48,C48)</f>
        <v>1.4914778300999795E-2</v>
      </c>
      <c r="N48" cm="1">
        <f t="array" ref="N48">gamma_new(E48,A48,0.9,B48,D48,C48)</f>
        <v>1.5313825436311674E-2</v>
      </c>
      <c r="O48" cm="1">
        <f t="array" ref="O48">gamma_new(E48,A48,1,B48,D48,C48)</f>
        <v>1.5550325052064672E-2</v>
      </c>
      <c r="P48" cm="1">
        <f t="array" ref="P48">gamma_new(E48,A48,2,B48,D48,C48)</f>
        <v>1.4838156127907306E-2</v>
      </c>
      <c r="Q48" cm="1">
        <f t="array" ref="Q48">gamma_new(E48,A48,3,B48,D48,C48)</f>
        <v>1.3285755353078672E-2</v>
      </c>
      <c r="R48" cm="1">
        <f t="array" ref="R48">gamma_new(E48,A48,4,B48,D48,C48)</f>
        <v>1.1979617376318244E-2</v>
      </c>
      <c r="S48" cm="1">
        <f t="array" ref="S48">gamma_new(E48,A48,5,B48,D48,C48)</f>
        <v>1.0927068186900368E-2</v>
      </c>
    </row>
    <row r="49" spans="1:29" x14ac:dyDescent="0.3">
      <c r="A49">
        <v>100</v>
      </c>
      <c r="B49">
        <f t="shared" si="2"/>
        <v>0.01</v>
      </c>
      <c r="C49">
        <v>0.2</v>
      </c>
      <c r="D49">
        <v>1E-3</v>
      </c>
      <c r="E49" s="5">
        <v>85</v>
      </c>
      <c r="F49" cm="1">
        <f t="array" ref="F49">gamma_new(E49,A49,0.1,B49,D49,C49)</f>
        <v>3.0710533591119934E-3</v>
      </c>
      <c r="G49" cm="1">
        <f t="array" ref="G49">gamma_new(E49,A49,0.2,B49,D49,C49)</f>
        <v>1.1303031103600553E-2</v>
      </c>
      <c r="H49" cm="1">
        <f t="array" ref="H49">gamma_new(E49,A49,0.3,B49,D49,C49)</f>
        <v>1.5981719043254843E-2</v>
      </c>
      <c r="I49" cm="1">
        <f t="array" ref="I49">gamma_new(E49,A49,0.4,B49,D49,C49)</f>
        <v>1.8202927178516102E-2</v>
      </c>
      <c r="J49" cm="1">
        <f t="array" ref="J49">gamma_new(E49,A49,0.5,B49,D49,C49)</f>
        <v>1.9181320306576797E-2</v>
      </c>
      <c r="K49" cm="1">
        <f t="array" ref="K49">gamma_new(E49,A49,0.6,B49,D49,C49)</f>
        <v>1.9524626246097028E-2</v>
      </c>
      <c r="L49" cm="1">
        <f t="array" ref="L49">gamma_new(E49,A49,0.7,B49,D49,C49)</f>
        <v>1.9532081208649191E-2</v>
      </c>
      <c r="M49" cm="1">
        <f t="array" ref="M49">gamma_new(E49,A49,0.8,B49,D49,C49)</f>
        <v>1.935784208451883E-2</v>
      </c>
      <c r="N49" cm="1">
        <f t="array" ref="N49">gamma_new(E49,A49,0.9,B49,D49,C49)</f>
        <v>1.9085134060957933E-2</v>
      </c>
      <c r="O49" cm="1">
        <f t="array" ref="O49">gamma_new(E49,A49,1,B49,D49,C49)</f>
        <v>1.8760659453078813E-2</v>
      </c>
      <c r="P49" cm="1">
        <f t="array" ref="P49">gamma_new(E49,A49,2,B49,D49,C49)</f>
        <v>1.5467692906020285E-2</v>
      </c>
      <c r="Q49" cm="1">
        <f t="array" ref="Q49">gamma_new(E49,A49,3,B49,D49,C49)</f>
        <v>1.3190993741553999E-2</v>
      </c>
      <c r="R49" cm="1">
        <f t="array" ref="R49">gamma_new(E49,A49,4,B49,D49,C49)</f>
        <v>1.1607990386541117E-2</v>
      </c>
      <c r="S49" cm="1">
        <f t="array" ref="S49">gamma_new(E49,A49,5,B49,D49,C49)</f>
        <v>1.0434495195587716E-2</v>
      </c>
    </row>
    <row r="50" spans="1:29" x14ac:dyDescent="0.3">
      <c r="A50">
        <v>100</v>
      </c>
      <c r="B50">
        <f t="shared" si="2"/>
        <v>0.01</v>
      </c>
      <c r="C50">
        <v>0.2</v>
      </c>
      <c r="D50">
        <v>1E-3</v>
      </c>
      <c r="E50" s="5">
        <v>90</v>
      </c>
      <c r="F50" cm="1">
        <f t="array" ref="F50">gamma_new(E50,A50,0.1,B50,D50,C50)</f>
        <v>1.8866122922619664E-2</v>
      </c>
      <c r="G50" cm="1">
        <f t="array" ref="G50">gamma_new(E50,A50,0.2,B50,D50,C50)</f>
        <v>2.6667495498595237E-2</v>
      </c>
      <c r="H50" cm="1">
        <f t="array" ref="H50">gamma_new(E50,A50,0.3,B50,D50,C50)</f>
        <v>2.7407839521905598E-2</v>
      </c>
      <c r="I50" cm="1">
        <f t="array" ref="I50">gamma_new(E50,A50,0.4,B50,D50,C50)</f>
        <v>2.6614881974194059E-2</v>
      </c>
      <c r="J50" cm="1">
        <f t="array" ref="J50">gamma_new(E50,A50,0.5,B50,D50,C50)</f>
        <v>2.548596084667917E-2</v>
      </c>
      <c r="K50" cm="1">
        <f t="array" ref="K50">gamma_new(E50,A50,0.6,B50,D50,C50)</f>
        <v>2.4338737329861641E-2</v>
      </c>
      <c r="L50" cm="1">
        <f t="array" ref="L50">gamma_new(E50,A50,0.7,B50,D50,C50)</f>
        <v>2.3263388809573814E-2</v>
      </c>
      <c r="M50" cm="1">
        <f t="array" ref="M50">gamma_new(E50,A50,0.8,B50,D50,C50)</f>
        <v>2.2281183645828019E-2</v>
      </c>
      <c r="N50" cm="1">
        <f t="array" ref="N50">gamma_new(E50,A50,0.9,B50,D50,C50)</f>
        <v>2.1391038238162328E-2</v>
      </c>
      <c r="O50" cm="1">
        <f t="array" ref="O50">gamma_new(E50,A50,1,B50,D50,C50)</f>
        <v>2.0584912066529376E-2</v>
      </c>
      <c r="P50" cm="1">
        <f t="array" ref="P50">gamma_new(E50,A50,2,B50,D50,C50)</f>
        <v>1.5422886341989159E-2</v>
      </c>
      <c r="Q50" cm="1">
        <f t="array" ref="Q50">gamma_new(E50,A50,3,B50,D50,C50)</f>
        <v>1.2739841700195936E-2</v>
      </c>
      <c r="R50" cm="1">
        <f t="array" ref="R50">gamma_new(E50,A50,4,B50,D50,C50)</f>
        <v>1.1033587852064299E-2</v>
      </c>
      <c r="S50" cm="1">
        <f t="array" ref="S50">gamma_new(E50,A50,5,B50,D50,C50)</f>
        <v>9.8236997680402477E-3</v>
      </c>
    </row>
    <row r="51" spans="1:29" x14ac:dyDescent="0.3">
      <c r="A51">
        <v>100</v>
      </c>
      <c r="B51">
        <f t="shared" si="2"/>
        <v>0.01</v>
      </c>
      <c r="C51">
        <v>0.2</v>
      </c>
      <c r="D51">
        <v>1E-3</v>
      </c>
      <c r="E51" s="5">
        <v>95</v>
      </c>
      <c r="F51" cm="1">
        <f t="array" ref="F51">gamma_new(E51,A51,0.1,B51,D51,C51)</f>
        <v>4.9542527661507671E-2</v>
      </c>
      <c r="G51" cm="1">
        <f t="array" ref="G51">gamma_new(E51,A51,0.2,B51,D51,C51)</f>
        <v>4.1245591452420419E-2</v>
      </c>
      <c r="H51" cm="1">
        <f t="array" ref="H51">gamma_new(E51,A51,0.3,B51,D51,C51)</f>
        <v>3.5533395472695253E-2</v>
      </c>
      <c r="I51" cm="1">
        <f t="array" ref="I51">gamma_new(E51,A51,0.4,B51,D51,C51)</f>
        <v>3.1591463981803215E-2</v>
      </c>
      <c r="J51" cm="1">
        <f t="array" ref="J51">gamma_new(E51,A51,0.5,B51,D51,C51)</f>
        <v>2.8691694599087814E-2</v>
      </c>
      <c r="K51" cm="1">
        <f t="array" ref="K51">gamma_new(E51,A51,0.6,B51,D51,C51)</f>
        <v>2.6450053321415996E-2</v>
      </c>
      <c r="L51" cm="1">
        <f t="array" ref="L51">gamma_new(E51,A51,0.7,B51,D51,C51)</f>
        <v>2.4652096499522234E-2</v>
      </c>
      <c r="M51" cm="1">
        <f t="array" ref="M51">gamma_new(E51,A51,0.8,B51,D51,C51)</f>
        <v>2.316906013350865E-2</v>
      </c>
      <c r="N51" cm="1">
        <f t="array" ref="N51">gamma_new(E51,A51,0.9,B51,D51,C51)</f>
        <v>2.191875619945154E-2</v>
      </c>
      <c r="O51" cm="1">
        <f t="array" ref="O51">gamma_new(E51,A51,1,B51,D51,C51)</f>
        <v>2.0846068710838318E-2</v>
      </c>
      <c r="P51" cm="1">
        <f t="array" ref="P51">gamma_new(E51,A51,2,B51,D51,C51)</f>
        <v>1.481326483444091E-2</v>
      </c>
      <c r="Q51" cm="1">
        <f t="array" ref="Q51">gamma_new(E51,A51,3,B51,D51,C51)</f>
        <v>1.2022251834119091E-2</v>
      </c>
      <c r="R51" cm="1">
        <f t="array" ref="R51">gamma_new(E51,A51,4,B51,D51,C51)</f>
        <v>1.0320645877029407E-2</v>
      </c>
      <c r="S51" cm="1">
        <f t="array" ref="S51">gamma_new(E51,A51,5,B51,D51,C51)</f>
        <v>9.1404209819724441E-3</v>
      </c>
    </row>
    <row r="52" spans="1:29" x14ac:dyDescent="0.3">
      <c r="A52">
        <v>100</v>
      </c>
      <c r="B52">
        <f t="shared" si="2"/>
        <v>0.01</v>
      </c>
      <c r="C52">
        <v>0.2</v>
      </c>
      <c r="D52">
        <v>1E-3</v>
      </c>
      <c r="E52" s="5">
        <v>100</v>
      </c>
      <c r="F52" cm="1">
        <f t="array" ref="F52">gamma_new(E52,A52,0.1,B52,D52,C52)</f>
        <v>6.300573592782685E-2</v>
      </c>
      <c r="G52" cm="1">
        <f t="array" ref="G52">gamma_new(E52,A52,0.2,B52,D52,C52)</f>
        <v>4.4500522400506941E-2</v>
      </c>
      <c r="H52" cm="1">
        <f t="array" ref="H52">gamma_new(E52,A52,0.3,B52,D52,C52)</f>
        <v>3.6292718337534245E-2</v>
      </c>
      <c r="I52" cm="1">
        <f t="array" ref="I52">gamma_new(E52,A52,0.4,B52,D52,C52)</f>
        <v>3.1394252606795049E-2</v>
      </c>
      <c r="J52" cm="1">
        <f t="array" ref="J52">gamma_new(E52,A52,0.5,B52,D52,C52)</f>
        <v>2.8047564819711535E-2</v>
      </c>
      <c r="K52" cm="1">
        <f t="array" ref="K52">gamma_new(E52,A52,0.6,B52,D52,C52)</f>
        <v>2.5574347136607108E-2</v>
      </c>
      <c r="L52" cm="1">
        <f t="array" ref="L52">gamma_new(E52,A52,0.7,B52,D52,C52)</f>
        <v>2.36500018743784E-2</v>
      </c>
      <c r="M52" cm="1">
        <f t="array" ref="M52">gamma_new(E52,A52,0.8,B52,D52,C52)</f>
        <v>2.2097097120453085E-2</v>
      </c>
      <c r="N52" cm="1">
        <f t="array" ref="N52">gamma_new(E52,A52,0.9,B52,D52,C52)</f>
        <v>2.0809372372515594E-2</v>
      </c>
      <c r="O52" cm="1">
        <f t="array" ref="O52">gamma_new(E52,A52,1,B52,D52,C52)</f>
        <v>1.9718789683669111E-2</v>
      </c>
      <c r="P52" cm="1">
        <f t="array" ref="P52">gamma_new(E52,A52,2,B52,D52,C52)</f>
        <v>1.3783688246908668E-2</v>
      </c>
      <c r="Q52" cm="1">
        <f t="array" ref="Q52">gamma_new(E52,A52,3,B52,D52,C52)</f>
        <v>1.112551175995825E-2</v>
      </c>
      <c r="R52" cm="1">
        <f t="array" ref="R52">gamma_new(E52,A52,4,B52,D52,C52)</f>
        <v>9.5246892105189784E-3</v>
      </c>
      <c r="S52" cm="1">
        <f t="array" ref="S52">gamma_new(E52,A52,5,B52,D52,C52)</f>
        <v>8.4216267980070855E-3</v>
      </c>
    </row>
    <row r="53" spans="1:29" x14ac:dyDescent="0.3">
      <c r="A53">
        <v>100</v>
      </c>
      <c r="B53">
        <f t="shared" si="2"/>
        <v>0.01</v>
      </c>
      <c r="C53">
        <v>0.2</v>
      </c>
      <c r="D53">
        <v>1E-3</v>
      </c>
      <c r="E53" s="5">
        <v>105</v>
      </c>
      <c r="F53" cm="1">
        <f t="array" ref="F53">gamma_new(E53,A53,0.1,B53,D53,C53)</f>
        <v>4.3013013978557203E-2</v>
      </c>
      <c r="G53" cm="1">
        <f t="array" ref="G53">gamma_new(E53,A53,0.2,B53,D53,C53)</f>
        <v>3.5253255787823908E-2</v>
      </c>
      <c r="H53" cm="1">
        <f t="array" ref="H53">gamma_new(E53,A53,0.3,B53,D53,C53)</f>
        <v>3.0212852688016618E-2</v>
      </c>
      <c r="I53" cm="1">
        <f t="array" ref="I53">gamma_new(E53,A53,0.4,B53,D53,C53)</f>
        <v>2.6791155147329881E-2</v>
      </c>
      <c r="J53" cm="1">
        <f t="array" ref="J53">gamma_new(E53,A53,0.5,B53,D53,C53)</f>
        <v>2.4293936107862343E-2</v>
      </c>
      <c r="K53" cm="1">
        <f t="array" ref="K53">gamma_new(E53,A53,0.6,B53,D53,C53)</f>
        <v>2.2372519889444418E-2</v>
      </c>
      <c r="L53" cm="1">
        <f t="array" ref="L53">gamma_new(E53,A53,0.7,B53,D53,C53)</f>
        <v>2.0836194349777949E-2</v>
      </c>
      <c r="M53" cm="1">
        <f t="array" ref="M53">gamma_new(E53,A53,0.8,B53,D53,C53)</f>
        <v>1.9571769822722563E-2</v>
      </c>
      <c r="N53" cm="1">
        <f t="array" ref="N53">gamma_new(E53,A53,0.9,B53,D53,C53)</f>
        <v>1.8507540117651031E-2</v>
      </c>
      <c r="O53" cm="1">
        <f t="array" ref="O53">gamma_new(E53,A53,1,B53,D53,C53)</f>
        <v>1.7595671556986783E-2</v>
      </c>
      <c r="P53" cm="1">
        <f t="array" ref="P53">gamma_new(E53,A53,2,B53,D53,C53)</f>
        <v>1.248396284261149E-2</v>
      </c>
      <c r="Q53" cm="1">
        <f t="array" ref="Q53">gamma_new(E53,A53,3,B53,D53,C53)</f>
        <v>1.0126534200933457E-2</v>
      </c>
      <c r="R53" cm="1">
        <f t="array" ref="R53">gamma_new(E53,A53,4,B53,D53,C53)</f>
        <v>8.6909761053618993E-3</v>
      </c>
      <c r="S53" cm="1">
        <f t="array" ref="S53">gamma_new(E53,A53,5,B53,D53,C53)</f>
        <v>7.6959081807380508E-3</v>
      </c>
    </row>
    <row r="54" spans="1:29" x14ac:dyDescent="0.3">
      <c r="A54">
        <v>100</v>
      </c>
      <c r="B54">
        <f t="shared" si="2"/>
        <v>0.01</v>
      </c>
      <c r="C54">
        <v>0.2</v>
      </c>
      <c r="D54">
        <v>1E-3</v>
      </c>
      <c r="E54" s="5">
        <v>110</v>
      </c>
      <c r="F54" cm="1">
        <f t="array" ref="F54">gamma_new(E54,A54,0.1,B54,D54,C54)</f>
        <v>1.7172545415493227E-2</v>
      </c>
      <c r="G54" cm="1">
        <f t="array" ref="G54">gamma_new(E54,A54,0.2,B54,D54,C54)</f>
        <v>2.1398888252964533E-2</v>
      </c>
      <c r="H54" cm="1">
        <f t="array" ref="H54">gamma_new(E54,A54,0.3,B54,D54,C54)</f>
        <v>2.1088034590815773E-2</v>
      </c>
      <c r="I54" cm="1">
        <f t="array" ref="I54">gamma_new(E54,A54,0.4,B54,D54,C54)</f>
        <v>2.0052199105295945E-2</v>
      </c>
      <c r="J54" cm="1">
        <f t="array" ref="J54">gamma_new(E54,A54,0.5,B54,D54,C54)</f>
        <v>1.8961128080671703E-2</v>
      </c>
      <c r="K54" cm="1">
        <f t="array" ref="K54">gamma_new(E54,A54,0.6,B54,D54,C54)</f>
        <v>1.7956085654377389E-2</v>
      </c>
      <c r="L54" cm="1">
        <f t="array" ref="L54">gamma_new(E54,A54,0.7,B54,D54,C54)</f>
        <v>1.7060030091371706E-2</v>
      </c>
      <c r="M54" cm="1">
        <f t="array" ref="M54">gamma_new(E54,A54,0.8,B54,D54,C54)</f>
        <v>1.626634440975715E-2</v>
      </c>
      <c r="N54" cm="1">
        <f t="array" ref="N54">gamma_new(E54,A54,0.9,B54,D54,C54)</f>
        <v>1.5561911081519348E-2</v>
      </c>
      <c r="O54" cm="1">
        <f t="array" ref="O54">gamma_new(E54,A54,1,B54,D54,C54)</f>
        <v>1.4933567514162921E-2</v>
      </c>
      <c r="P54" cm="1">
        <f t="array" ref="P54">gamma_new(E54,A54,2,B54,D54,C54)</f>
        <v>1.1048565847029261E-2</v>
      </c>
      <c r="Q54" cm="1">
        <f t="array" ref="Q54">gamma_new(E54,A54,3,B54,D54,C54)</f>
        <v>9.0882342842843848E-3</v>
      </c>
      <c r="R54" cm="1">
        <f t="array" ref="R54">gamma_new(E54,A54,4,B54,D54,C54)</f>
        <v>7.8545237255224897E-3</v>
      </c>
      <c r="S54" cm="1">
        <f t="array" ref="S54">gamma_new(E54,A54,5,B54,D54,C54)</f>
        <v>6.9844264656340306E-3</v>
      </c>
    </row>
    <row r="55" spans="1:29" x14ac:dyDescent="0.3">
      <c r="A55">
        <v>100</v>
      </c>
      <c r="B55">
        <f t="shared" si="2"/>
        <v>0.01</v>
      </c>
      <c r="C55">
        <v>0.2</v>
      </c>
      <c r="D55">
        <v>1E-3</v>
      </c>
      <c r="E55" s="5">
        <v>115</v>
      </c>
      <c r="F55" cm="1">
        <f t="array" ref="F55">gamma_new(E55,A55,0.1,B55,D55,C55)</f>
        <v>4.3079465456749046E-3</v>
      </c>
      <c r="G55" cm="1">
        <f t="array" ref="G55">gamma_new(E55,A55,0.2,B55,D55,C55)</f>
        <v>1.031474107395715E-2</v>
      </c>
      <c r="H55" cm="1">
        <f t="array" ref="H55">gamma_new(E55,A55,0.3,B55,D55,C55)</f>
        <v>1.2637089293267335E-2</v>
      </c>
      <c r="I55" cm="1">
        <f t="array" ref="I55">gamma_new(E55,A55,0.4,B55,D55,C55)</f>
        <v>1.339815111304112E-2</v>
      </c>
      <c r="J55" cm="1">
        <f t="array" ref="J55">gamma_new(E55,A55,0.5,B55,D55,C55)</f>
        <v>1.3524156387689616E-2</v>
      </c>
      <c r="K55" cm="1">
        <f t="array" ref="K55">gamma_new(E55,A55,0.6,B55,D55,C55)</f>
        <v>1.3377237774086859E-2</v>
      </c>
      <c r="L55" cm="1">
        <f t="array" ref="L55">gamma_new(E55,A55,0.7,B55,D55,C55)</f>
        <v>1.3111151396380633E-2</v>
      </c>
      <c r="M55" cm="1">
        <f t="array" ref="M55">gamma_new(E55,A55,0.8,B55,D55,C55)</f>
        <v>1.2796190557067003E-2</v>
      </c>
      <c r="N55" cm="1">
        <f t="array" ref="N55">gamma_new(E55,A55,0.9,B55,D55,C55)</f>
        <v>1.2466149111645414E-2</v>
      </c>
      <c r="O55" cm="1">
        <f t="array" ref="O55">gamma_new(E55,A55,1,B55,D55,C55)</f>
        <v>1.2137685478231327E-2</v>
      </c>
      <c r="P55" cm="1">
        <f t="array" ref="P55">gamma_new(E55,A55,2,B55,D55,C55)</f>
        <v>9.5860870149702768E-3</v>
      </c>
      <c r="Q55" cm="1">
        <f t="array" ref="Q55">gamma_new(E55,A55,3,B55,D55,C55)</f>
        <v>8.0587810322718806E-3</v>
      </c>
      <c r="R55" cm="1">
        <f t="array" ref="R55">gamma_new(E55,A55,4,B55,D55,C55)</f>
        <v>7.0410412523040592E-3</v>
      </c>
      <c r="S55" cm="1">
        <f t="array" ref="S55">gamma_new(E55,A55,5,B55,D55,C55)</f>
        <v>6.3020826874018165E-3</v>
      </c>
    </row>
    <row r="56" spans="1:29" x14ac:dyDescent="0.3">
      <c r="A56">
        <v>100</v>
      </c>
      <c r="B56">
        <f t="shared" si="2"/>
        <v>0.01</v>
      </c>
      <c r="C56">
        <v>0.2</v>
      </c>
      <c r="D56">
        <v>1E-3</v>
      </c>
      <c r="E56" s="5">
        <v>120</v>
      </c>
      <c r="F56" cm="1">
        <f t="array" ref="F56">gamma_new(E56,A56,0.1,B56,D56,C56)</f>
        <v>7.2150016237195976E-4</v>
      </c>
      <c r="G56" cm="1">
        <f t="array" ref="G56">gamma_new(E56,A56,0.2,B56,D56,C56)</f>
        <v>4.0691102488744895E-3</v>
      </c>
      <c r="H56" cm="1">
        <f t="array" ref="H56">gamma_new(E56,A56,0.3,B56,D56,C56)</f>
        <v>6.6330486115534597E-3</v>
      </c>
      <c r="I56" cm="1">
        <f t="array" ref="I56">gamma_new(E56,A56,0.4,B56,D56,C56)</f>
        <v>8.1119169830223339E-3</v>
      </c>
      <c r="J56" cm="1">
        <f t="array" ref="J56">gamma_new(E56,A56,0.5,B56,D56,C56)</f>
        <v>8.9206460869345906E-3</v>
      </c>
      <c r="K56" cm="1">
        <f t="array" ref="K56">gamma_new(E56,A56,0.6,B56,D56,C56)</f>
        <v>9.3423809439636164E-3</v>
      </c>
      <c r="L56" cm="1">
        <f t="array" ref="L56">gamma_new(E56,A56,0.7,B56,D56,C56)</f>
        <v>9.5378352160670806E-3</v>
      </c>
      <c r="M56" cm="1">
        <f t="array" ref="M56">gamma_new(E56,A56,0.8,B56,D56,C56)</f>
        <v>9.5979409638772203E-3</v>
      </c>
      <c r="N56" cm="1">
        <f t="array" ref="N56">gamma_new(E56,A56,0.9,B56,D56,C56)</f>
        <v>9.5755804505541966E-3</v>
      </c>
      <c r="O56" cm="1">
        <f t="array" ref="O56">gamma_new(E56,A56,1,B56,D56,C56)</f>
        <v>9.5024808902588569E-3</v>
      </c>
      <c r="P56" cm="1">
        <f t="array" ref="P56">gamma_new(E56,A56,2,B56,D56,C56)</f>
        <v>8.1761714939218907E-3</v>
      </c>
      <c r="Q56" cm="1">
        <f t="array" ref="Q56">gamma_new(E56,A56,3,B56,D56,C56)</f>
        <v>7.0726225410393138E-3</v>
      </c>
      <c r="R56" cm="1">
        <f t="array" ref="R56">gamma_new(E56,A56,4,B56,D56,C56)</f>
        <v>6.2682926454973448E-3</v>
      </c>
      <c r="S56" cm="1">
        <f t="array" ref="S56">gamma_new(E56,A56,5,B56,D56,C56)</f>
        <v>5.65870719505337E-3</v>
      </c>
    </row>
    <row r="57" spans="1:29" x14ac:dyDescent="0.3">
      <c r="A57">
        <v>100</v>
      </c>
      <c r="B57">
        <f t="shared" si="2"/>
        <v>0.01</v>
      </c>
      <c r="C57">
        <v>0.2</v>
      </c>
      <c r="D57">
        <v>1E-3</v>
      </c>
      <c r="E57" s="5">
        <v>125</v>
      </c>
      <c r="F57" cm="1">
        <f t="array" ref="F57">gamma_new(E57,A57,0.1,B57,D57,C57)</f>
        <v>8.4938533537219781E-5</v>
      </c>
      <c r="G57" cm="1">
        <f t="array" ref="G57">gamma_new(E57,A57,0.2,B57,D57,C57)</f>
        <v>1.3478530882912445E-3</v>
      </c>
      <c r="H57" cm="1">
        <f t="array" ref="H57">gamma_new(E57,A57,0.3,B57,D57,C57)</f>
        <v>3.1018053444462992E-3</v>
      </c>
      <c r="I57" cm="1">
        <f t="array" ref="I57">gamma_new(E57,A57,0.4,B57,D57,C57)</f>
        <v>4.5071704941338827E-3</v>
      </c>
      <c r="J57" cm="1">
        <f t="array" ref="J57">gamma_new(E57,A57,0.5,B57,D57,C57)</f>
        <v>5.4967283739952508E-3</v>
      </c>
      <c r="K57" cm="1">
        <f t="array" ref="K57">gamma_new(E57,A57,0.6,B57,D57,C57)</f>
        <v>6.1676140693464774E-3</v>
      </c>
      <c r="L57" cm="1">
        <f t="array" ref="L57">gamma_new(E57,A57,0.7,B57,D57,C57)</f>
        <v>6.6145982290299905E-3</v>
      </c>
      <c r="M57" cm="1">
        <f t="array" ref="M57">gamma_new(E57,A57,0.8,B57,D57,C57)</f>
        <v>6.9068059958127381E-3</v>
      </c>
      <c r="N57" cm="1">
        <f t="array" ref="N57">gamma_new(E57,A57,0.9,B57,D57,C57)</f>
        <v>7.0915986284058241E-3</v>
      </c>
      <c r="O57" cm="1">
        <f t="array" ref="O57">gamma_new(E57,A57,1,B57,D57,C57)</f>
        <v>7.2011179877368818E-3</v>
      </c>
      <c r="P57" cm="1">
        <f t="array" ref="P57">gamma_new(E57,A57,2,B57,D57,C57)</f>
        <v>6.87132343791968E-3</v>
      </c>
      <c r="Q57" cm="1">
        <f t="array" ref="Q57">gamma_new(E57,A57,3,B57,D57,C57)</f>
        <v>6.1524303532821401E-3</v>
      </c>
      <c r="R57" cm="1">
        <f t="array" ref="R57">gamma_new(E57,A57,4,B57,D57,C57)</f>
        <v>5.5475778085652735E-3</v>
      </c>
      <c r="S57" cm="1">
        <f t="array" ref="S57">gamma_new(E57,A57,5,B57,D57,C57)</f>
        <v>5.0601583574915758E-3</v>
      </c>
    </row>
    <row r="58" spans="1:29" x14ac:dyDescent="0.3">
      <c r="A58">
        <v>100</v>
      </c>
      <c r="B58">
        <f t="shared" si="2"/>
        <v>0.01</v>
      </c>
      <c r="C58">
        <v>0.2</v>
      </c>
      <c r="D58">
        <v>1E-3</v>
      </c>
      <c r="E58" s="5">
        <v>130</v>
      </c>
      <c r="F58" cm="1">
        <f t="array" ref="F58">gamma_new(E58,A58,0.1,B58,D58,C58)</f>
        <v>7.345051218144719E-6</v>
      </c>
      <c r="G58" cm="1">
        <f t="array" ref="G58">gamma_new(E58,A58,0.2,B58,D58,C58)</f>
        <v>3.8317426927956963E-4</v>
      </c>
      <c r="H58" cm="1">
        <f t="array" ref="H58">gamma_new(E58,A58,0.3,B58,D58,C58)</f>
        <v>1.3111616044747673E-3</v>
      </c>
      <c r="I58" cm="1">
        <f t="array" ref="I58">gamma_new(E58,A58,0.4,B58,D58,C58)</f>
        <v>2.3232161675112595E-3</v>
      </c>
      <c r="J58" cm="1">
        <f t="array" ref="J58">gamma_new(E58,A58,0.5,B58,D58,C58)</f>
        <v>3.1913635626016268E-3</v>
      </c>
      <c r="K58" cm="1">
        <f t="array" ref="K58">gamma_new(E58,A58,0.6,B58,D58,C58)</f>
        <v>3.8765623802632159E-3</v>
      </c>
      <c r="L58" cm="1">
        <f t="array" ref="L58">gamma_new(E58,A58,0.7,B58,D58,C58)</f>
        <v>4.3999284507608384E-3</v>
      </c>
      <c r="M58" cm="1">
        <f t="array" ref="M58">gamma_new(E58,A58,0.8,B58,D58,C58)</f>
        <v>4.7937879520471918E-3</v>
      </c>
      <c r="N58" cm="1">
        <f t="array" ref="N58">gamma_new(E58,A58,0.9,B58,D58,C58)</f>
        <v>5.0874837477241815E-3</v>
      </c>
      <c r="O58" cm="1">
        <f t="array" ref="O58">gamma_new(E58,A58,1,B58,D58,C58)</f>
        <v>5.3045026959081393E-3</v>
      </c>
      <c r="P58" cm="1">
        <f t="array" ref="P58">gamma_new(E58,A58,2,B58,D58,C58)</f>
        <v>5.7012687073057615E-3</v>
      </c>
      <c r="Q58" cm="1">
        <f t="array" ref="Q58">gamma_new(E58,A58,3,B58,D58,C58)</f>
        <v>5.3113707204876758E-3</v>
      </c>
      <c r="R58" cm="1">
        <f t="array" ref="R58">gamma_new(E58,A58,4,B58,D58,C58)</f>
        <v>4.8851477844520296E-3</v>
      </c>
      <c r="S58" cm="1">
        <f t="array" ref="S58">gamma_new(E58,A58,5,B58,D58,C58)</f>
        <v>4.5092784041163422E-3</v>
      </c>
    </row>
    <row r="59" spans="1:29" x14ac:dyDescent="0.3">
      <c r="A59">
        <v>100</v>
      </c>
      <c r="B59">
        <f t="shared" si="2"/>
        <v>0.01</v>
      </c>
      <c r="C59">
        <v>0.2</v>
      </c>
      <c r="D59">
        <v>1E-3</v>
      </c>
      <c r="E59" s="5">
        <v>135</v>
      </c>
      <c r="F59" cm="1">
        <f t="array" ref="F59">gamma_new(E59,A59,0.1,B59,D59,C59)</f>
        <v>4.8454490173923489E-7</v>
      </c>
      <c r="G59" cm="1">
        <f t="array" ref="G59">gamma_new(E59,A59,0.2,B59,D59,C59)</f>
        <v>9.5264085737732711E-5</v>
      </c>
      <c r="H59" cm="1">
        <f t="array" ref="H59">gamma_new(E59,A59,0.3,B59,D59,C59)</f>
        <v>5.0728689648076464E-4</v>
      </c>
      <c r="I59" cm="1">
        <f t="array" ref="I59">gamma_new(E59,A59,0.4,B59,D59,C59)</f>
        <v>1.1212935406502949E-3</v>
      </c>
      <c r="J59" cm="1">
        <f t="array" ref="J59">gamma_new(E59,A59,0.5,B59,D59,C59)</f>
        <v>1.7588360064474209E-3</v>
      </c>
      <c r="K59" cm="1">
        <f t="array" ref="K59">gamma_new(E59,A59,0.6,B59,D59,C59)</f>
        <v>2.3340424668817526E-3</v>
      </c>
      <c r="L59" cm="1">
        <f t="array" ref="L59">gamma_new(E59,A59,0.7,B59,D59,C59)</f>
        <v>2.821924464244562E-3</v>
      </c>
      <c r="M59" cm="1">
        <f t="array" ref="M59">gamma_new(E59,A59,0.8,B59,D59,C59)</f>
        <v>3.2237171905720942E-3</v>
      </c>
      <c r="N59" cm="1">
        <f t="array" ref="N59">gamma_new(E59,A59,0.9,B59,D59,C59)</f>
        <v>3.5496581475442548E-3</v>
      </c>
      <c r="O59" cm="1">
        <f t="array" ref="O59">gamma_new(E59,A59,1,B59,D59,C59)</f>
        <v>3.8118207804881655E-3</v>
      </c>
      <c r="P59" cm="1">
        <f t="array" ref="P59">gamma_new(E59,A59,2,B59,D59,C59)</f>
        <v>4.6781988273814738E-3</v>
      </c>
      <c r="Q59" cm="1">
        <f t="array" ref="Q59">gamma_new(E59,A59,3,B59,D59,C59)</f>
        <v>4.5553341146399254E-3</v>
      </c>
      <c r="R59" cm="1">
        <f t="array" ref="R59">gamma_new(E59,A59,4,B59,D59,C59)</f>
        <v>4.2834584169868621E-3</v>
      </c>
      <c r="S59" cm="1">
        <f t="array" ref="S59">gamma_new(E59,A59,5,B59,D59,C59)</f>
        <v>4.0066908572548498E-3</v>
      </c>
    </row>
    <row r="60" spans="1:29" x14ac:dyDescent="0.3">
      <c r="A60">
        <v>100</v>
      </c>
      <c r="B60">
        <f t="shared" si="2"/>
        <v>0.01</v>
      </c>
      <c r="C60">
        <v>0.2</v>
      </c>
      <c r="D60">
        <v>1E-3</v>
      </c>
      <c r="E60" s="5">
        <v>140</v>
      </c>
      <c r="F60" cm="1">
        <f t="array" ref="F60">gamma_new(E60,A60,0.1,B60,D60,C60)</f>
        <v>2.5194506290430935E-8</v>
      </c>
      <c r="G60" cm="1">
        <f t="array" ref="G60">gamma_new(E60,A60,0.2,B60,D60,C60)</f>
        <v>2.1051961173925728E-5</v>
      </c>
      <c r="H60" cm="1">
        <f t="array" ref="H60">gamma_new(E60,A60,0.3,B60,D60,C60)</f>
        <v>1.8158536574709025E-4</v>
      </c>
      <c r="I60" cm="1">
        <f t="array" ref="I60">gamma_new(E60,A60,0.4,B60,D60,C60)</f>
        <v>5.1083240964599585E-4</v>
      </c>
      <c r="J60" cm="1">
        <f t="array" ref="J60">gamma_new(E60,A60,0.5,B60,D60,C60)</f>
        <v>9.2602694536761789E-4</v>
      </c>
      <c r="K60" cm="1">
        <f t="array" ref="K60">gamma_new(E60,A60,0.6,B60,D60,C60)</f>
        <v>1.3533178138074933E-3</v>
      </c>
      <c r="L60" cm="1">
        <f t="array" ref="L60">gamma_new(E60,A60,0.7,B60,D60,C60)</f>
        <v>1.7529108768568771E-3</v>
      </c>
      <c r="M60" cm="1">
        <f t="array" ref="M60">gamma_new(E60,A60,0.8,B60,D60,C60)</f>
        <v>2.1086958391750019E-3</v>
      </c>
      <c r="N60" cm="1">
        <f t="array" ref="N60">gamma_new(E60,A60,0.9,B60,D60,C60)</f>
        <v>2.4171235868737759E-3</v>
      </c>
      <c r="O60" cm="1">
        <f t="array" ref="O60">gamma_new(E60,A60,1,B60,D60,C60)</f>
        <v>2.68045830395507E-3</v>
      </c>
      <c r="P60" cm="1">
        <f t="array" ref="P60">gamma_new(E60,A60,2,B60,D60,C60)</f>
        <v>3.8018450416227268E-3</v>
      </c>
      <c r="Q60" cm="1">
        <f t="array" ref="Q60">gamma_new(E60,A60,3,B60,D60,C60)</f>
        <v>3.8849224723398663E-3</v>
      </c>
      <c r="R60" cm="1">
        <f t="array" ref="R60">gamma_new(E60,A60,4,B60,D60,C60)</f>
        <v>3.7422247581447407E-3</v>
      </c>
      <c r="S60" cm="1">
        <f t="array" ref="S60">gamma_new(E60,A60,5,B60,D60,C60)</f>
        <v>3.5514447509407462E-3</v>
      </c>
    </row>
    <row r="61" spans="1:29" ht="15" customHeight="1" x14ac:dyDescent="0.3"/>
    <row r="62" spans="1:29" x14ac:dyDescent="0.3">
      <c r="A62" s="6" t="s">
        <v>30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</row>
    <row r="63" spans="1:29" x14ac:dyDescent="0.3">
      <c r="A63" t="s">
        <v>13</v>
      </c>
      <c r="B63" t="s">
        <v>14</v>
      </c>
      <c r="C63" t="s">
        <v>15</v>
      </c>
      <c r="D63" t="s">
        <v>26</v>
      </c>
      <c r="F63" s="7">
        <v>0.1</v>
      </c>
      <c r="G63" s="7">
        <v>0.2</v>
      </c>
      <c r="H63" s="7">
        <v>0.3</v>
      </c>
      <c r="I63" s="7">
        <v>0.4</v>
      </c>
      <c r="J63" s="7">
        <v>0.5</v>
      </c>
      <c r="K63" s="7">
        <v>0.6</v>
      </c>
      <c r="L63" s="7">
        <v>0.7</v>
      </c>
      <c r="M63" s="7">
        <v>0.8</v>
      </c>
      <c r="N63" s="7">
        <v>0.9</v>
      </c>
      <c r="O63" s="7">
        <v>1</v>
      </c>
      <c r="P63" s="7">
        <v>2</v>
      </c>
      <c r="Q63" s="7">
        <v>3</v>
      </c>
      <c r="R63" s="7">
        <v>4</v>
      </c>
      <c r="S63" s="7">
        <v>5</v>
      </c>
    </row>
    <row r="64" spans="1:29" x14ac:dyDescent="0.3">
      <c r="A64">
        <v>100</v>
      </c>
      <c r="B64">
        <f>1/100</f>
        <v>0.01</v>
      </c>
      <c r="C64">
        <v>0.2</v>
      </c>
      <c r="D64">
        <v>1E-3</v>
      </c>
      <c r="E64" s="5">
        <v>60</v>
      </c>
      <c r="F64" cm="1">
        <f t="array" ref="F64">vega_new(E64,A64,0.1,B64,D64,C64)</f>
        <v>7.4756410491122122E-14</v>
      </c>
      <c r="G64" cm="1">
        <f t="array" ref="G64">vega_new(E64,A64,0.2,B64,D64,C64)</f>
        <v>1.2780271367586947E-6</v>
      </c>
      <c r="H64" cm="1">
        <f t="array" ref="H64">vega_new(E64,A64,0.3,B64,D64,C64)</f>
        <v>3.5895879319703978E-4</v>
      </c>
      <c r="I64" cm="1">
        <f t="array" ref="I64">vega_new(E64,A64,0.4,B64,D64,C64)</f>
        <v>6.2732619090571547E-3</v>
      </c>
      <c r="J64" cm="1">
        <f t="array" ref="J64">vega_new(E64,A64,0.5,B64,D64,C64)</f>
        <v>3.5787891056725092E-2</v>
      </c>
      <c r="K64" cm="1">
        <f t="array" ref="K64">vega_new(E64,A64,0.6,B64,D64,C64)</f>
        <v>0.11614981508535545</v>
      </c>
      <c r="L64" cm="1">
        <f t="array" ref="L64">vega_new(E64,A64,0.7,B64,D64,C64)</f>
        <v>0.27244056672338052</v>
      </c>
      <c r="M64" cm="1">
        <f t="array" ref="M64">vega_new(E64,A64,0.8,B64,D64,C64)</f>
        <v>0.52086796313386374</v>
      </c>
      <c r="N64" cm="1">
        <f t="array" ref="N64">vega_new(E64,A64,0.9,B64,D64,C64)</f>
        <v>0.86806150747062016</v>
      </c>
      <c r="O64" cm="1">
        <f t="array" ref="O64">vega_new(E64,A64,1,B64,D64,C64)</f>
        <v>1.3131868364225217</v>
      </c>
      <c r="P64" cm="1">
        <f t="array" ref="P64">vega_new(E64,A64,2,B64,D64,C64)</f>
        <v>9.3784132413986026</v>
      </c>
      <c r="Q64" cm="1">
        <f t="array" ref="Q64">vega_new(E64,A64,3,B64,D64,C64)</f>
        <v>19.5555964589159</v>
      </c>
      <c r="R64" cm="1">
        <f t="array" ref="R64">vega_new(E64,A64,4,B64,D64,C64)</f>
        <v>29.294666855821532</v>
      </c>
      <c r="S64" cm="1">
        <f t="array" ref="S64">vega_new(E64,A64,5,B64,D64,C64)</f>
        <v>38.112946125074991</v>
      </c>
    </row>
    <row r="65" spans="1:19" x14ac:dyDescent="0.3">
      <c r="A65">
        <v>100</v>
      </c>
      <c r="B65">
        <f t="shared" ref="B65:B80" si="3">1/100</f>
        <v>0.01</v>
      </c>
      <c r="C65">
        <v>0.2</v>
      </c>
      <c r="D65">
        <v>1E-3</v>
      </c>
      <c r="E65" s="5">
        <v>65</v>
      </c>
      <c r="F65" cm="1">
        <f t="array" ref="F65">vega_new(E65,A65,0.1,B65,D65,C65)</f>
        <v>9.4350679873558908E-10</v>
      </c>
      <c r="G65" cm="1">
        <f t="array" ref="G65">vega_new(E65,A65,0.2,B65,D65,C65)</f>
        <v>1.4516708694812795E-4</v>
      </c>
      <c r="H65" cm="1">
        <f t="array" ref="H65">vega_new(E65,A65,0.3,B65,D65,C65)</f>
        <v>8.4810543669264701E-3</v>
      </c>
      <c r="I65" cm="1">
        <f t="array" ref="I65">vega_new(E65,A65,0.4,B65,D65,C65)</f>
        <v>6.759853011780749E-2</v>
      </c>
      <c r="J65" cm="1">
        <f t="array" ref="J65">vega_new(E65,A65,0.5,B65,D65,C65)</f>
        <v>0.24077039695215888</v>
      </c>
      <c r="K65" cm="1">
        <f t="array" ref="K65">vega_new(E65,A65,0.6,B65,D65,C65)</f>
        <v>0.57082230867812578</v>
      </c>
      <c r="L65" cm="1">
        <f t="array" ref="L65">vega_new(E65,A65,0.7,B65,D65,C65)</f>
        <v>1.0698838751150463</v>
      </c>
      <c r="M65" cm="1">
        <f t="array" ref="M65">vega_new(E65,A65,0.8,B65,D65,C65)</f>
        <v>1.7287386918494601</v>
      </c>
      <c r="N65" cm="1">
        <f t="array" ref="N65">vega_new(E65,A65,0.9,B65,D65,C65)</f>
        <v>2.5276986806568322</v>
      </c>
      <c r="O65" cm="1">
        <f t="array" ref="O65">vega_new(E65,A65,1,B65,D65,C65)</f>
        <v>3.4438149048815285</v>
      </c>
      <c r="P65" cm="1">
        <f t="array" ref="P65">vega_new(E65,A65,2,B65,D65,C65)</f>
        <v>15.355564802038579</v>
      </c>
      <c r="Q65" cm="1">
        <f t="array" ref="Q65">vega_new(E65,A65,3,B65,D65,C65)</f>
        <v>27.36624515247005</v>
      </c>
      <c r="R65" cm="1">
        <f t="array" ref="R65">vega_new(E65,A65,4,B65,D65,C65)</f>
        <v>37.899769448882793</v>
      </c>
      <c r="S65" cm="1">
        <f t="array" ref="S65">vega_new(E65,A65,5,B65,D65,C65)</f>
        <v>47.039515560672378</v>
      </c>
    </row>
    <row r="66" spans="1:19" x14ac:dyDescent="0.3">
      <c r="A66">
        <v>100</v>
      </c>
      <c r="B66">
        <f t="shared" si="3"/>
        <v>0.01</v>
      </c>
      <c r="C66">
        <v>0.2</v>
      </c>
      <c r="D66">
        <v>1E-3</v>
      </c>
      <c r="E66" s="5">
        <v>70</v>
      </c>
      <c r="F66" cm="1">
        <f t="array" ref="F66">vega_new(E66,A66,0.1,B66,D66,C66)</f>
        <v>1.4177709013948055E-6</v>
      </c>
      <c r="G66" cm="1">
        <f t="array" ref="G66">vega_new(E66,A66,0.2,B66,D66,C66)</f>
        <v>5.6849162131359854E-3</v>
      </c>
      <c r="H66" cm="1">
        <f t="array" ref="H66">vega_new(E66,A66,0.3,B66,D66,C66)</f>
        <v>9.8470024816640106E-2</v>
      </c>
      <c r="I66" cm="1">
        <f t="array" ref="I66">vega_new(E66,A66,0.4,B66,D66,C66)</f>
        <v>0.42735678127789362</v>
      </c>
      <c r="J66" cm="1">
        <f t="array" ref="J66">vega_new(E66,A66,0.5,B66,D66,C66)</f>
        <v>1.056953604203837</v>
      </c>
      <c r="K66" cm="1">
        <f t="array" ref="K66">vega_new(E66,A66,0.6,B66,D66,C66)</f>
        <v>1.9649587229112695</v>
      </c>
      <c r="L66" cm="1">
        <f t="array" ref="L66">vega_new(E66,A66,0.7,B66,D66,C66)</f>
        <v>3.09571036254167</v>
      </c>
      <c r="M66" cm="1">
        <f t="array" ref="M66">vega_new(E66,A66,0.8,B66,D66,C66)</f>
        <v>4.3911818205271116</v>
      </c>
      <c r="N66" cm="1">
        <f t="array" ref="N66">vega_new(E66,A66,0.9,B66,D66,C66)</f>
        <v>5.8019933553194161</v>
      </c>
      <c r="O66" cm="1">
        <f t="array" ref="O66">vega_new(E66,A66,1,B66,D66,C66)</f>
        <v>7.2893971547467595</v>
      </c>
      <c r="P66" cm="1">
        <f t="array" ref="P66">vega_new(E66,A66,2,B66,D66,C66)</f>
        <v>22.569248317317438</v>
      </c>
      <c r="Q66" cm="1">
        <f t="array" ref="Q66">vega_new(E66,A66,3,B66,D66,C66)</f>
        <v>35.617738600698232</v>
      </c>
      <c r="R66" cm="1">
        <f t="array" ref="R66">vega_new(E66,A66,4,B66,D66,C66)</f>
        <v>46.418126947090919</v>
      </c>
      <c r="S66" cm="1">
        <f t="array" ref="S66">vega_new(E66,A66,5,B66,D66,C66)</f>
        <v>55.548691493356444</v>
      </c>
    </row>
    <row r="67" spans="1:19" x14ac:dyDescent="0.3">
      <c r="A67">
        <v>100</v>
      </c>
      <c r="B67">
        <f t="shared" si="3"/>
        <v>0.01</v>
      </c>
      <c r="C67">
        <v>0.2</v>
      </c>
      <c r="D67">
        <v>1E-3</v>
      </c>
      <c r="E67" s="5">
        <v>75</v>
      </c>
      <c r="F67" cm="1">
        <f t="array" ref="F67">vega_new(E67,A67,0.1,B67,D67,C67)</f>
        <v>3.7430238734806787E-4</v>
      </c>
      <c r="G67" cm="1">
        <f t="array" ref="G67">vega_new(E67,A67,0.2,B67,D67,C67)</f>
        <v>9.3250738679617126E-2</v>
      </c>
      <c r="H67" cm="1">
        <f t="array" ref="H67">vega_new(E67,A67,0.3,B67,D67,C67)</f>
        <v>0.63973898629664649</v>
      </c>
      <c r="I67" cm="1">
        <f t="array" ref="I67">vega_new(E67,A67,0.4,B67,D67,C67)</f>
        <v>1.747328856446984</v>
      </c>
      <c r="J67" cm="1">
        <f t="array" ref="J67">vega_new(E67,A67,0.5,B67,D67,C67)</f>
        <v>3.2731894362691816</v>
      </c>
      <c r="K67" cm="1">
        <f t="array" ref="K67">vega_new(E67,A67,0.6,B67,D67,C67)</f>
        <v>5.0561827216818607</v>
      </c>
      <c r="L67" cm="1">
        <f t="array" ref="L67">vega_new(E67,A67,0.7,B67,D67,C67)</f>
        <v>6.9785999100990335</v>
      </c>
      <c r="M67" cm="1">
        <f t="array" ref="M67">vega_new(E67,A67,0.8,B67,D67,C67)</f>
        <v>8.9638253816789835</v>
      </c>
      <c r="N67" cm="1">
        <f t="array" ref="N67">vega_new(E67,A67,0.9,B67,D67,C67)</f>
        <v>10.964026457429137</v>
      </c>
      <c r="O67" cm="1">
        <f t="array" ref="O67">vega_new(E67,A67,1,B67,D67,C67)</f>
        <v>12.949981994160749</v>
      </c>
      <c r="P67" cm="1">
        <f t="array" ref="P67">vega_new(E67,A67,2,B67,D67,C67)</f>
        <v>30.368672906099274</v>
      </c>
      <c r="Q67" cm="1">
        <f t="array" ref="Q67">vega_new(E67,A67,3,B67,D67,C67)</f>
        <v>43.686989390338802</v>
      </c>
      <c r="R67" cm="1">
        <f t="array" ref="R67">vega_new(E67,A67,4,B67,D67,C67)</f>
        <v>54.35780541446865</v>
      </c>
      <c r="S67" cm="1">
        <f t="array" ref="S67">vega_new(E67,A67,5,B67,D67,C67)</f>
        <v>63.267584327417268</v>
      </c>
    </row>
    <row r="68" spans="1:19" x14ac:dyDescent="0.3">
      <c r="A68">
        <v>100</v>
      </c>
      <c r="B68">
        <f t="shared" si="3"/>
        <v>0.01</v>
      </c>
      <c r="C68">
        <v>0.2</v>
      </c>
      <c r="D68">
        <v>1E-3</v>
      </c>
      <c r="E68" s="5">
        <v>80</v>
      </c>
      <c r="F68" cm="1">
        <f t="array" ref="F68">vega_new(E68,A68,0.1,B68,D68,C68)</f>
        <v>2.3477631035825439E-2</v>
      </c>
      <c r="G68" cm="1">
        <f t="array" ref="G68">vega_new(E68,A68,0.2,B68,D68,C68)</f>
        <v>0.74511287585470531</v>
      </c>
      <c r="H68" cm="1">
        <f t="array" ref="H68">vega_new(E68,A68,0.3,B68,D68,C68)</f>
        <v>2.5720849556444443</v>
      </c>
      <c r="I68" cm="1">
        <f t="array" ref="I68">vega_new(E68,A68,0.4,B68,D68,C68)</f>
        <v>4.983259374520042</v>
      </c>
      <c r="J68" cm="1">
        <f t="array" ref="J68">vega_new(E68,A68,0.5,B68,D68,C68)</f>
        <v>7.596679345321129</v>
      </c>
      <c r="K68" cm="1">
        <f t="array" ref="K68">vega_new(E68,A68,0.6,B68,D68,C68)</f>
        <v>10.228641451269974</v>
      </c>
      <c r="L68" cm="1">
        <f t="array" ref="L68">vega_new(E68,A68,0.7,B68,D68,C68)</f>
        <v>12.798262831125756</v>
      </c>
      <c r="M68" cm="1">
        <f t="array" ref="M68">vega_new(E68,A68,0.8,B68,D68,C68)</f>
        <v>15.272732980223788</v>
      </c>
      <c r="N68" cm="1">
        <f t="array" ref="N68">vega_new(E68,A68,0.9,B68,D68,C68)</f>
        <v>17.641526902631046</v>
      </c>
      <c r="O68" cm="1">
        <f t="array" ref="O68">vega_new(E68,A68,1,B68,D68,C68)</f>
        <v>19.904416066642781</v>
      </c>
      <c r="P68" cm="1">
        <f t="array" ref="P68">vega_new(E68,A68,2,B68,D68,C68)</f>
        <v>37.985679687442705</v>
      </c>
      <c r="Q68" cm="1">
        <f t="array" ref="Q68">vega_new(E68,A68,3,B68,D68,C68)</f>
        <v>51.017300555822089</v>
      </c>
      <c r="R68" cm="1">
        <f t="array" ref="R68">vega_new(E68,A68,4,B68,D68,C68)</f>
        <v>61.335640966749409</v>
      </c>
      <c r="S68" cm="1">
        <f t="array" ref="S68">vega_new(E68,A68,5,B68,D68,C68)</f>
        <v>69.933236396162357</v>
      </c>
    </row>
    <row r="69" spans="1:19" x14ac:dyDescent="0.3">
      <c r="A69">
        <v>100</v>
      </c>
      <c r="B69">
        <f t="shared" si="3"/>
        <v>0.01</v>
      </c>
      <c r="C69">
        <v>0.2</v>
      </c>
      <c r="D69">
        <v>1E-3</v>
      </c>
      <c r="E69" s="5">
        <v>85</v>
      </c>
      <c r="F69" cm="1">
        <f t="array" ref="F69">vega_new(E69,A69,0.1,B69,D69,C69)</f>
        <v>0.44376721039168304</v>
      </c>
      <c r="G69" cm="1">
        <f t="array" ref="G69">vega_new(E69,A69,0.2,B69,D69,C69)</f>
        <v>3.2665759889405601</v>
      </c>
      <c r="H69" cm="1">
        <f t="array" ref="H69">vega_new(E69,A69,0.3,B69,D69,C69)</f>
        <v>6.9280752052509733</v>
      </c>
      <c r="I69" cm="1">
        <f t="array" ref="I69">vega_new(E69,A69,0.4,B69,D69,C69)</f>
        <v>10.521291909182306</v>
      </c>
      <c r="J69" cm="1">
        <f t="array" ref="J69">vega_new(E69,A69,0.5,B69,D69,C69)</f>
        <v>13.85850392150174</v>
      </c>
      <c r="K69" cm="1">
        <f t="array" ref="K69">vega_new(E69,A69,0.6,B69,D69,C69)</f>
        <v>16.927850955366125</v>
      </c>
      <c r="L69" cm="1">
        <f t="array" ref="L69">vega_new(E69,A69,0.7,B69,D69,C69)</f>
        <v>19.756700142548659</v>
      </c>
      <c r="M69" cm="1">
        <f t="array" ref="M69">vega_new(E69,A69,0.8,B69,D69,C69)</f>
        <v>22.377665449703766</v>
      </c>
      <c r="N69" cm="1">
        <f t="array" ref="N69">vega_new(E69,A69,0.9,B69,D69,C69)</f>
        <v>24.820216846275791</v>
      </c>
      <c r="O69" cm="1">
        <f t="array" ref="O69">vega_new(E69,A69,1,B69,D69,C69)</f>
        <v>27.109152909698885</v>
      </c>
      <c r="P69" cm="1">
        <f t="array" ref="P69">vega_new(E69,A69,2,B69,D69,C69)</f>
        <v>44.701632498398631</v>
      </c>
      <c r="Q69" cm="1">
        <f t="array" ref="Q69">vega_new(E69,A69,3,B69,D69,C69)</f>
        <v>57.182957869636574</v>
      </c>
      <c r="R69" cm="1">
        <f t="array" ref="R69">vega_new(E69,A69,4,B69,D69,C69)</f>
        <v>67.094184434207662</v>
      </c>
      <c r="S69" cm="1">
        <f t="array" ref="S69">vega_new(E69,A69,5,B69,D69,C69)</f>
        <v>75.389227788121246</v>
      </c>
    </row>
    <row r="70" spans="1:19" x14ac:dyDescent="0.3">
      <c r="A70">
        <v>100</v>
      </c>
      <c r="B70">
        <f t="shared" si="3"/>
        <v>0.01</v>
      </c>
      <c r="C70">
        <v>0.2</v>
      </c>
      <c r="D70">
        <v>1E-3</v>
      </c>
      <c r="E70" s="5">
        <v>90</v>
      </c>
      <c r="F70" cm="1">
        <f t="array" ref="F70">vega_new(E70,A70,0.1,B70,D70,C70)</f>
        <v>3.0563119134643855</v>
      </c>
      <c r="G70" cm="1">
        <f t="array" ref="G70">vega_new(E70,A70,0.2,B70,D70,C70)</f>
        <v>8.6402685415448577</v>
      </c>
      <c r="H70" cm="1">
        <f t="array" ref="H70">vega_new(E70,A70,0.3,B70,D70,C70)</f>
        <v>13.32021000764612</v>
      </c>
      <c r="I70" cm="1">
        <f t="array" ref="I70">vega_new(E70,A70,0.4,B70,D70,C70)</f>
        <v>17.246443519277751</v>
      </c>
      <c r="J70" cm="1">
        <f t="array" ref="J70">vega_new(E70,A70,0.5,B70,D70,C70)</f>
        <v>20.643628285810131</v>
      </c>
      <c r="K70" cm="1">
        <f t="array" ref="K70">vega_new(E70,A70,0.6,B70,D70,C70)</f>
        <v>23.657252684625515</v>
      </c>
      <c r="L70" cm="1">
        <f t="array" ref="L70">vega_new(E70,A70,0.7,B70,D70,C70)</f>
        <v>26.380682910056706</v>
      </c>
      <c r="M70" cm="1">
        <f t="array" ref="M70">vega_new(E70,A70,0.8,B70,D70,C70)</f>
        <v>28.876414004993109</v>
      </c>
      <c r="N70" cm="1">
        <f t="array" ref="N70">vega_new(E70,A70,0.9,B70,D70,C70)</f>
        <v>31.188133751240674</v>
      </c>
      <c r="O70" cm="1">
        <f t="array" ref="O70">vega_new(E70,A70,1,B70,D70,C70)</f>
        <v>33.347557547777591</v>
      </c>
      <c r="P70" cm="1">
        <f t="array" ref="P70">vega_new(E70,A70,2,B70,D70,C70)</f>
        <v>49.970151748044884</v>
      </c>
      <c r="Q70" cm="1">
        <f t="array" ref="Q70">vega_new(E70,A70,3,B70,D70,C70)</f>
        <v>61.915630662952246</v>
      </c>
      <c r="R70" cm="1">
        <f t="array" ref="R70">vega_new(E70,A70,4,B70,D70,C70)</f>
        <v>71.497649281376667</v>
      </c>
      <c r="S70" cm="1">
        <f t="array" ref="S70">vega_new(E70,A70,5,B70,D70,C70)</f>
        <v>79.571968121126019</v>
      </c>
    </row>
    <row r="71" spans="1:19" x14ac:dyDescent="0.3">
      <c r="A71">
        <v>100</v>
      </c>
      <c r="B71">
        <f t="shared" si="3"/>
        <v>0.01</v>
      </c>
      <c r="C71">
        <v>0.2</v>
      </c>
      <c r="D71">
        <v>1E-3</v>
      </c>
      <c r="E71" s="5">
        <v>95</v>
      </c>
      <c r="F71" cm="1">
        <f t="array" ref="F71">vega_new(E71,A71,0.1,B71,D71,C71)</f>
        <v>8.9424262429021368</v>
      </c>
      <c r="G71" cm="1">
        <f t="array" ref="G71">vega_new(E71,A71,0.2,B71,D71,C71)</f>
        <v>14.88965851432377</v>
      </c>
      <c r="H71" cm="1">
        <f t="array" ref="H71">vega_new(E71,A71,0.3,B71,D71,C71)</f>
        <v>19.241333648464472</v>
      </c>
      <c r="I71" cm="1">
        <f t="array" ref="I71">vega_new(E71,A71,0.4,B71,D71,C71)</f>
        <v>22.809036994861923</v>
      </c>
      <c r="J71" cm="1">
        <f t="array" ref="J71">vega_new(E71,A71,0.5,B71,D71,C71)</f>
        <v>25.894254375676759</v>
      </c>
      <c r="K71" cm="1">
        <f t="array" ref="K71">vega_new(E71,A71,0.6,B71,D71,C71)</f>
        <v>28.645407747093529</v>
      </c>
      <c r="L71" cm="1">
        <f t="array" ref="L71">vega_new(E71,A71,0.7,B71,D71,C71)</f>
        <v>31.147923927146344</v>
      </c>
      <c r="M71" cm="1">
        <f t="array" ref="M71">vega_new(E71,A71,0.8,B71,D71,C71)</f>
        <v>33.456122832786491</v>
      </c>
      <c r="N71" cm="1">
        <f t="array" ref="N71">vega_new(E71,A71,0.9,B71,D71,C71)</f>
        <v>35.607019446009026</v>
      </c>
      <c r="O71" cm="1">
        <f t="array" ref="O71">vega_new(E71,A71,1,B71,D71,C71)</f>
        <v>37.627154023063163</v>
      </c>
      <c r="P71" cm="1">
        <f t="array" ref="P71">vega_new(E71,A71,2,B71,D71,C71)</f>
        <v>53.475886052331688</v>
      </c>
      <c r="Q71" cm="1">
        <f t="array" ref="Q71">vega_new(E71,A71,3,B71,D71,C71)</f>
        <v>65.10049368175487</v>
      </c>
      <c r="R71" cm="1">
        <f t="array" ref="R71">vega_new(E71,A71,4,B71,D71,C71)</f>
        <v>74.515063232152329</v>
      </c>
      <c r="S71" cm="1">
        <f t="array" ref="S71">vega_new(E71,A71,5,B71,D71,C71)</f>
        <v>82.492299362301324</v>
      </c>
    </row>
    <row r="72" spans="1:19" x14ac:dyDescent="0.3">
      <c r="A72">
        <v>100</v>
      </c>
      <c r="B72">
        <f t="shared" si="3"/>
        <v>0.01</v>
      </c>
      <c r="C72">
        <v>0.2</v>
      </c>
      <c r="D72">
        <v>1E-3</v>
      </c>
      <c r="E72" s="5">
        <v>100</v>
      </c>
      <c r="F72" cm="1">
        <f t="array" ref="F72">vega_new(E72,A72,0.1,B72,D72,C72)</f>
        <v>12.601147185565372</v>
      </c>
      <c r="G72" cm="1">
        <f t="array" ref="G72">vega_new(E72,A72,0.2,B72,D72,C72)</f>
        <v>17.800208960202777</v>
      </c>
      <c r="H72" cm="1">
        <f t="array" ref="H72">vega_new(E72,A72,0.3,B72,D72,C72)</f>
        <v>21.775631002520541</v>
      </c>
      <c r="I72" cm="1">
        <f t="array" ref="I72">vega_new(E72,A72,0.4,B72,D72,C72)</f>
        <v>25.115402085436045</v>
      </c>
      <c r="J72" cm="1">
        <f t="array" ref="J72">vega_new(E72,A72,0.5,B72,D72,C72)</f>
        <v>28.047564819711535</v>
      </c>
      <c r="K72" cm="1">
        <f t="array" ref="K72">vega_new(E72,A72,0.6,B72,D72,C72)</f>
        <v>30.689216563928532</v>
      </c>
      <c r="L72" cm="1">
        <f t="array" ref="L72">vega_new(E72,A72,0.7,B72,D72,C72)</f>
        <v>33.110002624129763</v>
      </c>
      <c r="M72" cm="1">
        <f t="array" ref="M72">vega_new(E72,A72,0.8,B72,D72,C72)</f>
        <v>35.355355392724938</v>
      </c>
      <c r="N72" cm="1">
        <f t="array" ref="N72">vega_new(E72,A72,0.9,B72,D72,C72)</f>
        <v>37.456870270528064</v>
      </c>
      <c r="O72" cm="1">
        <f t="array" ref="O72">vega_new(E72,A72,1,B72,D72,C72)</f>
        <v>39.437579367338216</v>
      </c>
      <c r="P72" cm="1">
        <f t="array" ref="P72">vega_new(E72,A72,2,B72,D72,C72)</f>
        <v>55.134752987634677</v>
      </c>
      <c r="Q72" cm="1">
        <f t="array" ref="Q72">vega_new(E72,A72,3,B72,D72,C72)</f>
        <v>66.753070559749474</v>
      </c>
      <c r="R72" cm="1">
        <f t="array" ref="R72">vega_new(E72,A72,4,B72,D72,C72)</f>
        <v>76.197513684151829</v>
      </c>
      <c r="S72" cm="1">
        <f t="array" ref="S72">vega_new(E72,A72,5,B72,D72,C72)</f>
        <v>84.216267980070882</v>
      </c>
    </row>
    <row r="73" spans="1:19" x14ac:dyDescent="0.3">
      <c r="A73">
        <v>100</v>
      </c>
      <c r="B73">
        <f t="shared" si="3"/>
        <v>0.01</v>
      </c>
      <c r="C73">
        <v>0.2</v>
      </c>
      <c r="D73">
        <v>1E-3</v>
      </c>
      <c r="E73" s="5">
        <v>105</v>
      </c>
      <c r="F73" cm="1">
        <f t="array" ref="F73">vega_new(E73,A73,0.1,B73,D73,C73)</f>
        <v>9.4843695822718637</v>
      </c>
      <c r="G73" cm="1">
        <f t="array" ref="G73">vega_new(E73,A73,0.2,B73,D73,C73)</f>
        <v>15.546685802430339</v>
      </c>
      <c r="H73" cm="1">
        <f t="array" ref="H73">vega_new(E73,A73,0.3,B73,D73,C73)</f>
        <v>19.985802053122988</v>
      </c>
      <c r="I73" cm="1">
        <f t="array" ref="I73">vega_new(E73,A73,0.4,B73,D73,C73)</f>
        <v>23.629798839944961</v>
      </c>
      <c r="J73" cm="1">
        <f t="array" ref="J73">vega_new(E73,A73,0.5,B73,D73,C73)</f>
        <v>26.784064558918239</v>
      </c>
      <c r="K73" cm="1">
        <f t="array" ref="K73">vega_new(E73,A73,0.6,B73,D73,C73)</f>
        <v>29.598843813734966</v>
      </c>
      <c r="L73" cm="1">
        <f t="array" ref="L73">vega_new(E73,A73,0.7,B73,D73,C73)</f>
        <v>32.160665978882264</v>
      </c>
      <c r="M73" cm="1">
        <f t="array" ref="M73">vega_new(E73,A73,0.8,B73,D73,C73)</f>
        <v>34.524601967282599</v>
      </c>
      <c r="N73" cm="1">
        <f t="array" ref="N73">vega_new(E73,A73,0.9,B73,D73,C73)</f>
        <v>36.728213363478467</v>
      </c>
      <c r="O73" cm="1">
        <f t="array" ref="O73">vega_new(E73,A73,1,B73,D73,C73)</f>
        <v>38.798455783155859</v>
      </c>
      <c r="P73" cm="1">
        <f t="array" ref="P73">vega_new(E73,A73,2,B73,D73,C73)</f>
        <v>55.054276135916687</v>
      </c>
      <c r="Q73" cm="1">
        <f t="array" ref="Q73">vega_new(E73,A73,3,B73,D73,C73)</f>
        <v>66.987023739174816</v>
      </c>
      <c r="R73" cm="1">
        <f t="array" ref="R73">vega_new(E73,A73,4,B73,D73,C73)</f>
        <v>76.654409249291959</v>
      </c>
      <c r="S73" cm="1">
        <f t="array" ref="S73">vega_new(E73,A73,5,B73,D73,C73)</f>
        <v>84.847387692637</v>
      </c>
    </row>
    <row r="74" spans="1:19" x14ac:dyDescent="0.3">
      <c r="A74">
        <v>100</v>
      </c>
      <c r="B74">
        <f t="shared" si="3"/>
        <v>0.01</v>
      </c>
      <c r="C74">
        <v>0.2</v>
      </c>
      <c r="D74">
        <v>1E-3</v>
      </c>
      <c r="E74" s="5">
        <v>110</v>
      </c>
      <c r="F74" cm="1">
        <f t="array" ref="F74">vega_new(E74,A74,0.1,B74,D74,C74)</f>
        <v>4.1557559905493617</v>
      </c>
      <c r="G74" cm="1">
        <f t="array" ref="G74">vega_new(E74,A74,0.2,B74,D74,C74)</f>
        <v>10.357061914434832</v>
      </c>
      <c r="H74" cm="1">
        <f t="array" ref="H74">vega_new(E74,A74,0.3,B74,D74,C74)</f>
        <v>15.30991311293225</v>
      </c>
      <c r="I74" cm="1">
        <f t="array" ref="I74">vega_new(E74,A74,0.4,B74,D74,C74)</f>
        <v>19.41052873392648</v>
      </c>
      <c r="J74" cm="1">
        <f t="array" ref="J74">vega_new(E74,A74,0.5,B74,D74,C74)</f>
        <v>22.942964977612764</v>
      </c>
      <c r="K74" cm="1">
        <f t="array" ref="K74">vega_new(E74,A74,0.6,B74,D74,C74)</f>
        <v>26.072236370155977</v>
      </c>
      <c r="L74" cm="1">
        <f t="array" ref="L74">vega_new(E74,A74,0.7,B74,D74,C74)</f>
        <v>28.89969097478367</v>
      </c>
      <c r="M74" cm="1">
        <f t="array" ref="M74">vega_new(E74,A74,0.8,B74,D74,C74)</f>
        <v>31.49164277728984</v>
      </c>
      <c r="N74" cm="1">
        <f t="array" ref="N74">vega_new(E74,A74,0.9,B74,D74,C74)</f>
        <v>33.893842335549138</v>
      </c>
      <c r="O74" cm="1">
        <f t="array" ref="O74">vega_new(E74,A74,1,B74,D74,C74)</f>
        <v>36.13923338427427</v>
      </c>
      <c r="P74" cm="1">
        <f t="array" ref="P74">vega_new(E74,A74,2,B74,D74,C74)</f>
        <v>53.475058699621627</v>
      </c>
      <c r="Q74" cm="1">
        <f t="array" ref="Q74">vega_new(E74,A74,3,B74,D74,C74)</f>
        <v>65.980580903904624</v>
      </c>
      <c r="R74" cm="1">
        <f t="array" ref="R74">vega_new(E74,A74,4,B74,D74,C74)</f>
        <v>76.031789663057694</v>
      </c>
      <c r="S74" cm="1">
        <f t="array" ref="S74">vega_new(E74,A74,5,B74,D74,C74)</f>
        <v>84.511560234171782</v>
      </c>
    </row>
    <row r="75" spans="1:19" x14ac:dyDescent="0.3">
      <c r="A75">
        <v>100</v>
      </c>
      <c r="B75">
        <f t="shared" si="3"/>
        <v>0.01</v>
      </c>
      <c r="C75">
        <v>0.2</v>
      </c>
      <c r="D75">
        <v>1E-3</v>
      </c>
      <c r="E75" s="5">
        <v>115</v>
      </c>
      <c r="F75" cm="1">
        <f t="array" ref="F75">vega_new(E75,A75,0.1,B75,D75,C75)</f>
        <v>1.1394518613310123</v>
      </c>
      <c r="G75" cm="1">
        <f t="array" ref="G75">vega_new(E75,A75,0.2,B75,D75,C75)</f>
        <v>5.456498028123332</v>
      </c>
      <c r="H75" cm="1">
        <f t="array" ref="H75">vega_new(E75,A75,0.3,B75,D75,C75)</f>
        <v>10.027530354207629</v>
      </c>
      <c r="I75" cm="1">
        <f t="array" ref="I75">vega_new(E75,A75,0.4,B75,D75,C75)</f>
        <v>14.175243877597508</v>
      </c>
      <c r="J75" cm="1">
        <f t="array" ref="J75">vega_new(E75,A75,0.5,B75,D75,C75)</f>
        <v>17.885696822719517</v>
      </c>
      <c r="K75" cm="1">
        <f t="array" ref="K75">vega_new(E75,A75,0.6,B75,D75,C75)</f>
        <v>21.229676347475849</v>
      </c>
      <c r="L75" cm="1">
        <f t="array" ref="L75">vega_new(E75,A75,0.7,B75,D75,C75)</f>
        <v>24.275296810398739</v>
      </c>
      <c r="M75" cm="1">
        <f t="array" ref="M75">vega_new(E75,A75,0.8,B75,D75,C75)</f>
        <v>27.076739218753779</v>
      </c>
      <c r="N75" cm="1">
        <f t="array" ref="N75">vega_new(E75,A75,0.9,B75,D75,C75)</f>
        <v>29.675667960271905</v>
      </c>
      <c r="O75" cm="1">
        <f t="array" ref="O75">vega_new(E75,A75,1,B75,D75,C75)</f>
        <v>32.104178089921852</v>
      </c>
      <c r="P75" cm="1">
        <f t="array" ref="P75">vega_new(E75,A75,2,B75,D75,C75)</f>
        <v>50.710400309192771</v>
      </c>
      <c r="Q75" cm="1">
        <f t="array" ref="Q75">vega_new(E75,A75,3,B75,D75,C75)</f>
        <v>63.946427491077365</v>
      </c>
      <c r="R75" cm="1">
        <f t="array" ref="R75">vega_new(E75,A75,4,B75,D75,C75)</f>
        <v>74.494216449376935</v>
      </c>
      <c r="S75" cm="1">
        <f t="array" ref="S75">vega_new(E75,A75,5,B75,D75,C75)</f>
        <v>83.345043540889037</v>
      </c>
    </row>
    <row r="76" spans="1:19" x14ac:dyDescent="0.3">
      <c r="A76">
        <v>100</v>
      </c>
      <c r="B76">
        <f t="shared" si="3"/>
        <v>0.01</v>
      </c>
      <c r="C76">
        <v>0.2</v>
      </c>
      <c r="D76">
        <v>1E-3</v>
      </c>
      <c r="E76" s="5">
        <v>120</v>
      </c>
      <c r="F76" cm="1">
        <f t="array" ref="F76">vega_new(E76,A76,0.1,B76,D76,C76)</f>
        <v>0.20779204676312443</v>
      </c>
      <c r="G76" cm="1">
        <f t="array" ref="G76">vega_new(E76,A76,0.2,B76,D76,C76)</f>
        <v>2.3438075033517061</v>
      </c>
      <c r="H76" cm="1">
        <f t="array" ref="H76">vega_new(E76,A76,0.3,B76,D76,C76)</f>
        <v>5.7309540003821899</v>
      </c>
      <c r="I76" cm="1">
        <f t="array" ref="I76">vega_new(E76,A76,0.4,B76,D76,C76)</f>
        <v>9.3449283644417278</v>
      </c>
      <c r="J76" cm="1">
        <f t="array" ref="J76">vega_new(E76,A76,0.5,B76,D76,C76)</f>
        <v>12.845730365185814</v>
      </c>
      <c r="K76" cm="1">
        <f t="array" ref="K76">vega_new(E76,A76,0.6,B76,D76,C76)</f>
        <v>16.14363427116913</v>
      </c>
      <c r="L76" cm="1">
        <f t="array" ref="L76">vega_new(E76,A76,0.7,B76,D76,C76)</f>
        <v>19.228275795591237</v>
      </c>
      <c r="M76" cm="1">
        <f t="array" ref="M76">vega_new(E76,A76,0.8,B76,D76,C76)</f>
        <v>22.113655980773117</v>
      </c>
      <c r="N76" cm="1">
        <f t="array" ref="N76">vega_new(E76,A76,0.9,B76,D76,C76)</f>
        <v>24.819904527836471</v>
      </c>
      <c r="O76" cm="1">
        <f t="array" ref="O76">vega_new(E76,A76,1,B76,D76,C76)</f>
        <v>27.367144963945506</v>
      </c>
      <c r="P76" cm="1">
        <f t="array" ref="P76">vega_new(E76,A76,2,B76,D76,C76)</f>
        <v>47.094747804990099</v>
      </c>
      <c r="Q76" cm="1">
        <f t="array" ref="Q76">vega_new(E76,A76,3,B76,D76,C76)</f>
        <v>61.107458754579675</v>
      </c>
      <c r="R76" cm="1">
        <f t="array" ref="R76">vega_new(E76,A76,4,B76,D76,C76)</f>
        <v>72.210731276129408</v>
      </c>
      <c r="S76" cm="1">
        <f t="array" ref="S76">vega_new(E76,A76,5,B76,D76,C76)</f>
        <v>81.485383608768529</v>
      </c>
    </row>
    <row r="77" spans="1:19" x14ac:dyDescent="0.3">
      <c r="A77">
        <v>100</v>
      </c>
      <c r="B77">
        <f t="shared" si="3"/>
        <v>0.01</v>
      </c>
      <c r="C77">
        <v>0.2</v>
      </c>
      <c r="D77">
        <v>1E-3</v>
      </c>
      <c r="E77" s="5">
        <v>125</v>
      </c>
      <c r="F77" cm="1">
        <f t="array" ref="F77">vega_new(E77,A77,0.1,B77,D77,C77)</f>
        <v>2.6543291730381183E-2</v>
      </c>
      <c r="G77" cm="1">
        <f t="array" ref="G77">vega_new(E77,A77,0.2,B77,D77,C77)</f>
        <v>0.84240818018202779</v>
      </c>
      <c r="H77" cm="1">
        <f t="array" ref="H77">vega_new(E77,A77,0.3,B77,D77,C77)</f>
        <v>2.9079425104184051</v>
      </c>
      <c r="I77" cm="1">
        <f t="array" ref="I77">vega_new(E77,A77,0.4,B77,D77,C77)</f>
        <v>5.6339631176673546</v>
      </c>
      <c r="J77" cm="1">
        <f t="array" ref="J77">vega_new(E77,A77,0.5,B77,D77,C77)</f>
        <v>8.5886380843675791</v>
      </c>
      <c r="K77" cm="1">
        <f t="array" ref="K77">vega_new(E77,A77,0.6,B77,D77,C77)</f>
        <v>11.564276380024644</v>
      </c>
      <c r="L77" cm="1">
        <f t="array" ref="L77">vega_new(E77,A77,0.7,B77,D77,C77)</f>
        <v>14.469433626003104</v>
      </c>
      <c r="M77" cm="1">
        <f t="array" ref="M77">vega_new(E77,A77,0.8,B77,D77,C77)</f>
        <v>17.267014989531845</v>
      </c>
      <c r="N77" cm="1">
        <f t="array" ref="N77">vega_new(E77,A77,0.9,B77,D77,C77)</f>
        <v>19.945121142391375</v>
      </c>
      <c r="O77" cm="1">
        <f t="array" ref="O77">vega_new(E77,A77,1,B77,D77,C77)</f>
        <v>22.503493711677752</v>
      </c>
      <c r="P77" cm="1">
        <f t="array" ref="P77">vega_new(E77,A77,2,B77,D77,C77)</f>
        <v>42.945771486998005</v>
      </c>
      <c r="Q77" cm="1">
        <f t="array" ref="Q77">vega_new(E77,A77,3,B77,D77,C77)</f>
        <v>57.679034562020064</v>
      </c>
      <c r="R77" cm="1">
        <f t="array" ref="R77">vega_new(E77,A77,4,B77,D77,C77)</f>
        <v>69.344722607065933</v>
      </c>
      <c r="S77" cm="1">
        <f t="array" ref="S77">vega_new(E77,A77,5,B77,D77,C77)</f>
        <v>79.064974335805871</v>
      </c>
    </row>
    <row r="78" spans="1:19" x14ac:dyDescent="0.3">
      <c r="A78">
        <v>100</v>
      </c>
      <c r="B78">
        <f t="shared" si="3"/>
        <v>0.01</v>
      </c>
      <c r="C78">
        <v>0.2</v>
      </c>
      <c r="D78">
        <v>1E-3</v>
      </c>
      <c r="E78" s="5">
        <v>130</v>
      </c>
      <c r="F78" cm="1">
        <f t="array" ref="F78">vega_new(E78,A78,0.1,B78,D78,C78)</f>
        <v>2.4826273117329154E-3</v>
      </c>
      <c r="G78" cm="1">
        <f t="array" ref="G78">vega_new(E78,A78,0.2,B78,D78,C78)</f>
        <v>0.25902580603298903</v>
      </c>
      <c r="H78" cm="1">
        <f t="array" ref="H78">vega_new(E78,A78,0.3,B78,D78,C78)</f>
        <v>1.3295178669374139</v>
      </c>
      <c r="I78" cm="1">
        <f t="array" ref="I78">vega_new(E78,A78,0.4,B78,D78,C78)</f>
        <v>3.1409882584752227</v>
      </c>
      <c r="J78" cm="1">
        <f t="array" ref="J78">vega_new(E78,A78,0.5,B78,D78,C78)</f>
        <v>5.3934044207967498</v>
      </c>
      <c r="K78" cm="1">
        <f t="array" ref="K78">vega_new(E78,A78,0.6,B78,D78,C78)</f>
        <v>7.8616685071738015</v>
      </c>
      <c r="L78" cm="1">
        <f t="array" ref="L78">vega_new(E78,A78,0.7,B78,D78,C78)</f>
        <v>10.410230714500145</v>
      </c>
      <c r="M78" cm="1">
        <f t="array" ref="M78">vega_new(E78,A78,0.8,B78,D78,C78)</f>
        <v>12.962402622335606</v>
      </c>
      <c r="N78" cm="1">
        <f t="array" ref="N78">vega_new(E78,A78,0.9,B78,D78,C78)</f>
        <v>15.476125560576959</v>
      </c>
      <c r="O78" cm="1">
        <f t="array" ref="O78">vega_new(E78,A78,1,B78,D78,C78)</f>
        <v>17.929219112169509</v>
      </c>
      <c r="P78" cm="1">
        <f t="array" ref="P78">vega_new(E78,A78,2,B78,D78,C78)</f>
        <v>38.540576461386955</v>
      </c>
      <c r="Q78" cm="1">
        <f t="array" ref="Q78">vega_new(E78,A78,3,B78,D78,C78)</f>
        <v>53.857299105745028</v>
      </c>
      <c r="R78" cm="1">
        <f t="array" ref="R78">vega_new(E78,A78,4,B78,D78,C78)</f>
        <v>66.047198045791447</v>
      </c>
      <c r="S78" cm="1">
        <f t="array" ref="S78">vega_new(E78,A78,5,B78,D78,C78)</f>
        <v>76.206805029566198</v>
      </c>
    </row>
    <row r="79" spans="1:19" x14ac:dyDescent="0.3">
      <c r="A79">
        <v>100</v>
      </c>
      <c r="B79">
        <f t="shared" si="3"/>
        <v>0.01</v>
      </c>
      <c r="C79">
        <v>0.2</v>
      </c>
      <c r="D79">
        <v>1E-3</v>
      </c>
      <c r="E79" s="5">
        <v>135</v>
      </c>
      <c r="F79" cm="1">
        <f t="array" ref="F79">vega_new(E79,A79,0.1,B79,D79,C79)</f>
        <v>1.766166166839511E-4</v>
      </c>
      <c r="G79" cm="1">
        <f t="array" ref="G79">vega_new(E79,A79,0.2,B79,D79,C79)</f>
        <v>6.9447518502807129E-2</v>
      </c>
      <c r="H79" cm="1">
        <f t="array" ref="H79">vega_new(E79,A79,0.3,B79,D79,C79)</f>
        <v>0.554718221301716</v>
      </c>
      <c r="I79" cm="1">
        <f t="array" ref="I79">vega_new(E79,A79,0.4,B79,D79,C79)</f>
        <v>1.6348459822681303</v>
      </c>
      <c r="J79" cm="1">
        <f t="array" ref="J79">vega_new(E79,A79,0.5,B79,D79,C79)</f>
        <v>3.2054786217504248</v>
      </c>
      <c r="K79" cm="1">
        <f t="array" ref="K79">vega_new(E79,A79,0.6,B79,D79,C79)</f>
        <v>5.1045508750703927</v>
      </c>
      <c r="L79" cm="1">
        <f t="array" ref="L79">vega_new(E79,A79,0.7,B79,D79,C79)</f>
        <v>7.2001402705199986</v>
      </c>
      <c r="M79" cm="1">
        <f t="array" ref="M79">vega_new(E79,A79,0.8,B79,D79,C79)</f>
        <v>9.4003593277082249</v>
      </c>
      <c r="N79" cm="1">
        <f t="array" ref="N79">vega_new(E79,A79,0.9,B79,D79,C79)</f>
        <v>11.644653553018928</v>
      </c>
      <c r="O79" cm="1">
        <f t="array" ref="O79">vega_new(E79,A79,1,B79,D79,C79)</f>
        <v>13.894086744879363</v>
      </c>
      <c r="P79" cm="1">
        <f t="array" ref="P79">vega_new(E79,A79,2,B79,D79,C79)</f>
        <v>34.104069451610947</v>
      </c>
      <c r="Q79" cm="1">
        <f t="array" ref="Q79">vega_new(E79,A79,3,B79,D79,C79)</f>
        <v>49.812578543587577</v>
      </c>
      <c r="R79" cm="1">
        <f t="array" ref="R79">vega_new(E79,A79,4,B79,D79,C79)</f>
        <v>62.452823719668459</v>
      </c>
      <c r="S79" cm="1">
        <f t="array" ref="S79">vega_new(E79,A79,5,B79,D79,C79)</f>
        <v>73.021940873469646</v>
      </c>
    </row>
    <row r="80" spans="1:19" x14ac:dyDescent="0.3">
      <c r="A80">
        <v>100</v>
      </c>
      <c r="B80">
        <f t="shared" si="3"/>
        <v>0.01</v>
      </c>
      <c r="C80">
        <v>0.2</v>
      </c>
      <c r="D80">
        <v>1E-3</v>
      </c>
      <c r="E80" s="5">
        <v>140</v>
      </c>
      <c r="F80" cm="1">
        <f t="array" ref="F80">vega_new(E80,A80,0.1,B80,D80,C80)</f>
        <v>9.8762464658489268E-6</v>
      </c>
      <c r="G80" cm="1">
        <f t="array" ref="G80">vega_new(E80,A80,0.2,B80,D80,C80)</f>
        <v>1.6504737560357769E-2</v>
      </c>
      <c r="H80" cm="1">
        <f t="array" ref="H80">vega_new(E80,A80,0.3,B80,D80,C80)</f>
        <v>0.21354439011857809</v>
      </c>
      <c r="I80" cm="1">
        <f t="array" ref="I80">vega_new(E80,A80,0.4,B80,D80,C80)</f>
        <v>0.80098521832492153</v>
      </c>
      <c r="J80" cm="1">
        <f t="array" ref="J80">vega_new(E80,A80,0.5,B80,D80,C80)</f>
        <v>1.8150128129205314</v>
      </c>
      <c r="K80" cm="1">
        <f t="array" ref="K80">vega_new(E80,A80,0.6,B80,D80,C80)</f>
        <v>3.1830034980752244</v>
      </c>
      <c r="L80" cm="1">
        <f t="array" ref="L80">vega_new(E80,A80,0.7,B80,D80,C80)</f>
        <v>4.8099874460952714</v>
      </c>
      <c r="M80" cm="1">
        <f t="array" ref="M80">vega_new(E80,A80,0.8,B80,D80,C80)</f>
        <v>6.6128701516528059</v>
      </c>
      <c r="N80" cm="1">
        <f t="array" ref="N80">vega_new(E80,A80,0.9,B80,D80,C80)</f>
        <v>8.5276120144906802</v>
      </c>
      <c r="O80" cm="1">
        <f t="array" ref="O80">vega_new(E80,A80,1,B80,D80,C80)</f>
        <v>10.507396551503875</v>
      </c>
      <c r="P80" cm="1">
        <f t="array" ref="P80">vega_new(E80,A80,2,B80,D80,C80)</f>
        <v>29.80646512632218</v>
      </c>
      <c r="Q80" cm="1">
        <f t="array" ref="Q80">vega_new(E80,A80,3,B80,D80,C80)</f>
        <v>45.686688274716822</v>
      </c>
      <c r="R80" cm="1">
        <f t="array" ref="R80">vega_new(E80,A80,4,B80,D80,C80)</f>
        <v>58.678084207709531</v>
      </c>
      <c r="S80" cm="1">
        <f t="array" ref="S80">vega_new(E80,A80,5,B80,D80,C80)</f>
        <v>69.608317118438634</v>
      </c>
    </row>
    <row r="82" spans="1:29" x14ac:dyDescent="0.3">
      <c r="A82" s="11" t="s">
        <v>31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x14ac:dyDescent="0.3">
      <c r="A83" t="s">
        <v>13</v>
      </c>
      <c r="B83" t="s">
        <v>14</v>
      </c>
      <c r="C83" t="s">
        <v>15</v>
      </c>
      <c r="D83" t="s">
        <v>26</v>
      </c>
      <c r="F83" s="7">
        <v>0.1</v>
      </c>
      <c r="G83" s="7">
        <v>0.2</v>
      </c>
      <c r="H83" s="7">
        <v>0.3</v>
      </c>
      <c r="I83" s="7">
        <v>0.4</v>
      </c>
      <c r="J83" s="7">
        <v>0.5</v>
      </c>
      <c r="K83" s="7">
        <v>0.6</v>
      </c>
      <c r="L83" s="7">
        <v>0.7</v>
      </c>
      <c r="M83" s="7">
        <v>0.8</v>
      </c>
      <c r="N83" s="7">
        <v>0.9</v>
      </c>
      <c r="O83" s="7">
        <v>1</v>
      </c>
      <c r="P83" s="7">
        <v>2</v>
      </c>
      <c r="Q83" s="7">
        <v>3</v>
      </c>
      <c r="R83" s="7">
        <v>4</v>
      </c>
      <c r="S83" s="7">
        <v>5</v>
      </c>
    </row>
    <row r="84" spans="1:29" x14ac:dyDescent="0.3">
      <c r="A84">
        <v>100</v>
      </c>
      <c r="B84">
        <f>1/100</f>
        <v>0.01</v>
      </c>
      <c r="C84">
        <v>0.2</v>
      </c>
      <c r="D84">
        <v>1E-3</v>
      </c>
      <c r="E84" s="5">
        <v>60</v>
      </c>
      <c r="F84" cm="1">
        <f t="array" ref="F84">rho_call(E84,A84,0.1,B84,D84,C84)</f>
        <v>2.8779189328421856E-15</v>
      </c>
      <c r="G84" cm="1">
        <f t="array" ref="G84">rho_call(E84,A84,0.2,B84,D84,C84)</f>
        <v>9.6858739802867975E-8</v>
      </c>
      <c r="H84" cm="1">
        <f t="array" ref="H84">rho_call(E84,A84,0.3,B84,D84,C84)</f>
        <v>4.0203466960021731E-5</v>
      </c>
      <c r="I84" cm="1">
        <f t="array" ref="I84">rho_call(E84,A84,0.4,B84,D84,C84)</f>
        <v>9.2366482531955124E-4</v>
      </c>
      <c r="J84" cm="1">
        <f t="array" ref="J84">rho_call(E84,A84,0.5,B84,D84,C84)</f>
        <v>6.4986304475572465E-3</v>
      </c>
      <c r="K84" cm="1">
        <f t="array" ref="K84">rho_call(E84,A84,0.6,B84,D84,C84)</f>
        <v>2.4986042667139989E-2</v>
      </c>
      <c r="L84" cm="1">
        <f t="array" ref="L84">rho_call(E84,A84,0.7,B84,D84,C84)</f>
        <v>6.7536567230526798E-2</v>
      </c>
      <c r="M84" cm="1">
        <f t="array" ref="M84">rho_call(E84,A84,0.8,B84,D84,C84)</f>
        <v>0.14582594187379008</v>
      </c>
      <c r="N84" cm="1">
        <f t="array" ref="N84">rho_call(E84,A84,0.9,B84,D84,C84)</f>
        <v>0.27029959110247698</v>
      </c>
      <c r="O84" cm="1">
        <f t="array" ref="O84">rho_call(E84,A84,1,B84,D84,C84)</f>
        <v>0.44935020388692287</v>
      </c>
      <c r="P84" cm="1">
        <f t="array" ref="P84">rho_call(E84,A84,2,B84,D84,C84)</f>
        <v>5.8408973874428955</v>
      </c>
      <c r="Q84" cm="1">
        <f t="array" ref="Q84">rho_call(E84,A84,3,B84,D84,C84)</f>
        <v>16.949926202511119</v>
      </c>
      <c r="R84" cm="1">
        <f t="array" ref="R84">rho_call(E84,A84,4,B84,D84,C84)</f>
        <v>31.78718633982924</v>
      </c>
      <c r="S84" cm="1">
        <f t="array" ref="S84">rho_call(E84,A84,5,B84,D84,C84)</f>
        <v>48.938575913356303</v>
      </c>
    </row>
    <row r="85" spans="1:29" x14ac:dyDescent="0.3">
      <c r="A85">
        <v>100</v>
      </c>
      <c r="B85">
        <f t="shared" ref="B85:B100" si="4">1/100</f>
        <v>0.01</v>
      </c>
      <c r="C85">
        <v>0.2</v>
      </c>
      <c r="D85">
        <v>1E-3</v>
      </c>
      <c r="E85" s="5">
        <v>65</v>
      </c>
      <c r="F85" cm="1">
        <f t="array" ref="F85">rho_call(E85,A85,0.1,B85,D85,C85)</f>
        <v>4.281035381736434E-11</v>
      </c>
      <c r="G85" cm="1">
        <f t="array" ref="G85">rho_call(E85,A85,0.2,B85,D85,C85)</f>
        <v>1.2899664797805941E-5</v>
      </c>
      <c r="H85" cm="1">
        <f t="array" ref="H85">rho_call(E85,A85,0.3,B85,D85,C85)</f>
        <v>1.108660045370025E-3</v>
      </c>
      <c r="I85" cm="1">
        <f t="array" ref="I85">rho_call(E85,A85,0.4,B85,D85,C85)</f>
        <v>1.156974037507447E-2</v>
      </c>
      <c r="J85" cm="1">
        <f t="array" ref="J85">rho_call(E85,A85,0.5,B85,D85,C85)</f>
        <v>5.0636602149410792E-2</v>
      </c>
      <c r="K85" cm="1">
        <f t="array" ref="K85">rho_call(E85,A85,0.6,B85,D85,C85)</f>
        <v>0.14174559431035927</v>
      </c>
      <c r="L85" cm="1">
        <f t="array" ref="L85">rho_call(E85,A85,0.7,B85,D85,C85)</f>
        <v>0.30521636354051074</v>
      </c>
      <c r="M85" cm="1">
        <f t="array" ref="M85">rho_call(E85,A85,0.8,B85,D85,C85)</f>
        <v>0.55541444760070269</v>
      </c>
      <c r="N85" cm="1">
        <f t="array" ref="N85">rho_call(E85,A85,0.9,B85,D85,C85)</f>
        <v>0.90087776735537706</v>
      </c>
      <c r="O85" cm="1">
        <f t="array" ref="O85">rho_call(E85,A85,1,B85,D85,C85)</f>
        <v>1.3455065768236785</v>
      </c>
      <c r="P85" cm="1">
        <f t="array" ref="P85">rho_call(E85,A85,2,B85,D85,C85)</f>
        <v>10.724816400465619</v>
      </c>
      <c r="Q85" cm="1">
        <f t="array" ref="Q85">rho_call(E85,A85,3,B85,D85,C85)</f>
        <v>26.293349069133921</v>
      </c>
      <c r="R85" cm="1">
        <f t="array" ref="R85">rho_call(E85,A85,4,B85,D85,C85)</f>
        <v>45.204080014811915</v>
      </c>
      <c r="S85" cm="1">
        <f t="array" ref="S85">rho_call(E85,A85,5,B85,D85,C85)</f>
        <v>65.960917034933118</v>
      </c>
    </row>
    <row r="86" spans="1:29" x14ac:dyDescent="0.3">
      <c r="A86">
        <v>100</v>
      </c>
      <c r="B86">
        <f t="shared" si="4"/>
        <v>0.01</v>
      </c>
      <c r="C86">
        <v>0.2</v>
      </c>
      <c r="D86">
        <v>1E-3</v>
      </c>
      <c r="E86" s="5">
        <v>70</v>
      </c>
      <c r="F86" cm="1">
        <f t="array" ref="F86">rho_call(E86,A86,0.1,B86,D86,C86)</f>
        <v>7.6980402305900477E-8</v>
      </c>
      <c r="G86" cm="1">
        <f t="array" ref="G86">rho_call(E86,A86,0.2,B86,D86,C86)</f>
        <v>5.9998727560775153E-4</v>
      </c>
      <c r="H86" cm="1">
        <f t="array" ref="H86">rho_call(E86,A86,0.3,B86,D86,C86)</f>
        <v>1.5191739327922336E-2</v>
      </c>
      <c r="I86" cm="1">
        <f t="array" ref="I86">rho_call(E86,A86,0.4,B86,D86,C86)</f>
        <v>8.5852121080629173E-2</v>
      </c>
      <c r="J86" cm="1">
        <f t="array" ref="J86">rho_call(E86,A86,0.5,B86,D86,C86)</f>
        <v>0.25965421673994676</v>
      </c>
      <c r="K86" cm="1">
        <f t="array" ref="K86">rho_call(E86,A86,0.6,B86,D86,C86)</f>
        <v>0.56750478959362483</v>
      </c>
      <c r="L86" cm="1">
        <f t="array" ref="L86">rho_call(E86,A86,0.7,B86,D86,C86)</f>
        <v>1.0231793558946314</v>
      </c>
      <c r="M86" cm="1">
        <f t="array" ref="M86">rho_call(E86,A86,0.8,B86,D86,C86)</f>
        <v>1.6287498013018218</v>
      </c>
      <c r="N86" cm="1">
        <f t="array" ref="N86">rho_call(E86,A86,0.9,B86,D86,C86)</f>
        <v>2.3795562725707424</v>
      </c>
      <c r="O86" cm="1">
        <f t="array" ref="O86">rho_call(E86,A86,1,B86,D86,C86)</f>
        <v>3.2675212480587197</v>
      </c>
      <c r="P86" cm="1">
        <f t="array" ref="P86">rho_call(E86,A86,2,B86,D86,C86)</f>
        <v>17.705318415928794</v>
      </c>
      <c r="Q86" cm="1">
        <f t="array" ref="Q86">rho_call(E86,A86,3,B86,D86,C86)</f>
        <v>37.939617333668707</v>
      </c>
      <c r="R86" cm="1">
        <f t="array" ref="R86">rho_call(E86,A86,4,B86,D86,C86)</f>
        <v>60.816936426093342</v>
      </c>
      <c r="S86" cm="1">
        <f t="array" ref="S86">rho_call(E86,A86,5,B86,D86,C86)</f>
        <v>84.967192183069656</v>
      </c>
    </row>
    <row r="87" spans="1:29" x14ac:dyDescent="0.3">
      <c r="A87">
        <v>100</v>
      </c>
      <c r="B87">
        <f t="shared" si="4"/>
        <v>0.01</v>
      </c>
      <c r="C87">
        <v>0.2</v>
      </c>
      <c r="D87">
        <v>1E-3</v>
      </c>
      <c r="E87" s="5">
        <v>75</v>
      </c>
      <c r="F87" cm="1">
        <f t="array" ref="F87">rho_call(E87,A87,0.1,B87,D87,C87)</f>
        <v>2.4825710705545986E-5</v>
      </c>
      <c r="G87" cm="1">
        <f t="array" ref="G87">rho_call(E87,A87,0.2,B87,D87,C87)</f>
        <v>1.1888149934495702E-2</v>
      </c>
      <c r="H87" cm="1">
        <f t="array" ref="H87">rho_call(E87,A87,0.3,B87,D87,C87)</f>
        <v>0.11815320604807757</v>
      </c>
      <c r="I87" cm="1">
        <f t="array" ref="I87">rho_call(E87,A87,0.4,B87,D87,C87)</f>
        <v>0.41707621452163129</v>
      </c>
      <c r="J87" cm="1">
        <f t="array" ref="J87">rho_call(E87,A87,0.5,B87,D87,C87)</f>
        <v>0.94929200929730151</v>
      </c>
      <c r="K87" cm="1">
        <f t="array" ref="K87">rho_call(E87,A87,0.6,B87,D87,C87)</f>
        <v>1.7143206423411179</v>
      </c>
      <c r="L87" cm="1">
        <f t="array" ref="L87">rho_call(E87,A87,0.7,B87,D87,C87)</f>
        <v>2.6943612106194412</v>
      </c>
      <c r="M87" cm="1">
        <f t="array" ref="M87">rho_call(E87,A87,0.8,B87,D87,C87)</f>
        <v>3.866608180067717</v>
      </c>
      <c r="N87" cm="1">
        <f t="array" ref="N87">rho_call(E87,A87,0.9,B87,D87,C87)</f>
        <v>5.2084142292554834</v>
      </c>
      <c r="O87" cm="1">
        <f t="array" ref="O87">rho_call(E87,A87,1,B87,D87,C87)</f>
        <v>6.6991624063314132</v>
      </c>
      <c r="P87" cm="1">
        <f t="array" ref="P87">rho_call(E87,A87,2,B87,D87,C87)</f>
        <v>26.814725386983216</v>
      </c>
      <c r="Q87" cm="1">
        <f t="array" ref="Q87">rho_call(E87,A87,3,B87,D87,C87)</f>
        <v>51.616050658719935</v>
      </c>
      <c r="R87" cm="1">
        <f t="array" ref="R87">rho_call(E87,A87,4,B87,D87,C87)</f>
        <v>78.206014729928157</v>
      </c>
      <c r="S87" cm="1">
        <f t="array" ref="S87">rho_call(E87,A87,5,B87,D87,C87)</f>
        <v>105.47264454642718</v>
      </c>
    </row>
    <row r="88" spans="1:29" x14ac:dyDescent="0.3">
      <c r="A88">
        <v>100</v>
      </c>
      <c r="B88">
        <f t="shared" si="4"/>
        <v>0.01</v>
      </c>
      <c r="C88">
        <v>0.2</v>
      </c>
      <c r="D88">
        <v>1E-3</v>
      </c>
      <c r="E88" s="5">
        <v>80</v>
      </c>
      <c r="F88" cm="1">
        <f t="array" ref="F88">rho_call(E88,A88,0.1,B88,D88,C88)</f>
        <v>1.956630171042268E-3</v>
      </c>
      <c r="G88" cm="1">
        <f t="array" ref="G88">rho_call(E88,A88,0.2,B88,D88,C88)</f>
        <v>0.11731432176922496</v>
      </c>
      <c r="H88" cm="1">
        <f t="array" ref="H88">rho_call(E88,A88,0.3,B88,D88,C88)</f>
        <v>0.57907835842005595</v>
      </c>
      <c r="I88" cm="1">
        <f t="array" ref="I88">rho_call(E88,A88,0.4,B88,D88,C88)</f>
        <v>1.4349711531481899</v>
      </c>
      <c r="J88" cm="1">
        <f t="array" ref="J88">rho_call(E88,A88,0.5,B88,D88,C88)</f>
        <v>2.6350761348000029</v>
      </c>
      <c r="K88" cm="1">
        <f t="array" ref="K88">rho_call(E88,A88,0.6,B88,D88,C88)</f>
        <v>4.1175464603241911</v>
      </c>
      <c r="L88" cm="1">
        <f t="array" ref="L88">rho_call(E88,A88,0.7,B88,D88,C88)</f>
        <v>5.8293905198789275</v>
      </c>
      <c r="M88" cm="1">
        <f t="array" ref="M88">rho_call(E88,A88,0.8,B88,D88,C88)</f>
        <v>7.7286238518735804</v>
      </c>
      <c r="N88" cm="1">
        <f t="array" ref="N88">rho_call(E88,A88,0.9,B88,D88,C88)</f>
        <v>9.782495776515308</v>
      </c>
      <c r="O88" cm="1">
        <f t="array" ref="O88">rho_call(E88,A88,1,B88,D88,C88)</f>
        <v>11.965358420166091</v>
      </c>
      <c r="P88" cm="1">
        <f t="array" ref="P88">rho_call(E88,A88,2,B88,D88,C88)</f>
        <v>37.845382145323278</v>
      </c>
      <c r="Q88" cm="1">
        <f t="array" ref="Q88">rho_call(E88,A88,3,B88,D88,C88)</f>
        <v>66.909842511116025</v>
      </c>
      <c r="R88" cm="1">
        <f t="array" ref="R88">rho_call(E88,A88,4,B88,D88,C88)</f>
        <v>96.890557083226113</v>
      </c>
      <c r="S88" cm="1">
        <f t="array" ref="S88">rho_call(E88,A88,5,B88,D88,C88)</f>
        <v>126.98345282483261</v>
      </c>
    </row>
    <row r="89" spans="1:29" x14ac:dyDescent="0.3">
      <c r="A89">
        <v>100</v>
      </c>
      <c r="B89">
        <f t="shared" si="4"/>
        <v>0.01</v>
      </c>
      <c r="C89">
        <v>0.2</v>
      </c>
      <c r="D89">
        <v>1E-3</v>
      </c>
      <c r="E89" s="5">
        <v>85</v>
      </c>
      <c r="F89" cm="1">
        <f t="array" ref="F89">rho_call(E89,A89,0.1,B89,D89,C89)</f>
        <v>4.8353458221317452E-2</v>
      </c>
      <c r="G89" cm="1">
        <f t="array" ref="G89">rho_call(E89,A89,0.2,B89,D89,C89)</f>
        <v>0.65400755297368773</v>
      </c>
      <c r="H89" cm="1">
        <f t="array" ref="H89">rho_call(E89,A89,0.3,B89,D89,C89)</f>
        <v>1.9456347785978045</v>
      </c>
      <c r="I89" cm="1">
        <f t="array" ref="I89">rho_call(E89,A89,0.4,B89,D89,C89)</f>
        <v>3.7243778714577247</v>
      </c>
      <c r="J89" cm="1">
        <f t="array" ref="J89">rho_call(E89,A89,0.5,B89,D89,C89)</f>
        <v>5.8408365463987595</v>
      </c>
      <c r="K89" cm="1">
        <f t="array" ref="K89">rho_call(E89,A89,0.6,B89,D89,C89)</f>
        <v>8.2001548006555076</v>
      </c>
      <c r="L89" cm="1">
        <f t="array" ref="L89">rho_call(E89,A89,0.7,B89,D89,C89)</f>
        <v>10.740714807674948</v>
      </c>
      <c r="M89" cm="1">
        <f t="array" ref="M89">rho_call(E89,A89,0.8,B89,D89,C89)</f>
        <v>13.420726895739712</v>
      </c>
      <c r="N89" cm="1">
        <f t="array" ref="N89">rho_call(E89,A89,0.9,B89,D89,C89)</f>
        <v>16.210673582060547</v>
      </c>
      <c r="O89" cm="1">
        <f t="array" ref="O89">rho_call(E89,A89,1,B89,D89,C89)</f>
        <v>19.088966578944852</v>
      </c>
      <c r="P89" cm="1">
        <f t="array" ref="P89">rho_call(E89,A89,2,B89,D89,C89)</f>
        <v>50.397955949091106</v>
      </c>
      <c r="Q89" cm="1">
        <f t="array" ref="Q89">rho_call(E89,A89,3,B89,D89,C89)</f>
        <v>83.332941694206227</v>
      </c>
      <c r="R89" cm="1">
        <f t="array" ref="R89">rho_call(E89,A89,4,B89,D89,C89)</f>
        <v>116.37980315815354</v>
      </c>
      <c r="S89" cm="1">
        <f t="array" ref="S89">rho_call(E89,A89,5,B89,D89,C89)</f>
        <v>149.03214026616041</v>
      </c>
    </row>
    <row r="90" spans="1:29" x14ac:dyDescent="0.3">
      <c r="A90">
        <v>100</v>
      </c>
      <c r="B90">
        <f t="shared" si="4"/>
        <v>0.01</v>
      </c>
      <c r="C90">
        <v>0.2</v>
      </c>
      <c r="D90">
        <v>1E-3</v>
      </c>
      <c r="E90" s="5">
        <v>90</v>
      </c>
      <c r="F90" cm="1">
        <f t="array" ref="F90">rho_call(E90,A90,0.1,B90,D90,C90)</f>
        <v>0.46113486218310279</v>
      </c>
      <c r="G90" cm="1">
        <f t="array" ref="G90">rho_call(E90,A90,0.2,B90,D90,C90)</f>
        <v>2.2868759227477633</v>
      </c>
      <c r="H90" cm="1">
        <f t="array" ref="H90">rho_call(E90,A90,0.3,B90,D90,C90)</f>
        <v>4.8040394496191414</v>
      </c>
      <c r="I90" cm="1">
        <f t="array" ref="I90">rho_call(E90,A90,0.4,B90,D90,C90)</f>
        <v>7.6800279552429815</v>
      </c>
      <c r="J90" cm="1">
        <f t="array" ref="J90">rho_call(E90,A90,0.5,B90,D90,C90)</f>
        <v>10.773435051458181</v>
      </c>
      <c r="K90" cm="1">
        <f t="array" ref="K90">rho_call(E90,A90,0.6,B90,D90,C90)</f>
        <v>14.011567094579195</v>
      </c>
      <c r="L90" cm="1">
        <f t="array" ref="L90">rho_call(E90,A90,0.7,B90,D90,C90)</f>
        <v>17.351959746392609</v>
      </c>
      <c r="M90" cm="1">
        <f t="array" ref="M90">rho_call(E90,A90,0.8,B90,D90,C90)</f>
        <v>20.767540279605008</v>
      </c>
      <c r="N90" cm="1">
        <f t="array" ref="N90">rho_call(E90,A90,0.9,B90,D90,C90)</f>
        <v>24.239926280835338</v>
      </c>
      <c r="O90" cm="1">
        <f t="array" ref="O90">rho_call(E90,A90,1,B90,D90,C90)</f>
        <v>27.756030614037403</v>
      </c>
      <c r="P90" cm="1">
        <f t="array" ref="P90">rho_call(E90,A90,2,B90,D90,C90)</f>
        <v>63.958277847938291</v>
      </c>
      <c r="Q90" cm="1">
        <f t="array" ref="Q90">rho_call(E90,A90,3,B90,D90,C90)</f>
        <v>100.381336453439</v>
      </c>
      <c r="R90" cm="1">
        <f t="array" ref="R90">rho_call(E90,A90,4,B90,D90,C90)</f>
        <v>136.2110803907494</v>
      </c>
      <c r="S90" cm="1">
        <f t="array" ref="S90">rho_call(E90,A90,5,B90,D90,C90)</f>
        <v>171.20026115856265</v>
      </c>
    </row>
    <row r="91" spans="1:29" x14ac:dyDescent="0.3">
      <c r="A91">
        <v>100</v>
      </c>
      <c r="B91">
        <f t="shared" si="4"/>
        <v>0.01</v>
      </c>
      <c r="C91">
        <v>0.2</v>
      </c>
      <c r="D91">
        <v>1E-3</v>
      </c>
      <c r="E91" s="5">
        <v>95</v>
      </c>
      <c r="F91" cm="1">
        <f t="array" ref="F91">rho_call(E91,A91,0.1,B91,D91,C91)</f>
        <v>2.0351535109242285</v>
      </c>
      <c r="G91" cm="1">
        <f t="array" ref="G91">rho_call(E91,A91,0.2,B91,D91,C91)</f>
        <v>5.4869259963003518</v>
      </c>
      <c r="H91" cm="1">
        <f t="array" ref="H91">rho_call(E91,A91,0.3,B91,D91,C91)</f>
        <v>9.2456096560324195</v>
      </c>
      <c r="I91" cm="1">
        <f t="array" ref="I91">rho_call(E91,A91,0.4,B91,D91,C91)</f>
        <v>13.141809008352041</v>
      </c>
      <c r="J91" cm="1">
        <f t="array" ref="J91">rho_call(E91,A91,0.5,B91,D91,C91)</f>
        <v>17.113875168939529</v>
      </c>
      <c r="K91" cm="1">
        <f t="array" ref="K91">rho_call(E91,A91,0.6,B91,D91,C91)</f>
        <v>21.131663389770246</v>
      </c>
      <c r="L91" cm="1">
        <f t="array" ref="L91">rho_call(E91,A91,0.7,B91,D91,C91)</f>
        <v>25.177977729944736</v>
      </c>
      <c r="M91" cm="1">
        <f t="array" ref="M91">rho_call(E91,A91,0.8,B91,D91,C91)</f>
        <v>29.242019615408136</v>
      </c>
      <c r="N91" cm="1">
        <f t="array" ref="N91">rho_call(E91,A91,0.9,B91,D91,C91)</f>
        <v>33.316546150251341</v>
      </c>
      <c r="O91" cm="1">
        <f t="array" ref="O91">rho_call(E91,A91,1,B91,D91,C91)</f>
        <v>37.396460703728998</v>
      </c>
      <c r="P91" cm="1">
        <f t="array" ref="P91">rho_call(E91,A91,2,B91,D91,C91)</f>
        <v>77.978158992033002</v>
      </c>
      <c r="Q91" cm="1">
        <f t="array" ref="Q91">rho_call(E91,A91,3,B91,D91,C91)</f>
        <v>117.5811465598172</v>
      </c>
      <c r="R91" cm="1">
        <f t="array" ref="R91">rho_call(E91,A91,4,B91,D91,C91)</f>
        <v>155.97459608008754</v>
      </c>
      <c r="S91" cm="1">
        <f t="array" ref="S91">rho_call(E91,A91,5,B91,D91,C91)</f>
        <v>193.13049951756361</v>
      </c>
    </row>
    <row r="92" spans="1:29" x14ac:dyDescent="0.3">
      <c r="A92">
        <v>100</v>
      </c>
      <c r="B92">
        <f t="shared" si="4"/>
        <v>0.01</v>
      </c>
      <c r="C92">
        <v>0.2</v>
      </c>
      <c r="D92">
        <v>1E-3</v>
      </c>
      <c r="E92" s="5">
        <v>100</v>
      </c>
      <c r="F92" cm="1">
        <f t="array" ref="F92">rho_call(E92,A92,0.1,B92,D92,C92)</f>
        <v>4.9256892008372404</v>
      </c>
      <c r="G92" cm="1">
        <f t="array" ref="G92">rho_call(E92,A92,0.2,B92,D92,C92)</f>
        <v>9.7841781965359083</v>
      </c>
      <c r="H92" cm="1">
        <f t="array" ref="H92">rho_call(E92,A92,0.3,B92,D92,C92)</f>
        <v>14.595660813661405</v>
      </c>
      <c r="I92" cm="1">
        <f t="array" ref="I92">rho_call(E92,A92,0.4,B92,D92,C92)</f>
        <v>19.367398029724932</v>
      </c>
      <c r="J92" cm="1">
        <f t="array" ref="J92">rho_call(E92,A92,0.5,B92,D92,C92)</f>
        <v>24.103614961817321</v>
      </c>
      <c r="K92" cm="1">
        <f t="array" ref="K92">rho_call(E92,A92,0.6,B92,D92,C92)</f>
        <v>28.80718184232823</v>
      </c>
      <c r="L92" cm="1">
        <f t="array" ref="L92">rho_call(E92,A92,0.7,B92,D92,C92)</f>
        <v>33.480220269949115</v>
      </c>
      <c r="M92" cm="1">
        <f t="array" ref="M92">rho_call(E92,A92,0.8,B92,D92,C92)</f>
        <v>38.124385469216783</v>
      </c>
      <c r="N92" cm="1">
        <f t="array" ref="N92">rho_call(E92,A92,0.9,B92,D92,C92)</f>
        <v>42.741018440417704</v>
      </c>
      <c r="O92" cm="1">
        <f t="array" ref="O92">rho_call(E92,A92,1,B92,D92,C92)</f>
        <v>47.331236356039213</v>
      </c>
      <c r="P92" cm="1">
        <f t="array" ref="P92">rho_call(E92,A92,2,B92,D92,C92)</f>
        <v>91.942798964020128</v>
      </c>
      <c r="Q92" cm="1">
        <f t="array" ref="Q92">rho_call(E92,A92,3,B92,D92,C92)</f>
        <v>134.51919471269784</v>
      </c>
      <c r="R92" cm="1">
        <f t="array" ref="R92">rho_call(E92,A92,4,B92,D92,C92)</f>
        <v>175.32665832045134</v>
      </c>
      <c r="S92" cm="1">
        <f t="array" ref="S92">rho_call(E92,A92,5,B92,D92,C92)</f>
        <v>214.53076611355573</v>
      </c>
    </row>
    <row r="93" spans="1:29" x14ac:dyDescent="0.3">
      <c r="A93">
        <v>100</v>
      </c>
      <c r="B93">
        <f t="shared" si="4"/>
        <v>0.01</v>
      </c>
      <c r="C93">
        <v>0.2</v>
      </c>
      <c r="D93">
        <v>1E-3</v>
      </c>
      <c r="E93" s="5">
        <v>105</v>
      </c>
      <c r="F93" cm="1">
        <f t="array" ref="F93">rho_call(E93,A93,0.1,B93,D93,C93)</f>
        <v>7.7381550858258219</v>
      </c>
      <c r="G93" cm="1">
        <f t="array" ref="G93">rho_call(E93,A93,0.2,B93,D93,C93)</f>
        <v>13.947669693021135</v>
      </c>
      <c r="H93" cm="1">
        <f t="array" ref="H93">rho_call(E93,A93,0.3,B93,D93,C93)</f>
        <v>19.771394253752437</v>
      </c>
      <c r="I93" cm="1">
        <f t="array" ref="I93">rho_call(E93,A93,0.4,B93,D93,C93)</f>
        <v>25.385513248190634</v>
      </c>
      <c r="J93" cm="1">
        <f t="array" ref="J93">rho_call(E93,A93,0.5,B93,D93,C93)</f>
        <v>30.857260942345548</v>
      </c>
      <c r="K93" cm="1">
        <f t="array" ref="K93">rho_call(E93,A93,0.6,B93,D93,C93)</f>
        <v>36.221117483172208</v>
      </c>
      <c r="L93" cm="1">
        <f t="array" ref="L93">rho_call(E93,A93,0.7,B93,D93,C93)</f>
        <v>41.497715875509464</v>
      </c>
      <c r="M93" cm="1">
        <f t="array" ref="M93">rho_call(E93,A93,0.8,B93,D93,C93)</f>
        <v>46.700653886790654</v>
      </c>
      <c r="N93" cm="1">
        <f t="array" ref="N93">rho_call(E93,A93,0.9,B93,D93,C93)</f>
        <v>51.839508778222211</v>
      </c>
      <c r="O93" cm="1">
        <f t="array" ref="O93">rho_call(E93,A93,1,B93,D93,C93)</f>
        <v>56.921362711880789</v>
      </c>
      <c r="P93" cm="1">
        <f t="array" ref="P93">rho_call(E93,A93,2,B93,D93,C93)</f>
        <v>105.41652585083841</v>
      </c>
      <c r="Q93" cm="1">
        <f t="array" ref="Q93">rho_call(E93,A93,3,B93,D93,C93)</f>
        <v>150.85917490659904</v>
      </c>
      <c r="R93" cm="1">
        <f t="array" ref="R93">rho_call(E93,A93,4,B93,D93,C93)</f>
        <v>193.99391162019666</v>
      </c>
      <c r="S93" cm="1">
        <f t="array" ref="S93">rho_call(E93,A93,5,B93,D93,C93)</f>
        <v>235.1727450616913</v>
      </c>
    </row>
    <row r="94" spans="1:29" x14ac:dyDescent="0.3">
      <c r="A94">
        <v>100</v>
      </c>
      <c r="B94">
        <f t="shared" si="4"/>
        <v>0.01</v>
      </c>
      <c r="C94">
        <v>0.2</v>
      </c>
      <c r="D94">
        <v>1E-3</v>
      </c>
      <c r="E94" s="5">
        <v>110</v>
      </c>
      <c r="F94" cm="1">
        <f t="array" ref="F94">rho_call(E94,A94,0.1,B94,D94,C94)</f>
        <v>9.3090308612202701</v>
      </c>
      <c r="G94" cm="1">
        <f t="array" ref="G94">rho_call(E94,A94,0.2,B94,D94,C94)</f>
        <v>16.987252061566174</v>
      </c>
      <c r="H94" cm="1">
        <f t="array" ref="H94">rho_call(E94,A94,0.3,B94,D94,C94)</f>
        <v>23.913971014275351</v>
      </c>
      <c r="I94" cm="1">
        <f t="array" ref="I94">rho_call(E94,A94,0.4,B94,D94,C94)</f>
        <v>30.431613650714652</v>
      </c>
      <c r="J94" cm="1">
        <f t="array" ref="J94">rho_call(E94,A94,0.5,B94,D94,C94)</f>
        <v>36.681302194077134</v>
      </c>
      <c r="K94" cm="1">
        <f t="array" ref="K94">rho_call(E94,A94,0.6,B94,D94,C94)</f>
        <v>42.735789550627835</v>
      </c>
      <c r="L94" cm="1">
        <f t="array" ref="L94">rho_call(E94,A94,0.7,B94,D94,C94)</f>
        <v>48.638144292668052</v>
      </c>
      <c r="M94" cm="1">
        <f t="array" ref="M94">rho_call(E94,A94,0.8,B94,D94,C94)</f>
        <v>54.41632006696323</v>
      </c>
      <c r="N94" cm="1">
        <f t="array" ref="N94">rho_call(E94,A94,0.9,B94,D94,C94)</f>
        <v>60.089687035330847</v>
      </c>
      <c r="O94" cm="1">
        <f t="array" ref="O94">rho_call(E94,A94,1,B94,D94,C94)</f>
        <v>65.672339414915882</v>
      </c>
      <c r="P94" cm="1">
        <f t="array" ref="P94">rho_call(E94,A94,2,B94,D94,C94)</f>
        <v>118.06609044751065</v>
      </c>
      <c r="Q94" cm="1">
        <f t="array" ref="Q94">rho_call(E94,A94,3,B94,D94,C94)</f>
        <v>166.34627800079662</v>
      </c>
      <c r="R94" cm="1">
        <f t="array" ref="R94">rho_call(E94,A94,4,B94,D94,C94)</f>
        <v>211.77125262219897</v>
      </c>
      <c r="S94" cm="1">
        <f t="array" ref="S94">rho_call(E94,A94,5,B94,D94,C94)</f>
        <v>254.88694164683909</v>
      </c>
    </row>
    <row r="95" spans="1:29" x14ac:dyDescent="0.3">
      <c r="A95">
        <v>100</v>
      </c>
      <c r="B95">
        <f t="shared" si="4"/>
        <v>0.01</v>
      </c>
      <c r="C95">
        <v>0.2</v>
      </c>
      <c r="D95">
        <v>1E-3</v>
      </c>
      <c r="E95" s="5">
        <v>115</v>
      </c>
      <c r="F95" cm="1">
        <f t="array" ref="F95">rho_call(E95,A95,0.1,B95,D95,C95)</f>
        <v>9.8484071232152619</v>
      </c>
      <c r="G95" cm="1">
        <f t="array" ref="G95">rho_call(E95,A95,0.2,B95,D95,C95)</f>
        <v>18.722006138414461</v>
      </c>
      <c r="H95" cm="1">
        <f t="array" ref="H95">rho_call(E95,A95,0.3,B95,D95,C95)</f>
        <v>26.726699104657325</v>
      </c>
      <c r="I95" cm="1">
        <f t="array" ref="I95">rho_call(E95,A95,0.4,B95,D95,C95)</f>
        <v>34.171824064672748</v>
      </c>
      <c r="J95" cm="1">
        <f t="array" ref="J95">rho_call(E95,A95,0.5,B95,D95,C95)</f>
        <v>41.232576633207692</v>
      </c>
      <c r="K95" cm="1">
        <f t="array" ref="K95">rho_call(E95,A95,0.6,B95,D95,C95)</f>
        <v>48.010069145920347</v>
      </c>
      <c r="L95" cm="1">
        <f t="array" ref="L95">rho_call(E95,A95,0.7,B95,D95,C95)</f>
        <v>54.56729038692513</v>
      </c>
      <c r="M95" cm="1">
        <f t="array" ref="M95">rho_call(E95,A95,0.8,B95,D95,C95)</f>
        <v>60.946161999059932</v>
      </c>
      <c r="N95" cm="1">
        <f t="array" ref="N95">rho_call(E95,A95,0.9,B95,D95,C95)</f>
        <v>67.176092793303184</v>
      </c>
      <c r="O95" cm="1">
        <f t="array" ref="O95">rho_call(E95,A95,1,B95,D95,C95)</f>
        <v>73.278596103054113</v>
      </c>
      <c r="P95" cm="1">
        <f t="array" ref="P95">rho_call(E95,A95,2,B95,D95,C95)</f>
        <v>129.6652943331095</v>
      </c>
      <c r="Q95" cm="1">
        <f t="array" ref="Q95">rho_call(E95,A95,3,B95,D95,C95)</f>
        <v>180.80363662297268</v>
      </c>
      <c r="R95" cm="1">
        <f t="array" ref="R95">rho_call(E95,A95,4,B95,D95,C95)</f>
        <v>228.51576184731758</v>
      </c>
      <c r="S95" cm="1">
        <f t="array" ref="S95">rho_call(E95,A95,5,B95,D95,C95)</f>
        <v>273.55581136280608</v>
      </c>
    </row>
    <row r="96" spans="1:29" x14ac:dyDescent="0.3">
      <c r="A96">
        <v>100</v>
      </c>
      <c r="B96">
        <f t="shared" si="4"/>
        <v>0.01</v>
      </c>
      <c r="C96">
        <v>0.2</v>
      </c>
      <c r="D96">
        <v>1E-3</v>
      </c>
      <c r="E96" s="5">
        <v>120</v>
      </c>
      <c r="F96" cm="1">
        <f t="array" ref="F96">rho_call(E96,A96,0.1,B96,D96,C96)</f>
        <v>9.9691993335460136</v>
      </c>
      <c r="G96" cm="1">
        <f t="array" ref="G96">rho_call(E96,A96,0.2,B96,D96,C96)</f>
        <v>19.520635547669436</v>
      </c>
      <c r="H96" cm="1">
        <f t="array" ref="H96">rho_call(E96,A96,0.3,B96,D96,C96)</f>
        <v>28.381587010891163</v>
      </c>
      <c r="I96" cm="1">
        <f t="array" ref="I96">rho_call(E96,A96,0.4,B96,D96,C96)</f>
        <v>36.662098157437661</v>
      </c>
      <c r="J96" cm="1">
        <f t="array" ref="J96">rho_call(E96,A96,0.5,B96,D96,C96)</f>
        <v>44.497363763447659</v>
      </c>
      <c r="K96" cm="1">
        <f t="array" ref="K96">rho_call(E96,A96,0.6,B96,D96,C96)</f>
        <v>51.986800058023206</v>
      </c>
      <c r="L96" cm="1">
        <f t="array" ref="L96">rho_call(E96,A96,0.7,B96,D96,C96)</f>
        <v>59.200085468347005</v>
      </c>
      <c r="M96" cm="1">
        <f t="array" ref="M96">rho_call(E96,A96,0.8,B96,D96,C96)</f>
        <v>66.186821008507096</v>
      </c>
      <c r="N96" cm="1">
        <f t="array" ref="N96">rho_call(E96,A96,0.9,B96,D96,C96)</f>
        <v>72.983286555752088</v>
      </c>
      <c r="O96" cm="1">
        <f t="array" ref="O96">rho_call(E96,A96,1,B96,D96,C96)</f>
        <v>79.616754198075753</v>
      </c>
      <c r="P96" cm="1">
        <f t="array" ref="P96">rho_call(E96,A96,2,B96,D96,C96)</f>
        <v>140.0865717039573</v>
      </c>
      <c r="Q96" cm="1">
        <f t="array" ref="Q96">rho_call(E96,A96,3,B96,D96,C96)</f>
        <v>194.123709252406</v>
      </c>
      <c r="R96" cm="1">
        <f t="array" ref="R96">rho_call(E96,A96,4,B96,D96,C96)</f>
        <v>244.13849884656841</v>
      </c>
      <c r="S96" cm="1">
        <f t="array" ref="S96">rho_call(E96,A96,5,B96,D96,C96)</f>
        <v>291.10610716801909</v>
      </c>
    </row>
    <row r="97" spans="1:19" x14ac:dyDescent="0.3">
      <c r="A97">
        <v>100</v>
      </c>
      <c r="B97">
        <f t="shared" si="4"/>
        <v>0.01</v>
      </c>
      <c r="C97">
        <v>0.2</v>
      </c>
      <c r="D97">
        <v>1E-3</v>
      </c>
      <c r="E97" s="5">
        <v>125</v>
      </c>
      <c r="F97" cm="1">
        <f t="array" ref="F97">rho_call(E97,A97,0.1,B97,D97,C97)</f>
        <v>9.98777357019177</v>
      </c>
      <c r="G97" cm="1">
        <f t="array" ref="G97">rho_call(E97,A97,0.2,B97,D97,C97)</f>
        <v>19.825281289430563</v>
      </c>
      <c r="H97" cm="1">
        <f t="array" ref="H97">rho_call(E97,A97,0.3,B97,D97,C97)</f>
        <v>29.240722062514003</v>
      </c>
      <c r="I97" cm="1">
        <f t="array" ref="I97">rho_call(E97,A97,0.4,B97,D97,C97)</f>
        <v>38.171968181760754</v>
      </c>
      <c r="J97" cm="1">
        <f t="array" ref="J97">rho_call(E97,A97,0.5,B97,D97,C97)</f>
        <v>46.670785306943031</v>
      </c>
      <c r="K97" cm="1">
        <f t="array" ref="K97">rho_call(E97,A97,0.6,B97,D97,C97)</f>
        <v>54.804831835183386</v>
      </c>
      <c r="L97" cm="1">
        <f t="array" ref="L97">rho_call(E97,A97,0.7,B97,D97,C97)</f>
        <v>62.633089719323145</v>
      </c>
      <c r="M97" cm="1">
        <f t="array" ref="M97">rho_call(E97,A97,0.8,B97,D97,C97)</f>
        <v>70.202821086951232</v>
      </c>
      <c r="N97" cm="1">
        <f t="array" ref="N97">rho_call(E97,A97,0.9,B97,D97,C97)</f>
        <v>77.551244252479009</v>
      </c>
      <c r="O97" cm="1">
        <f t="array" ref="O97">rho_call(E97,A97,1,B97,D97,C97)</f>
        <v>84.707763429444441</v>
      </c>
      <c r="P97" cm="1">
        <f t="array" ref="P97">rho_call(E97,A97,2,B97,D97,C97)</f>
        <v>149.28510244549756</v>
      </c>
      <c r="Q97" cm="1">
        <f t="array" ref="Q97">rho_call(E97,A97,3,B97,D97,C97)</f>
        <v>206.25713037412413</v>
      </c>
      <c r="R97" cm="1">
        <f t="array" ref="R97">rho_call(E97,A97,4,B97,D97,C97)</f>
        <v>258.59550760966926</v>
      </c>
      <c r="S97" cm="1">
        <f t="array" ref="S97">rho_call(E97,A97,5,B97,D97,C97)</f>
        <v>307.50121094001452</v>
      </c>
    </row>
    <row r="98" spans="1:19" x14ac:dyDescent="0.3">
      <c r="A98">
        <v>100</v>
      </c>
      <c r="B98">
        <f t="shared" si="4"/>
        <v>0.01</v>
      </c>
      <c r="C98">
        <v>0.2</v>
      </c>
      <c r="D98">
        <v>1E-3</v>
      </c>
      <c r="E98" s="5">
        <v>130</v>
      </c>
      <c r="F98" cm="1">
        <f t="array" ref="F98">rho_call(E98,A98,0.1,B98,D98,C98)</f>
        <v>9.9898245458736952</v>
      </c>
      <c r="G98" cm="1">
        <f t="array" ref="G98">rho_call(E98,A98,0.2,B98,D98,C98)</f>
        <v>19.923821877838847</v>
      </c>
      <c r="H98" cm="1">
        <f t="array" ref="H98">rho_call(E98,A98,0.3,B98,D98,C98)</f>
        <v>29.640437404413056</v>
      </c>
      <c r="I98" cm="1">
        <f t="array" ref="I98">rho_call(E98,A98,0.4,B98,D98,C98)</f>
        <v>39.015396652662304</v>
      </c>
      <c r="J98" cm="1">
        <f t="array" ref="J98">rho_call(E98,A98,0.5,B98,D98,C98)</f>
        <v>48.026176413035635</v>
      </c>
      <c r="K98" cm="1">
        <f t="array" ref="K98">rho_call(E98,A98,0.6,B98,D98,C98)</f>
        <v>56.696343336750438</v>
      </c>
      <c r="L98" cm="1">
        <f t="array" ref="L98">rho_call(E98,A98,0.7,B98,D98,C98)</f>
        <v>65.06186270191651</v>
      </c>
      <c r="M98" cm="1">
        <f t="array" ref="M98">rho_call(E98,A98,0.8,B98,D98,C98)</f>
        <v>73.158530844067158</v>
      </c>
      <c r="N98" cm="1">
        <f t="array" ref="N98">rho_call(E98,A98,0.9,B98,D98,C98)</f>
        <v>81.018167516019062</v>
      </c>
      <c r="O98" cm="1">
        <f t="array" ref="O98">rho_call(E98,A98,1,B98,D98,C98)</f>
        <v>88.667955073491541</v>
      </c>
      <c r="P98" cm="1">
        <f t="array" ref="P98">rho_call(E98,A98,2,B98,D98,C98)</f>
        <v>157.27999446224121</v>
      </c>
      <c r="Q98" cm="1">
        <f t="array" ref="Q98">rho_call(E98,A98,3,B98,D98,C98)</f>
        <v>217.2008700733883</v>
      </c>
      <c r="R98" cm="1">
        <f t="array" ref="R98">rho_call(E98,A98,4,B98,D98,C98)</f>
        <v>271.87894005413574</v>
      </c>
      <c r="S98" cm="1">
        <f t="array" ref="S98">rho_call(E98,A98,5,B98,D98,C98)</f>
        <v>322.73392660816091</v>
      </c>
    </row>
    <row r="99" spans="1:19" x14ac:dyDescent="0.3">
      <c r="A99">
        <v>100</v>
      </c>
      <c r="B99">
        <f t="shared" si="4"/>
        <v>0.01</v>
      </c>
      <c r="C99">
        <v>0.2</v>
      </c>
      <c r="D99">
        <v>1E-3</v>
      </c>
      <c r="E99" s="5">
        <v>135</v>
      </c>
      <c r="F99" cm="1">
        <f t="array" ref="F99">rho_call(E99,A99,0.1,B99,D99,C99)</f>
        <v>9.9899936545696733</v>
      </c>
      <c r="G99" cm="1">
        <f t="array" ref="G99">rho_call(E99,A99,0.2,B99,D99,C99)</f>
        <v>19.951393701900798</v>
      </c>
      <c r="H99" cm="1">
        <f t="array" ref="H99">rho_call(E99,A99,0.3,B99,D99,C99)</f>
        <v>29.809343218772106</v>
      </c>
      <c r="I99" cm="1">
        <f t="array" ref="I99">rho_call(E99,A99,0.4,B99,D99,C99)</f>
        <v>39.453864145595197</v>
      </c>
      <c r="J99" cm="1">
        <f t="array" ref="J99">rho_call(E99,A99,0.5,B99,D99,C99)</f>
        <v>48.824371392864279</v>
      </c>
      <c r="K99" cm="1">
        <f t="array" ref="K99">rho_call(E99,A99,0.6,B99,D99,C99)</f>
        <v>57.907007890693087</v>
      </c>
      <c r="L99" cm="1">
        <f t="array" ref="L99">rho_call(E99,A99,0.7,B99,D99,C99)</f>
        <v>66.711813311281773</v>
      </c>
      <c r="M99" cm="1">
        <f t="array" ref="M99">rho_call(E99,A99,0.8,B99,D99,C99)</f>
        <v>75.258272697091982</v>
      </c>
      <c r="N99" cm="1">
        <f t="array" ref="N99">rho_call(E99,A99,0.9,B99,D99,C99)</f>
        <v>83.568305629271933</v>
      </c>
      <c r="O99" cm="1">
        <f t="array" ref="O99">rho_call(E99,A99,1,B99,D99,C99)</f>
        <v>91.663216954876489</v>
      </c>
      <c r="P99" cm="1">
        <f t="array" ref="P99">rho_call(E99,A99,2,B99,D99,C99)</f>
        <v>164.13570974972012</v>
      </c>
      <c r="Q99" cm="1">
        <f t="array" ref="Q99">rho_call(E99,A99,3,B99,D99,C99)</f>
        <v>226.98691772683051</v>
      </c>
      <c r="R99" cm="1">
        <f t="array" ref="R99">rho_call(E99,A99,4,B99,D99,C99)</f>
        <v>284.00885508306988</v>
      </c>
      <c r="S99" cm="1">
        <f t="array" ref="S99">rho_call(E99,A99,5,B99,D99,C99)</f>
        <v>336.82000060092139</v>
      </c>
    </row>
    <row r="100" spans="1:19" x14ac:dyDescent="0.3">
      <c r="A100">
        <v>100</v>
      </c>
      <c r="B100">
        <f t="shared" si="4"/>
        <v>0.01</v>
      </c>
      <c r="C100">
        <v>0.2</v>
      </c>
      <c r="D100">
        <v>1E-3</v>
      </c>
      <c r="E100" s="5">
        <v>140</v>
      </c>
      <c r="F100" cm="1">
        <f t="array" ref="F100">rho_call(E100,A100,0.1,B100,D100,C100)</f>
        <v>9.9900044283942879</v>
      </c>
      <c r="G100" cm="1">
        <f t="array" ref="G100">rho_call(E100,A100,0.2,B100,D100,C100)</f>
        <v>19.958183452229701</v>
      </c>
      <c r="H100" cm="1">
        <f t="array" ref="H100">rho_call(E100,A100,0.3,B100,D100,C100)</f>
        <v>29.874922357606721</v>
      </c>
      <c r="I100" cm="1">
        <f t="array" ref="I100">rho_call(E100,A100,0.4,B100,D100,C100)</f>
        <v>39.667845984114955</v>
      </c>
      <c r="J100" cm="1">
        <f t="array" ref="J100">rho_call(E100,A100,0.5,B100,D100,C100)</f>
        <v>49.271354914384752</v>
      </c>
      <c r="K100" cm="1">
        <f t="array" ref="K100">rho_call(E100,A100,0.6,B100,D100,C100)</f>
        <v>58.650197574711086</v>
      </c>
      <c r="L100" cm="1">
        <f t="array" ref="L100">rho_call(E100,A100,0.7,B100,D100,C100)</f>
        <v>67.793431633064159</v>
      </c>
      <c r="M100" cm="1">
        <f t="array" ref="M100">rho_call(E100,A100,0.8,B100,D100,C100)</f>
        <v>76.704318507665604</v>
      </c>
      <c r="N100" cm="1">
        <f t="array" ref="N100">rho_call(E100,A100,0.9,B100,D100,C100)</f>
        <v>85.393230261042987</v>
      </c>
      <c r="O100" cm="1">
        <f t="array" ref="O100">rho_call(E100,A100,1,B100,D100,C100)</f>
        <v>93.873534763453449</v>
      </c>
      <c r="P100" cm="1">
        <f t="array" ref="P100">rho_call(E100,A100,2,B100,D100,C100)</f>
        <v>169.94562750542315</v>
      </c>
      <c r="Q100" cm="1">
        <f t="array" ref="Q100">rho_call(E100,A100,3,B100,D100,C100)</f>
        <v>235.67219453449835</v>
      </c>
      <c r="R100" cm="1">
        <f t="array" ref="R100">rho_call(E100,A100,4,B100,D100,C100)</f>
        <v>295.02599025677716</v>
      </c>
      <c r="S100" cm="1">
        <f t="array" ref="S100">rho_call(E100,A100,5,B100,D100,C100)</f>
        <v>349.7924874851895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51F6-0106-4F7B-AF3B-6A3990ECDD0B}">
  <sheetPr codeName="Foglio5"/>
  <dimension ref="A1:AC100"/>
  <sheetViews>
    <sheetView topLeftCell="L1" workbookViewId="0">
      <selection activeCell="Y107" sqref="Y107"/>
    </sheetView>
  </sheetViews>
  <sheetFormatPr defaultRowHeight="14.4" x14ac:dyDescent="0.3"/>
  <cols>
    <col min="6" max="19" width="12.6640625" bestFit="1" customWidth="1"/>
  </cols>
  <sheetData>
    <row r="1" spans="1:29" s="9" customFormat="1" x14ac:dyDescent="0.3">
      <c r="A1" s="8" t="s">
        <v>27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x14ac:dyDescent="0.3">
      <c r="A2" t="s">
        <v>13</v>
      </c>
      <c r="B2" t="s">
        <v>14</v>
      </c>
      <c r="C2" t="s">
        <v>15</v>
      </c>
      <c r="D2" t="s">
        <v>26</v>
      </c>
      <c r="F2" s="7">
        <v>0.1</v>
      </c>
      <c r="G2" s="7">
        <v>0.2</v>
      </c>
      <c r="H2" s="7">
        <v>0.3</v>
      </c>
      <c r="I2" s="7">
        <v>0.4</v>
      </c>
      <c r="J2" s="7">
        <v>0.5</v>
      </c>
      <c r="K2" s="7">
        <v>0.6</v>
      </c>
      <c r="L2" s="7">
        <v>0.7</v>
      </c>
      <c r="M2" s="7">
        <v>0.8</v>
      </c>
      <c r="N2" s="7">
        <v>0.9</v>
      </c>
      <c r="O2" s="7">
        <v>1</v>
      </c>
      <c r="P2" s="7">
        <v>2</v>
      </c>
      <c r="Q2" s="7">
        <v>3</v>
      </c>
      <c r="R2" s="7">
        <v>4</v>
      </c>
      <c r="S2" s="7">
        <v>5</v>
      </c>
    </row>
    <row r="3" spans="1:29" x14ac:dyDescent="0.3">
      <c r="A3">
        <v>100</v>
      </c>
      <c r="B3">
        <f>1/100</f>
        <v>0.01</v>
      </c>
      <c r="C3">
        <v>0.2</v>
      </c>
      <c r="D3">
        <v>2.5000000000000001E-2</v>
      </c>
      <c r="E3" s="5">
        <v>60</v>
      </c>
      <c r="F3" cm="1">
        <f t="array" ref="F3">delta_call(E3,A3,0.1,B3,D3,C3)</f>
        <v>3.5362215224951376E-16</v>
      </c>
      <c r="G3" cm="1">
        <f t="array" ref="G3">delta_call(E3,A3,0.2,B3,D3,C3)</f>
        <v>5.9596637065221831E-9</v>
      </c>
      <c r="H3" cm="1">
        <f t="array" ref="H3">delta_call(E3,A3,0.3,B3,D3,C3)</f>
        <v>1.651387967583827E-6</v>
      </c>
      <c r="I3" cm="1">
        <f t="array" ref="I3">delta_call(E3,A3,0.4,B3,D3,C3)</f>
        <v>2.8490848832178828E-5</v>
      </c>
      <c r="J3" cm="1">
        <f t="array" ref="J3">delta_call(E3,A3,0.5,B3,D3,C3)</f>
        <v>1.6054746385113958E-4</v>
      </c>
      <c r="K3" cm="1">
        <f t="array" ref="K3">delta_call(E3,A3,0.6,B3,D3,C3)</f>
        <v>5.1494402902536656E-4</v>
      </c>
      <c r="L3" cm="1">
        <f t="array" ref="L3">delta_call(E3,A3,0.7,B3,D3,C3)</f>
        <v>1.1942150662166719E-3</v>
      </c>
      <c r="M3" cm="1">
        <f t="array" ref="M3">delta_call(E3,A3,0.8,B3,D3,C3)</f>
        <v>2.258308075064267E-3</v>
      </c>
      <c r="N3" cm="1">
        <f t="array" ref="N3">delta_call(E3,A3,0.9,B3,D3,C3)</f>
        <v>3.7240014468915964E-3</v>
      </c>
      <c r="O3" cm="1">
        <f t="array" ref="O3">delta_call(E3,A3,1,B3,D3,C3)</f>
        <v>5.576152938890429E-3</v>
      </c>
      <c r="P3" cm="1">
        <f t="array" ref="P3">delta_call(E3,A3,2,B3,D3,C3)</f>
        <v>3.6438239603828616E-2</v>
      </c>
      <c r="Q3" cm="1">
        <f t="array" ref="Q3">delta_call(E3,A3,3,B3,D3,C3)</f>
        <v>7.0664834388845826E-2</v>
      </c>
      <c r="R3" cm="1">
        <f t="array" ref="R3">delta_call(E3,A3,4,B3,D3,C3)</f>
        <v>9.9440960359513095E-2</v>
      </c>
      <c r="S3" cm="1">
        <f t="array" ref="S3">delta_call(E3,A3,5,B3,D3,C3)</f>
        <v>0.12237098534275952</v>
      </c>
    </row>
    <row r="4" spans="1:29" x14ac:dyDescent="0.3">
      <c r="A4">
        <v>100</v>
      </c>
      <c r="B4">
        <f t="shared" ref="B4:B19" si="0">1/100</f>
        <v>0.01</v>
      </c>
      <c r="C4">
        <v>0.2</v>
      </c>
      <c r="D4">
        <v>2.5000000000000001E-2</v>
      </c>
      <c r="E4" s="5">
        <v>65</v>
      </c>
      <c r="F4" cm="1">
        <f t="array" ref="F4">delta_call(E4,A4,0.1,B4,D4,C4)</f>
        <v>5.0972173512258551E-12</v>
      </c>
      <c r="G4" cm="1">
        <f t="array" ref="G4">delta_call(E4,A4,0.2,B4,D4,C4)</f>
        <v>7.6944030312273219E-7</v>
      </c>
      <c r="H4" cm="1">
        <f t="array" ref="H4">delta_call(E4,A4,0.3,B4,D4,C4)</f>
        <v>4.4163184243131111E-5</v>
      </c>
      <c r="I4" cm="1">
        <f t="array" ref="I4">delta_call(E4,A4,0.4,B4,D4,C4)</f>
        <v>3.4620482310865276E-4</v>
      </c>
      <c r="J4" cm="1">
        <f t="array" ref="J4">delta_call(E4,A4,0.5,B4,D4,C4)</f>
        <v>1.2139215317822946E-3</v>
      </c>
      <c r="K4" cm="1">
        <f t="array" ref="K4">delta_call(E4,A4,0.6,B4,D4,C4)</f>
        <v>2.8354985579284219E-3</v>
      </c>
      <c r="L4" cm="1">
        <f t="array" ref="L4">delta_call(E4,A4,0.7,B4,D4,C4)</f>
        <v>5.2397526098597758E-3</v>
      </c>
      <c r="M4" cm="1">
        <f t="array" ref="M4">delta_call(E4,A4,0.8,B4,D4,C4)</f>
        <v>8.3525299987891998E-3</v>
      </c>
      <c r="N4" cm="1">
        <f t="array" ref="N4">delta_call(E4,A4,0.9,B4,D4,C4)</f>
        <v>1.2055027175825749E-2</v>
      </c>
      <c r="O4" cm="1">
        <f t="array" ref="O4">delta_call(E4,A4,1,B4,D4,C4)</f>
        <v>1.6220051557493183E-2</v>
      </c>
      <c r="P4" cm="1">
        <f t="array" ref="P4">delta_call(E4,A4,2,B4,D4,C4)</f>
        <v>6.5079344608766881E-2</v>
      </c>
      <c r="Q4" cm="1">
        <f t="array" ref="Q4">delta_call(E4,A4,3,B4,D4,C4)</f>
        <v>0.1067079632049335</v>
      </c>
      <c r="R4" cm="1">
        <f t="array" ref="R4">delta_call(E4,A4,4,B4,D4,C4)</f>
        <v>0.13773461219540512</v>
      </c>
      <c r="S4" cm="1">
        <f t="array" ref="S4">delta_call(E4,A4,5,B4,D4,C4)</f>
        <v>0.16071037009086656</v>
      </c>
    </row>
    <row r="5" spans="1:29" x14ac:dyDescent="0.3">
      <c r="A5">
        <v>100</v>
      </c>
      <c r="B5">
        <f t="shared" si="0"/>
        <v>0.01</v>
      </c>
      <c r="C5">
        <v>0.2</v>
      </c>
      <c r="D5">
        <v>2.5000000000000001E-2</v>
      </c>
      <c r="E5" s="5">
        <v>70</v>
      </c>
      <c r="F5" cm="1">
        <f t="array" ref="F5">delta_call(E5,A5,0.1,B5,D5,C5)</f>
        <v>8.9039292944667379E-9</v>
      </c>
      <c r="G5" cm="1">
        <f t="array" ref="G5">delta_call(E5,A5,0.2,B5,D5,C5)</f>
        <v>3.4784330796271002E-5</v>
      </c>
      <c r="H5" cm="1">
        <f t="array" ref="H5">delta_call(E5,A5,0.3,B5,D5,C5)</f>
        <v>5.8843908106168878E-4</v>
      </c>
      <c r="I5" cm="1">
        <f t="array" ref="I5">delta_call(E5,A5,0.4,B5,D5,C5)</f>
        <v>2.4989094285265538E-3</v>
      </c>
      <c r="J5" cm="1">
        <f t="array" ref="J5">delta_call(E5,A5,0.5,B5,D5,C5)</f>
        <v>6.0568636063225096E-3</v>
      </c>
      <c r="K5" cm="1">
        <f t="array" ref="K5">delta_call(E5,A5,0.6,B5,D5,C5)</f>
        <v>1.104931596882373E-2</v>
      </c>
      <c r="L5" cm="1">
        <f t="array" ref="L5">delta_call(E5,A5,0.7,B5,D5,C5)</f>
        <v>1.7100430795158782E-2</v>
      </c>
      <c r="M5" cm="1">
        <f t="array" ref="M5">delta_call(E5,A5,0.8,B5,D5,C5)</f>
        <v>2.3850802923413544E-2</v>
      </c>
      <c r="N5" cm="1">
        <f t="array" ref="N5">delta_call(E5,A5,0.9,B5,D5,C5)</f>
        <v>3.1012193061679974E-2</v>
      </c>
      <c r="O5" cm="1">
        <f t="array" ref="O5">delta_call(E5,A5,1,B5,D5,C5)</f>
        <v>3.8370531210075123E-2</v>
      </c>
      <c r="P5" cm="1">
        <f t="array" ref="P5">delta_call(E5,A5,2,B5,D5,C5)</f>
        <v>0.10478683217896527</v>
      </c>
      <c r="Q5" cm="1">
        <f t="array" ref="Q5">delta_call(E5,A5,3,B5,D5,C5)</f>
        <v>0.15028094909697723</v>
      </c>
      <c r="R5" cm="1">
        <f t="array" ref="R5">delta_call(E5,A5,4,B5,D5,C5)</f>
        <v>0.18095073296421132</v>
      </c>
      <c r="S5" cm="1">
        <f t="array" ref="S5">delta_call(E5,A5,5,B5,D5,C5)</f>
        <v>0.20222451921135193</v>
      </c>
    </row>
    <row r="6" spans="1:29" x14ac:dyDescent="0.3">
      <c r="A6">
        <v>100</v>
      </c>
      <c r="B6">
        <f t="shared" si="0"/>
        <v>0.01</v>
      </c>
      <c r="C6">
        <v>0.2</v>
      </c>
      <c r="D6">
        <v>2.5000000000000001E-2</v>
      </c>
      <c r="E6" s="5">
        <v>75</v>
      </c>
      <c r="F6" cm="1">
        <f t="array" ref="F6">delta_call(E6,A6,0.1,B6,D6,C6)</f>
        <v>2.7957616490084874E-6</v>
      </c>
      <c r="G6" cm="1">
        <f t="array" ref="G6">delta_call(E6,A6,0.2,B6,D6,C6)</f>
        <v>6.7147049327901341E-4</v>
      </c>
      <c r="H6" cm="1">
        <f t="array" ref="H6">delta_call(E6,A6,0.3,B6,D6,C6)</f>
        <v>4.4609077649611431E-3</v>
      </c>
      <c r="I6" cm="1">
        <f t="array" ref="I6">delta_call(E6,A6,0.4,B6,D6,C6)</f>
        <v>1.1837810489699174E-2</v>
      </c>
      <c r="J6" cm="1">
        <f t="array" ref="J6">delta_call(E6,A6,0.5,B6,D6,C6)</f>
        <v>2.1599983005788581E-2</v>
      </c>
      <c r="K6" cm="1">
        <f t="array" ref="K6">delta_call(E6,A6,0.6,B6,D6,C6)</f>
        <v>3.2567394462621156E-2</v>
      </c>
      <c r="L6" cm="1">
        <f t="array" ref="L6">delta_call(E6,A6,0.7,B6,D6,C6)</f>
        <v>4.3948509997962328E-2</v>
      </c>
      <c r="M6" cm="1">
        <f t="array" ref="M6">delta_call(E6,A6,0.8,B6,D6,C6)</f>
        <v>5.5272252726867727E-2</v>
      </c>
      <c r="N6" cm="1">
        <f t="array" ref="N6">delta_call(E6,A6,0.9,B6,D6,C6)</f>
        <v>6.6275874296661791E-2</v>
      </c>
      <c r="O6" cm="1">
        <f t="array" ref="O6">delta_call(E6,A6,1,B6,D6,C6)</f>
        <v>7.6822772529643826E-2</v>
      </c>
      <c r="P6" cm="1">
        <f t="array" ref="P6">delta_call(E6,A6,2,B6,D6,C6)</f>
        <v>0.15515544367345677</v>
      </c>
      <c r="Q6" cm="1">
        <f t="array" ref="Q6">delta_call(E6,A6,3,B6,D6,C6)</f>
        <v>0.20001457661578889</v>
      </c>
      <c r="R6" cm="1">
        <f t="array" ref="R6">delta_call(E6,A6,4,B6,D6,C6)</f>
        <v>0.22773156324651583</v>
      </c>
      <c r="S6" cm="1">
        <f t="array" ref="S6">delta_call(E6,A6,5,B6,D6,C6)</f>
        <v>0.24575416336778969</v>
      </c>
    </row>
    <row r="7" spans="1:29" x14ac:dyDescent="0.3">
      <c r="A7">
        <v>100</v>
      </c>
      <c r="B7">
        <f t="shared" si="0"/>
        <v>0.01</v>
      </c>
      <c r="C7">
        <v>0.2</v>
      </c>
      <c r="D7">
        <v>2.5000000000000001E-2</v>
      </c>
      <c r="E7" s="5">
        <v>80</v>
      </c>
      <c r="F7" cm="1">
        <f t="array" ref="F7">delta_call(E7,A7,0.1,B7,D7,C7)</f>
        <v>2.1498836831537665E-4</v>
      </c>
      <c r="G7" cm="1">
        <f t="array" ref="G7">delta_call(E7,A7,0.2,B7,D7,C7)</f>
        <v>6.4699221491135066E-3</v>
      </c>
      <c r="H7" cm="1">
        <f t="array" ref="H7">delta_call(E7,A7,0.3,B7,D7,C7)</f>
        <v>2.1359309412222145E-2</v>
      </c>
      <c r="I7" cm="1">
        <f t="array" ref="I7">delta_call(E7,A7,0.4,B7,D7,C7)</f>
        <v>3.9806565502115393E-2</v>
      </c>
      <c r="J7" cm="1">
        <f t="array" ref="J7">delta_call(E7,A7,0.5,B7,D7,C7)</f>
        <v>5.8620666765809293E-2</v>
      </c>
      <c r="K7" cm="1">
        <f t="array" ref="K7">delta_call(E7,A7,0.6,B7,D7,C7)</f>
        <v>7.6499259739811268E-2</v>
      </c>
      <c r="L7" cm="1">
        <f t="array" ref="L7">delta_call(E7,A7,0.7,B7,D7,C7)</f>
        <v>9.3013239550428936E-2</v>
      </c>
      <c r="M7" cm="1">
        <f t="array" ref="M7">delta_call(E7,A7,0.8,B7,D7,C7)</f>
        <v>0.10809459316204149</v>
      </c>
      <c r="N7" cm="1">
        <f t="array" ref="N7">delta_call(E7,A7,0.9,B7,D7,C7)</f>
        <v>0.12181615464585262</v>
      </c>
      <c r="O7" cm="1">
        <f t="array" ref="O7">delta_call(E7,A7,1,B7,D7,C7)</f>
        <v>0.13429875818451975</v>
      </c>
      <c r="P7" cm="1">
        <f t="array" ref="P7">delta_call(E7,A7,2,B7,D7,C7)</f>
        <v>0.21455156043279006</v>
      </c>
      <c r="Q7" cm="1">
        <f t="array" ref="Q7">delta_call(E7,A7,3,B7,D7,C7)</f>
        <v>0.25417115465054019</v>
      </c>
      <c r="R7" cm="1">
        <f t="array" ref="R7">delta_call(E7,A7,4,B7,D7,C7)</f>
        <v>0.27667770886721138</v>
      </c>
      <c r="S7" cm="1">
        <f t="array" ref="S7">delta_call(E7,A7,5,B7,D7,C7)</f>
        <v>0.290218180478518</v>
      </c>
    </row>
    <row r="8" spans="1:29" x14ac:dyDescent="0.3">
      <c r="A8">
        <v>100</v>
      </c>
      <c r="B8">
        <f t="shared" si="0"/>
        <v>0.01</v>
      </c>
      <c r="C8">
        <v>0.2</v>
      </c>
      <c r="D8">
        <v>2.5000000000000001E-2</v>
      </c>
      <c r="E8" s="5">
        <v>85</v>
      </c>
      <c r="F8" cm="1">
        <f t="array" ref="F8">delta_call(E8,A8,0.1,B8,D8,C8)</f>
        <v>5.1943974147236668E-3</v>
      </c>
      <c r="G8" cm="1">
        <f t="array" ref="G8">delta_call(E8,A8,0.2,B8,D8,C8)</f>
        <v>3.529502174957224E-2</v>
      </c>
      <c r="H8" cm="1">
        <f t="array" ref="H8">delta_call(E8,A8,0.3,B8,D8,C8)</f>
        <v>7.02661201901984E-2</v>
      </c>
      <c r="I8" cm="1">
        <f t="array" ref="I8">delta_call(E8,A8,0.4,B8,D8,C8)</f>
        <v>0.10120102631931033</v>
      </c>
      <c r="J8" cm="1">
        <f t="array" ref="J8">delta_call(E8,A8,0.5,B8,D8,C8)</f>
        <v>0.12731987593325558</v>
      </c>
      <c r="K8" cm="1">
        <f t="array" ref="K8">delta_call(E8,A8,0.6,B8,D8,C8)</f>
        <v>0.14932101593601307</v>
      </c>
      <c r="L8" cm="1">
        <f t="array" ref="L8">delta_call(E8,A8,0.7,B8,D8,C8)</f>
        <v>0.16800884103342043</v>
      </c>
      <c r="M8" cm="1">
        <f t="array" ref="M8">delta_call(E8,A8,0.8,B8,D8,C8)</f>
        <v>0.18405088168011616</v>
      </c>
      <c r="N8" cm="1">
        <f t="array" ref="N8">delta_call(E8,A8,0.9,B8,D8,C8)</f>
        <v>0.197964797157651</v>
      </c>
      <c r="O8" cm="1">
        <f t="array" ref="O8">delta_call(E8,A8,1,B8,D8,C8)</f>
        <v>0.21014702597586268</v>
      </c>
      <c r="P8" cm="1">
        <f t="array" ref="P8">delta_call(E8,A8,2,B8,D8,C8)</f>
        <v>0.28048147185695854</v>
      </c>
      <c r="Q8" cm="1">
        <f t="array" ref="Q8">delta_call(E8,A8,3,B8,D8,C8)</f>
        <v>0.31089463962769381</v>
      </c>
      <c r="R8" cm="1">
        <f t="array" ref="R8">delta_call(E8,A8,4,B8,D8,C8)</f>
        <v>0.32647344475719037</v>
      </c>
      <c r="S8" cm="1">
        <f t="array" ref="S8">delta_call(E8,A8,5,B8,D8,C8)</f>
        <v>0.33466998369688911</v>
      </c>
    </row>
    <row r="9" spans="1:29" x14ac:dyDescent="0.3">
      <c r="A9">
        <v>100</v>
      </c>
      <c r="B9">
        <f t="shared" si="0"/>
        <v>0.01</v>
      </c>
      <c r="C9">
        <v>0.2</v>
      </c>
      <c r="D9">
        <v>2.5000000000000001E-2</v>
      </c>
      <c r="E9" s="5">
        <v>90</v>
      </c>
      <c r="F9" cm="1">
        <f t="array" ref="F9">delta_call(E9,A9,0.1,B9,D9,C9)</f>
        <v>4.8538211709072958E-2</v>
      </c>
      <c r="G9" cm="1">
        <f t="array" ref="G9">delta_call(E9,A9,0.2,B9,D9,C9)</f>
        <v>0.12104166993192962</v>
      </c>
      <c r="H9" cm="1">
        <f t="array" ref="H9">delta_call(E9,A9,0.3,B9,D9,C9)</f>
        <v>0.17025439593924585</v>
      </c>
      <c r="I9" cm="1">
        <f t="array" ref="I9">delta_call(E9,A9,0.4,B9,D9,C9)</f>
        <v>0.20486623772826754</v>
      </c>
      <c r="J9" cm="1">
        <f t="array" ref="J9">delta_call(E9,A9,0.5,B9,D9,C9)</f>
        <v>0.23061006741104292</v>
      </c>
      <c r="K9" cm="1">
        <f t="array" ref="K9">delta_call(E9,A9,0.6,B9,D9,C9)</f>
        <v>0.250603971505235</v>
      </c>
      <c r="L9" cm="1">
        <f t="array" ref="L9">delta_call(E9,A9,0.7,B9,D9,C9)</f>
        <v>0.26664338259340259</v>
      </c>
      <c r="M9" cm="1">
        <f t="array" ref="M9">delta_call(E9,A9,0.8,B9,D9,C9)</f>
        <v>0.27983235124685657</v>
      </c>
      <c r="N9" cm="1">
        <f t="array" ref="N9">delta_call(E9,A9,0.9,B9,D9,C9)</f>
        <v>0.29088872542940308</v>
      </c>
      <c r="O9" cm="1">
        <f t="array" ref="O9">delta_call(E9,A9,1,B9,D9,C9)</f>
        <v>0.30030104257325252</v>
      </c>
      <c r="P9" cm="1">
        <f t="array" ref="P9">delta_call(E9,A9,2,B9,D9,C9)</f>
        <v>0.35005412780985884</v>
      </c>
      <c r="Q9" cm="1">
        <f t="array" ref="Q9">delta_call(E9,A9,3,B9,D9,C9)</f>
        <v>0.36841132870165588</v>
      </c>
      <c r="R9" cm="1">
        <f t="array" ref="R9">delta_call(E9,A9,4,B9,D9,C9)</f>
        <v>0.37596626977753589</v>
      </c>
      <c r="S9" cm="1">
        <f t="array" ref="S9">delta_call(E9,A9,5,B9,D9,C9)</f>
        <v>0.37832408678534146</v>
      </c>
    </row>
    <row r="10" spans="1:29" x14ac:dyDescent="0.3">
      <c r="A10">
        <v>100</v>
      </c>
      <c r="B10">
        <f t="shared" si="0"/>
        <v>0.01</v>
      </c>
      <c r="C10">
        <v>0.2</v>
      </c>
      <c r="D10">
        <v>2.5000000000000001E-2</v>
      </c>
      <c r="E10" s="5">
        <v>95</v>
      </c>
      <c r="F10" cm="1">
        <f t="array" ref="F10">delta_call(E10,A10,0.1,B10,D10,C10)</f>
        <v>0.21042812807873695</v>
      </c>
      <c r="G10" cm="1">
        <f t="array" ref="G10">delta_call(E10,A10,0.2,B10,D10,C10)</f>
        <v>0.2855259342072613</v>
      </c>
      <c r="H10" cm="1">
        <f t="array" ref="H10">delta_call(E10,A10,0.3,B10,D10,C10)</f>
        <v>0.32229077491759284</v>
      </c>
      <c r="I10" cm="1">
        <f t="array" ref="I10">delta_call(E10,A10,0.4,B10,D10,C10)</f>
        <v>0.34491360599726639</v>
      </c>
      <c r="J10" cm="1">
        <f t="array" ref="J10">delta_call(E10,A10,0.5,B10,D10,C10)</f>
        <v>0.36050481455947103</v>
      </c>
      <c r="K10" cm="1">
        <f t="array" ref="K10">delta_call(E10,A10,0.6,B10,D10,C10)</f>
        <v>0.37200008940398605</v>
      </c>
      <c r="L10" cm="1">
        <f t="array" ref="L10">delta_call(E10,A10,0.7,B10,D10,C10)</f>
        <v>0.38086102972235952</v>
      </c>
      <c r="M10" cm="1">
        <f t="array" ref="M10">delta_call(E10,A10,0.8,B10,D10,C10)</f>
        <v>0.38790823711062272</v>
      </c>
      <c r="N10" cm="1">
        <f t="array" ref="N10">delta_call(E10,A10,0.9,B10,D10,C10)</f>
        <v>0.39364290836784899</v>
      </c>
      <c r="O10" cm="1">
        <f t="array" ref="O10">delta_call(E10,A10,1,B10,D10,C10)</f>
        <v>0.39839090119227677</v>
      </c>
      <c r="P10" cm="1">
        <f t="array" ref="P10">delta_call(E10,A10,2,B10,D10,C10)</f>
        <v>0.4204083287599526</v>
      </c>
      <c r="Q10" cm="1">
        <f t="array" ref="Q10">delta_call(E10,A10,3,B10,D10,C10)</f>
        <v>0.42516560792212349</v>
      </c>
      <c r="R10" cm="1">
        <f t="array" ref="R10">delta_call(E10,A10,4,B10,D10,C10)</f>
        <v>0.42420702047574332</v>
      </c>
      <c r="S10" cm="1">
        <f t="array" ref="S10">delta_call(E10,A10,5,B10,D10,C10)</f>
        <v>0.42056118446799512</v>
      </c>
    </row>
    <row r="11" spans="1:29" x14ac:dyDescent="0.3">
      <c r="A11">
        <v>100</v>
      </c>
      <c r="B11">
        <f t="shared" si="0"/>
        <v>0.01</v>
      </c>
      <c r="C11">
        <v>0.2</v>
      </c>
      <c r="D11">
        <v>2.5000000000000001E-2</v>
      </c>
      <c r="E11" s="5">
        <v>100</v>
      </c>
      <c r="F11" cm="1">
        <f t="array" ref="F11">delta_call(E11,A11,0.1,B11,D11,C11)</f>
        <v>0.501897569138952</v>
      </c>
      <c r="G11" cm="1">
        <f t="array" ref="G11">delta_call(E11,A11,0.2,B11,D11,C11)</f>
        <v>0.5019442115384013</v>
      </c>
      <c r="H11" cm="1">
        <f t="array" ref="H11">delta_call(E11,A11,0.3,B11,D11,C11)</f>
        <v>0.50168578282223941</v>
      </c>
      <c r="I11" cm="1">
        <f t="array" ref="I11">delta_call(E11,A11,0.4,B11,D11,C11)</f>
        <v>0.50126972400808567</v>
      </c>
      <c r="J11" cm="1">
        <f t="array" ref="J11">delta_call(E11,A11,0.5,B11,D11,C11)</f>
        <v>0.50075330136559737</v>
      </c>
      <c r="K11" cm="1">
        <f t="array" ref="K11">delta_call(E11,A11,0.6,B11,D11,C11)</f>
        <v>0.50016596074159902</v>
      </c>
      <c r="L11" cm="1">
        <f t="array" ref="L11">delta_call(E11,A11,0.7,B11,D11,C11)</f>
        <v>0.49952523843694346</v>
      </c>
      <c r="M11" cm="1">
        <f t="array" ref="M11">delta_call(E11,A11,0.8,B11,D11,C11)</f>
        <v>0.49884258850132374</v>
      </c>
      <c r="N11" cm="1">
        <f t="array" ref="N11">delta_call(E11,A11,0.9,B11,D11,C11)</f>
        <v>0.49812598616035991</v>
      </c>
      <c r="O11" cm="1">
        <f t="array" ref="O11">delta_call(E11,A11,1,B11,D11,C11)</f>
        <v>0.49738125185786486</v>
      </c>
      <c r="P11" cm="1">
        <f t="array" ref="P11">delta_call(E11,A11,2,B11,D11,C11)</f>
        <v>0.48902876092036818</v>
      </c>
      <c r="Q11" cm="1">
        <f t="array" ref="Q11">delta_call(E11,A11,3,B11,D11,C11)</f>
        <v>0.47989323362895597</v>
      </c>
      <c r="R11" cm="1">
        <f t="array" ref="R11">delta_call(E11,A11,4,B11,D11,C11)</f>
        <v>0.47046008661149302</v>
      </c>
      <c r="S11" cm="1">
        <f t="array" ref="S11">delta_call(E11,A11,5,B11,D11,C11)</f>
        <v>0.46091925562767966</v>
      </c>
    </row>
    <row r="12" spans="1:29" x14ac:dyDescent="0.3">
      <c r="A12">
        <v>100</v>
      </c>
      <c r="B12">
        <f t="shared" si="0"/>
        <v>0.01</v>
      </c>
      <c r="C12">
        <v>0.2</v>
      </c>
      <c r="D12">
        <v>2.5000000000000001E-2</v>
      </c>
      <c r="E12" s="5">
        <v>105</v>
      </c>
      <c r="F12" cm="1">
        <f t="array" ref="F12">delta_call(E12,A12,0.1,B12,D12,C12)</f>
        <v>0.78015917780635957</v>
      </c>
      <c r="G12" cm="1">
        <f t="array" ref="G12">delta_call(E12,A12,0.2,B12,D12,C12)</f>
        <v>0.70757712360602476</v>
      </c>
      <c r="H12" cm="1">
        <f t="array" ref="H12">delta_call(E12,A12,0.3,B12,D12,C12)</f>
        <v>0.67185532258123193</v>
      </c>
      <c r="I12" cm="1">
        <f t="array" ref="I12">delta_call(E12,A12,0.4,B12,D12,C12)</f>
        <v>0.64945841024169726</v>
      </c>
      <c r="J12" cm="1">
        <f t="array" ref="J12">delta_call(E12,A12,0.5,B12,D12,C12)</f>
        <v>0.63360682773352528</v>
      </c>
      <c r="K12" cm="1">
        <f t="array" ref="K12">delta_call(E12,A12,0.6,B12,D12,C12)</f>
        <v>0.62153169243863815</v>
      </c>
      <c r="L12" cm="1">
        <f t="array" ref="L12">delta_call(E12,A12,0.7,B12,D12,C12)</f>
        <v>0.6118653646026454</v>
      </c>
      <c r="M12" cm="1">
        <f t="array" ref="M12">delta_call(E12,A12,0.8,B12,D12,C12)</f>
        <v>0.60384506318075593</v>
      </c>
      <c r="N12" cm="1">
        <f t="array" ref="N12">delta_call(E12,A12,0.9,B12,D12,C12)</f>
        <v>0.59700764716294885</v>
      </c>
      <c r="O12" cm="1">
        <f t="array" ref="O12">delta_call(E12,A12,1,B12,D12,C12)</f>
        <v>0.59105364187828824</v>
      </c>
      <c r="P12" cm="1">
        <f t="array" ref="P12">delta_call(E12,A12,2,B12,D12,C12)</f>
        <v>0.55392824924372996</v>
      </c>
      <c r="Q12" cm="1">
        <f t="array" ref="Q12">delta_call(E12,A12,3,B12,D12,C12)</f>
        <v>0.53164403005798866</v>
      </c>
      <c r="R12" cm="1">
        <f t="array" ref="R12">delta_call(E12,A12,4,B12,D12,C12)</f>
        <v>0.51419337986845515</v>
      </c>
      <c r="S12" cm="1">
        <f t="array" ref="S12">delta_call(E12,A12,5,B12,D12,C12)</f>
        <v>0.49907665482291313</v>
      </c>
    </row>
    <row r="13" spans="1:29" x14ac:dyDescent="0.3">
      <c r="A13">
        <v>100</v>
      </c>
      <c r="B13">
        <f t="shared" si="0"/>
        <v>0.01</v>
      </c>
      <c r="C13">
        <v>0.2</v>
      </c>
      <c r="D13">
        <v>2.5000000000000001E-2</v>
      </c>
      <c r="E13" s="5">
        <v>110</v>
      </c>
      <c r="F13" cm="1">
        <f t="array" ref="F13">delta_call(E13,A13,0.1,B13,D13,C13)</f>
        <v>0.93276528557395022</v>
      </c>
      <c r="G13" cm="1">
        <f t="array" ref="G13">delta_call(E13,A13,0.2,B13,D13,C13)</f>
        <v>0.85492550860539307</v>
      </c>
      <c r="H13" cm="1">
        <f t="array" ref="H13">delta_call(E13,A13,0.3,B13,D13,C13)</f>
        <v>0.80552082706978456</v>
      </c>
      <c r="I13" cm="1">
        <f t="array" ref="I13">delta_call(E13,A13,0.4,B13,D13,C13)</f>
        <v>0.77139111291855877</v>
      </c>
      <c r="J13" cm="1">
        <f t="array" ref="J13">delta_call(E13,A13,0.5,B13,D13,C13)</f>
        <v>0.7460288710152263</v>
      </c>
      <c r="K13" cm="1">
        <f t="array" ref="K13">delta_call(E13,A13,0.6,B13,D13,C13)</f>
        <v>0.72617714299839065</v>
      </c>
      <c r="L13" cm="1">
        <f t="array" ref="L13">delta_call(E13,A13,0.7,B13,D13,C13)</f>
        <v>0.71003848501438405</v>
      </c>
      <c r="M13" cm="1">
        <f t="array" ref="M13">delta_call(E13,A13,0.8,B13,D13,C13)</f>
        <v>0.69653668017939352</v>
      </c>
      <c r="N13" cm="1">
        <f t="array" ref="N13">delta_call(E13,A13,0.9,B13,D13,C13)</f>
        <v>0.68498496367335104</v>
      </c>
      <c r="O13" cm="1">
        <f t="array" ref="O13">delta_call(E13,A13,1,B13,D13,C13)</f>
        <v>0.67492252218248261</v>
      </c>
      <c r="P13" cm="1">
        <f t="array" ref="P13">delta_call(E13,A13,2,B13,D13,C13)</f>
        <v>0.61370998200485483</v>
      </c>
      <c r="Q13" cm="1">
        <f t="array" ref="Q13">delta_call(E13,A13,3,B13,D13,C13)</f>
        <v>0.57976885877967443</v>
      </c>
      <c r="R13" cm="1">
        <f t="array" ref="R13">delta_call(E13,A13,4,B13,D13,C13)</f>
        <v>0.55505627303400362</v>
      </c>
      <c r="S13" cm="1">
        <f t="array" ref="S13">delta_call(E13,A13,5,B13,D13,C13)</f>
        <v>0.53483153243237358</v>
      </c>
    </row>
    <row r="14" spans="1:29" x14ac:dyDescent="0.3">
      <c r="A14">
        <v>100</v>
      </c>
      <c r="B14">
        <f t="shared" si="0"/>
        <v>0.01</v>
      </c>
      <c r="C14">
        <v>0.2</v>
      </c>
      <c r="D14">
        <v>2.5000000000000001E-2</v>
      </c>
      <c r="E14" s="5">
        <v>115</v>
      </c>
      <c r="F14" cm="1">
        <f t="array" ref="F14">delta_call(E14,A14,0.1,B14,D14,C14)</f>
        <v>0.9842498790812868</v>
      </c>
      <c r="G14" cm="1">
        <f t="array" ref="G14">delta_call(E14,A14,0.2,B14,D14,C14)</f>
        <v>0.93752987490319462</v>
      </c>
      <c r="H14" cm="1">
        <f t="array" ref="H14">delta_call(E14,A14,0.3,B14,D14,C14)</f>
        <v>0.89465948085894464</v>
      </c>
      <c r="I14" cm="1">
        <f t="array" ref="I14">delta_call(E14,A14,0.4,B14,D14,C14)</f>
        <v>0.86015318001510421</v>
      </c>
      <c r="J14" cm="1">
        <f t="array" ref="J14">delta_call(E14,A14,0.5,B14,D14,C14)</f>
        <v>0.83230954218222242</v>
      </c>
      <c r="K14" cm="1">
        <f t="array" ref="K14">delta_call(E14,A14,0.6,B14,D14,C14)</f>
        <v>0.80937943579066773</v>
      </c>
      <c r="L14" cm="1">
        <f t="array" ref="L14">delta_call(E14,A14,0.7,B14,D14,C14)</f>
        <v>0.7900953001728549</v>
      </c>
      <c r="M14" cm="1">
        <f t="array" ref="M14">delta_call(E14,A14,0.8,B14,D14,C14)</f>
        <v>0.77357425995553153</v>
      </c>
      <c r="N14" cm="1">
        <f t="array" ref="N14">delta_call(E14,A14,0.9,B14,D14,C14)</f>
        <v>0.75919497759871879</v>
      </c>
      <c r="O14" cm="1">
        <f t="array" ref="O14">delta_call(E14,A14,1,B14,D14,C14)</f>
        <v>0.74651070838219979</v>
      </c>
      <c r="P14" cm="1">
        <f t="array" ref="P14">delta_call(E14,A14,2,B14,D14,C14)</f>
        <v>0.66754109998611888</v>
      </c>
      <c r="Q14" cm="1">
        <f t="array" ref="Q14">delta_call(E14,A14,3,B14,D14,C14)</f>
        <v>0.62388481123265838</v>
      </c>
      <c r="R14" cm="1">
        <f t="array" ref="R14">delta_call(E14,A14,4,B14,D14,C14)</f>
        <v>0.59285177616400109</v>
      </c>
      <c r="S14" cm="1">
        <f t="array" ref="S14">delta_call(E14,A14,5,B14,D14,C14)</f>
        <v>0.56808050705187518</v>
      </c>
    </row>
    <row r="15" spans="1:29" x14ac:dyDescent="0.3">
      <c r="A15">
        <v>100</v>
      </c>
      <c r="B15">
        <f t="shared" si="0"/>
        <v>0.01</v>
      </c>
      <c r="C15">
        <v>0.2</v>
      </c>
      <c r="D15">
        <v>2.5000000000000001E-2</v>
      </c>
      <c r="E15" s="5">
        <v>120</v>
      </c>
      <c r="F15" cm="1">
        <f t="array" ref="F15">delta_call(E15,A15,0.1,B15,D15,C15)</f>
        <v>0.9955857689087636</v>
      </c>
      <c r="G15" cm="1">
        <f t="array" ref="G15">delta_call(E15,A15,0.2,B15,D15,C15)</f>
        <v>0.97491136505019038</v>
      </c>
      <c r="H15" cm="1">
        <f t="array" ref="H15">delta_call(E15,A15,0.3,B15,D15,C15)</f>
        <v>0.94620843555664291</v>
      </c>
      <c r="I15" cm="1">
        <f t="array" ref="I15">delta_call(E15,A15,0.4,B15,D15,C15)</f>
        <v>0.91823954876980429</v>
      </c>
      <c r="J15" cm="1">
        <f t="array" ref="J15">delta_call(E15,A15,0.5,B15,D15,C15)</f>
        <v>0.89313992639871098</v>
      </c>
      <c r="K15" cm="1">
        <f t="array" ref="K15">delta_call(E15,A15,0.6,B15,D15,C15)</f>
        <v>0.87103559884293458</v>
      </c>
      <c r="L15" cm="1">
        <f t="array" ref="L15">delta_call(E15,A15,0.7,B15,D15,C15)</f>
        <v>0.85157366823504643</v>
      </c>
      <c r="M15" cm="1">
        <f t="array" ref="M15">delta_call(E15,A15,0.8,B15,D15,C15)</f>
        <v>0.83433948924666235</v>
      </c>
      <c r="N15" cm="1">
        <f t="array" ref="N15">delta_call(E15,A15,0.9,B15,D15,C15)</f>
        <v>0.81896303282726413</v>
      </c>
      <c r="O15" cm="1">
        <f t="array" ref="O15">delta_call(E15,A15,1,B15,D15,C15)</f>
        <v>0.80513766959095556</v>
      </c>
      <c r="P15" cm="1">
        <f t="array" ref="P15">delta_call(E15,A15,2,B15,D15,C15)</f>
        <v>0.71507236668399388</v>
      </c>
      <c r="Q15" cm="1">
        <f t="array" ref="Q15">delta_call(E15,A15,3,B15,D15,C15)</f>
        <v>0.66382985800960148</v>
      </c>
      <c r="R15" cm="1">
        <f t="array" ref="R15">delta_call(E15,A15,4,B15,D15,C15)</f>
        <v>0.62750731641076307</v>
      </c>
      <c r="S15" cm="1">
        <f t="array" ref="S15">delta_call(E15,A15,5,B15,D15,C15)</f>
        <v>0.59879840130552509</v>
      </c>
    </row>
    <row r="16" spans="1:29" x14ac:dyDescent="0.3">
      <c r="A16">
        <v>100</v>
      </c>
      <c r="B16">
        <f t="shared" si="0"/>
        <v>0.01</v>
      </c>
      <c r="C16">
        <v>0.2</v>
      </c>
      <c r="D16">
        <v>2.5000000000000001E-2</v>
      </c>
      <c r="E16" s="5">
        <v>125</v>
      </c>
      <c r="F16" cm="1">
        <f t="array" ref="F16">delta_call(E16,A16,0.1,B16,D16,C16)</f>
        <v>0.99730060041501079</v>
      </c>
      <c r="G16" cm="1">
        <f t="array" ref="G16">delta_call(E16,A16,0.2,B16,D16,C16)</f>
        <v>0.98893766709798614</v>
      </c>
      <c r="H16" cm="1">
        <f t="array" ref="H16">delta_call(E16,A16,0.3,B16,D16,C16)</f>
        <v>0.97253078911187285</v>
      </c>
      <c r="I16" cm="1">
        <f t="array" ref="I16">delta_call(E16,A16,0.4,B16,D16,C16)</f>
        <v>0.95287856148514849</v>
      </c>
      <c r="J16" cm="1">
        <f t="array" ref="J16">delta_call(E16,A16,0.5,B16,D16,C16)</f>
        <v>0.93296902331088327</v>
      </c>
      <c r="K16" cm="1">
        <f t="array" ref="K16">delta_call(E16,A16,0.6,B16,D16,C16)</f>
        <v>0.9140072004261981</v>
      </c>
      <c r="L16" cm="1">
        <f t="array" ref="L16">delta_call(E16,A16,0.7,B16,D16,C16)</f>
        <v>0.89637955090987587</v>
      </c>
      <c r="M16" cm="1">
        <f t="array" ref="M16">delta_call(E16,A16,0.8,B16,D16,C16)</f>
        <v>0.88013695680693371</v>
      </c>
      <c r="N16" cm="1">
        <f t="array" ref="N16">delta_call(E16,A16,0.9,B16,D16,C16)</f>
        <v>0.86520125188343056</v>
      </c>
      <c r="O16" cm="1">
        <f t="array" ref="O16">delta_call(E16,A16,1,B16,D16,C16)</f>
        <v>0.85145170014674409</v>
      </c>
      <c r="P16" cm="1">
        <f t="array" ref="P16">delta_call(E16,A16,2,B16,D16,C16)</f>
        <v>0.75633367198345336</v>
      </c>
      <c r="Q16" cm="1">
        <f t="array" ref="Q16">delta_call(E16,A16,3,B16,D16,C16)</f>
        <v>0.69961501271651583</v>
      </c>
      <c r="R16" cm="1">
        <f t="array" ref="R16">delta_call(E16,A16,4,B16,D16,C16)</f>
        <v>0.65904689544628869</v>
      </c>
      <c r="S16" cm="1">
        <f t="array" ref="S16">delta_call(E16,A16,5,B16,D16,C16)</f>
        <v>0.62702004029052627</v>
      </c>
    </row>
    <row r="17" spans="1:29" x14ac:dyDescent="0.3">
      <c r="A17">
        <v>100</v>
      </c>
      <c r="B17">
        <f t="shared" si="0"/>
        <v>0.01</v>
      </c>
      <c r="C17">
        <v>0.2</v>
      </c>
      <c r="D17">
        <v>2.5000000000000001E-2</v>
      </c>
      <c r="E17" s="5">
        <v>130</v>
      </c>
      <c r="F17" cm="1">
        <f t="array" ref="F17">delta_call(E17,A17,0.1,B17,D17,C17)</f>
        <v>0.99748698702181038</v>
      </c>
      <c r="G17" cm="1">
        <f t="array" ref="G17">delta_call(E17,A17,0.2,B17,D17,C17)</f>
        <v>0.99340317155457092</v>
      </c>
      <c r="H17" cm="1">
        <f t="array" ref="H17">delta_call(E17,A17,0.3,B17,D17,C17)</f>
        <v>0.98458401397945694</v>
      </c>
      <c r="I17" cm="1">
        <f t="array" ref="I17">delta_call(E17,A17,0.4,B17,D17,C17)</f>
        <v>0.97192235538077187</v>
      </c>
      <c r="J17" cm="1">
        <f t="array" ref="J17">delta_call(E17,A17,0.5,B17,D17,C17)</f>
        <v>0.95741426099902316</v>
      </c>
      <c r="K17" cm="1">
        <f t="array" ref="K17">delta_call(E17,A17,0.6,B17,D17,C17)</f>
        <v>0.94239381667426914</v>
      </c>
      <c r="L17" cm="1">
        <f t="array" ref="L17">delta_call(E17,A17,0.7,B17,D17,C17)</f>
        <v>0.92757660670259778</v>
      </c>
      <c r="M17" cm="1">
        <f t="array" ref="M17">delta_call(E17,A17,0.8,B17,D17,C17)</f>
        <v>0.9133090798011414</v>
      </c>
      <c r="N17" cm="1">
        <f t="array" ref="N17">delta_call(E17,A17,0.9,B17,D17,C17)</f>
        <v>0.89973830037651537</v>
      </c>
      <c r="O17" cm="1">
        <f t="array" ref="O17">delta_call(E17,A17,1,B17,D17,C17)</f>
        <v>0.88690734982186104</v>
      </c>
      <c r="P17" cm="1">
        <f t="array" ref="P17">delta_call(E17,A17,2,B17,D17,C17)</f>
        <v>0.7916268893752858</v>
      </c>
      <c r="Q17" cm="1">
        <f t="array" ref="Q17">delta_call(E17,A17,3,B17,D17,C17)</f>
        <v>0.73137917387138984</v>
      </c>
      <c r="R17" cm="1">
        <f t="array" ref="R17">delta_call(E17,A17,4,B17,D17,C17)</f>
        <v>0.68756618454912222</v>
      </c>
      <c r="S17" cm="1">
        <f t="array" ref="S17">delta_call(E17,A17,5,B17,D17,C17)</f>
        <v>0.65282455467720524</v>
      </c>
    </row>
    <row r="18" spans="1:29" x14ac:dyDescent="0.3">
      <c r="A18">
        <v>100</v>
      </c>
      <c r="B18">
        <f t="shared" si="0"/>
        <v>0.01</v>
      </c>
      <c r="C18">
        <v>0.2</v>
      </c>
      <c r="D18">
        <v>2.5000000000000001E-2</v>
      </c>
      <c r="E18" s="5">
        <v>135</v>
      </c>
      <c r="F18" cm="1">
        <f t="array" ref="F18">delta_call(E18,A18,0.1,B18,D18,C18)</f>
        <v>0.99750212267882077</v>
      </c>
      <c r="G18" cm="1">
        <f t="array" ref="G18">delta_call(E18,A18,0.2,B18,D18,C18)</f>
        <v>0.99463366839413703</v>
      </c>
      <c r="H18" cm="1">
        <f t="array" ref="H18">delta_call(E18,A18,0.3,B18,D18,C18)</f>
        <v>0.98959985394440686</v>
      </c>
      <c r="I18" cm="1">
        <f t="array" ref="I18">delta_call(E18,A18,0.4,B18,D18,C18)</f>
        <v>0.98167184580700262</v>
      </c>
      <c r="J18" cm="1">
        <f t="array" ref="J18">delta_call(E18,A18,0.5,B18,D18,C18)</f>
        <v>0.97159090137115367</v>
      </c>
      <c r="K18" cm="1">
        <f t="array" ref="K18">delta_call(E18,A18,0.6,B18,D18,C18)</f>
        <v>0.96028586356688961</v>
      </c>
      <c r="L18" cm="1">
        <f t="array" ref="L18">delta_call(E18,A18,0.7,B18,D18,C18)</f>
        <v>0.94844682162137017</v>
      </c>
      <c r="M18" cm="1">
        <f t="array" ref="M18">delta_call(E18,A18,0.8,B18,D18,C18)</f>
        <v>0.93651532958062866</v>
      </c>
      <c r="N18" cm="1">
        <f t="array" ref="N18">delta_call(E18,A18,0.9,B18,D18,C18)</f>
        <v>0.92475505266462332</v>
      </c>
      <c r="O18" cm="1">
        <f t="array" ref="O18">delta_call(E18,A18,1,B18,D18,C18)</f>
        <v>0.91331496620536801</v>
      </c>
      <c r="P18" cm="1">
        <f t="array" ref="P18">delta_call(E18,A18,2,B18,D18,C18)</f>
        <v>0.82142932119847711</v>
      </c>
      <c r="Q18" cm="1">
        <f t="array" ref="Q18">delta_call(E18,A18,3,B18,D18,C18)</f>
        <v>0.75934950507330035</v>
      </c>
      <c r="R18" cm="1">
        <f t="array" ref="R18">delta_call(E18,A18,4,B18,D18,C18)</f>
        <v>0.71321125943068253</v>
      </c>
      <c r="S18" cm="1">
        <f t="array" ref="S18">delta_call(E18,A18,5,B18,D18,C18)</f>
        <v>0.67632227107222276</v>
      </c>
    </row>
    <row r="19" spans="1:29" x14ac:dyDescent="0.3">
      <c r="A19">
        <v>100</v>
      </c>
      <c r="B19">
        <f t="shared" si="0"/>
        <v>0.01</v>
      </c>
      <c r="C19">
        <v>0.2</v>
      </c>
      <c r="D19">
        <v>2.5000000000000001E-2</v>
      </c>
      <c r="E19" s="5">
        <v>140</v>
      </c>
      <c r="F19" cm="1">
        <f t="array" ref="F19">delta_call(E19,A19,0.1,B19,D19,C19)</f>
        <v>0.99750307287106277</v>
      </c>
      <c r="G19" cm="1">
        <f t="array" ref="G19">delta_call(E19,A19,0.2,B19,D19,C19)</f>
        <v>0.99493225075539971</v>
      </c>
      <c r="H19" cm="1">
        <f t="array" ref="H19">delta_call(E19,A19,0.3,B19,D19,C19)</f>
        <v>0.99151874847586552</v>
      </c>
      <c r="I19" cm="1">
        <f t="array" ref="I19">delta_call(E19,A19,0.4,B19,D19,C19)</f>
        <v>0.98636000598609386</v>
      </c>
      <c r="J19" cm="1">
        <f t="array" ref="J19">delta_call(E19,A19,0.5,B19,D19,C19)</f>
        <v>0.97941318332430627</v>
      </c>
      <c r="K19" cm="1">
        <f t="array" ref="K19">delta_call(E19,A19,0.6,B19,D19,C19)</f>
        <v>0.9711079542675094</v>
      </c>
      <c r="L19" cm="1">
        <f t="array" ref="L19">delta_call(E19,A19,0.7,B19,D19,C19)</f>
        <v>0.96192724770569182</v>
      </c>
      <c r="M19" cm="1">
        <f t="array" ref="M19">delta_call(E19,A19,0.8,B19,D19,C19)</f>
        <v>0.95226217034165672</v>
      </c>
      <c r="N19" cm="1">
        <f t="array" ref="N19">delta_call(E19,A19,0.9,B19,D19,C19)</f>
        <v>0.94239443945690626</v>
      </c>
      <c r="O19" cm="1">
        <f t="array" ref="O19">delta_call(E19,A19,1,B19,D19,C19)</f>
        <v>0.93251578036606675</v>
      </c>
      <c r="P19" cm="1">
        <f t="array" ref="P19">delta_call(E19,A19,2,B19,D19,C19)</f>
        <v>0.84631421405453322</v>
      </c>
      <c r="Q19" cm="1">
        <f t="array" ref="Q19">delta_call(E19,A19,3,B19,D19,C19)</f>
        <v>0.78380855483314715</v>
      </c>
      <c r="R19" cm="1">
        <f t="array" ref="R19">delta_call(E19,A19,4,B19,D19,C19)</f>
        <v>0.73616111252427219</v>
      </c>
      <c r="S19" cm="1">
        <f t="array" ref="S19">delta_call(E19,A19,5,B19,D19,C19)</f>
        <v>0.69764405720106115</v>
      </c>
    </row>
    <row r="22" spans="1:29" x14ac:dyDescent="0.3">
      <c r="A22" s="1" t="s">
        <v>28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t="s">
        <v>13</v>
      </c>
      <c r="B23" t="s">
        <v>14</v>
      </c>
      <c r="C23" t="s">
        <v>15</v>
      </c>
      <c r="D23" t="s">
        <v>26</v>
      </c>
      <c r="F23" s="7">
        <v>0.1</v>
      </c>
      <c r="G23" s="7">
        <v>0.2</v>
      </c>
      <c r="H23" s="7">
        <v>0.3</v>
      </c>
      <c r="I23" s="7">
        <v>0.4</v>
      </c>
      <c r="J23" s="7">
        <v>0.5</v>
      </c>
      <c r="K23" s="7">
        <v>0.6</v>
      </c>
      <c r="L23" s="7">
        <v>0.7</v>
      </c>
      <c r="M23" s="7">
        <v>0.8</v>
      </c>
      <c r="N23" s="7">
        <v>0.9</v>
      </c>
      <c r="O23" s="7">
        <v>1</v>
      </c>
      <c r="P23" s="7">
        <v>2</v>
      </c>
      <c r="Q23" s="7">
        <v>3</v>
      </c>
      <c r="R23" s="7">
        <v>4</v>
      </c>
      <c r="S23" s="7">
        <v>5</v>
      </c>
    </row>
    <row r="24" spans="1:29" x14ac:dyDescent="0.3">
      <c r="A24">
        <v>100</v>
      </c>
      <c r="B24">
        <f>1/100</f>
        <v>0.01</v>
      </c>
      <c r="C24">
        <v>0.2</v>
      </c>
      <c r="D24">
        <v>2.5000000000000001E-2</v>
      </c>
      <c r="E24" s="5">
        <v>60</v>
      </c>
      <c r="F24" cm="1">
        <f t="array" ref="F24">theta_call(E24,A24,0.1,B24,D24,C24)</f>
        <v>-5.4627036686888201E-14</v>
      </c>
      <c r="G24" cm="1">
        <f t="array" ref="G24">theta_call(E24,A24,0.2,B24,D24,C24)</f>
        <v>-4.6362976969040304E-7</v>
      </c>
      <c r="H24" cm="1">
        <f t="array" ref="H24">theta_call(E24,A24,0.3,B24,D24,C24)</f>
        <v>-8.6201803563914855E-5</v>
      </c>
      <c r="I24" cm="1">
        <f t="array" ref="I24">theta_call(E24,A24,0.4,B24,D24,C24)</f>
        <v>-1.1219793822320777E-3</v>
      </c>
      <c r="J24" cm="1">
        <f t="array" ref="J24">theta_call(E24,A24,0.5,B24,D24,C24)</f>
        <v>-5.0851070857723191E-3</v>
      </c>
      <c r="K24" cm="1">
        <f t="array" ref="K24">theta_call(E24,A24,0.6,B24,D24,C24)</f>
        <v>-1.3658587773468487E-2</v>
      </c>
      <c r="L24" cm="1">
        <f t="array" ref="L24">theta_call(E24,A24,0.7,B24,D24,C24)</f>
        <v>-2.7273251835650089E-2</v>
      </c>
      <c r="M24" cm="1">
        <f t="array" ref="M24">theta_call(E24,A24,0.8,B24,D24,C24)</f>
        <v>-4.5315216170191443E-2</v>
      </c>
      <c r="N24" cm="1">
        <f t="array" ref="N24">theta_call(E24,A24,0.9,B24,D24,C24)</f>
        <v>-6.6676800018103E-2</v>
      </c>
      <c r="O24" cm="1">
        <f t="array" ref="O24">theta_call(E24,A24,1,B24,D24,C24)</f>
        <v>-9.0171556107468562E-2</v>
      </c>
      <c r="P24" cm="1">
        <f t="array" ref="P24">theta_call(E24,A24,2,B24,D24,C24)</f>
        <v>-0.30149793923404739</v>
      </c>
      <c r="Q24" cm="1">
        <f t="array" ref="Q24">theta_call(E24,A24,3,B24,D24,C24)</f>
        <v>-0.39319624389666136</v>
      </c>
      <c r="R24" cm="1">
        <f t="array" ref="R24">theta_call(E24,A24,4,B24,D24,C24)</f>
        <v>-0.41490618689290254</v>
      </c>
      <c r="S24" cm="1">
        <f t="array" ref="S24">theta_call(E24,A24,5,B24,D24,C24)</f>
        <v>-0.40585433835257334</v>
      </c>
    </row>
    <row r="25" spans="1:29" x14ac:dyDescent="0.3">
      <c r="A25">
        <v>100</v>
      </c>
      <c r="B25">
        <f t="shared" ref="B25:B40" si="1">1/100</f>
        <v>0.01</v>
      </c>
      <c r="C25">
        <v>0.2</v>
      </c>
      <c r="D25">
        <v>2.5000000000000001E-2</v>
      </c>
      <c r="E25" s="5">
        <v>65</v>
      </c>
      <c r="F25" cm="1">
        <f t="array" ref="F25">theta_call(E25,A25,0.1,B25,D25,C25)</f>
        <v>-7.2260917839393983E-10</v>
      </c>
      <c r="G25" cm="1">
        <f t="array" ref="G25">theta_call(E25,A25,0.2,B25,D25,C25)</f>
        <v>-5.5140145663955023E-5</v>
      </c>
      <c r="H25" cm="1">
        <f t="array" ref="H25">theta_call(E25,A25,0.3,B25,D25,C25)</f>
        <v>-2.1305003818059966E-3</v>
      </c>
      <c r="I25" cm="1">
        <f t="array" ref="I25">theta_call(E25,A25,0.4,B25,D25,C25)</f>
        <v>-1.2635686237937906E-2</v>
      </c>
      <c r="J25" cm="1">
        <f t="array" ref="J25">theta_call(E25,A25,0.5,B25,D25,C25)</f>
        <v>-3.572425621388494E-2</v>
      </c>
      <c r="K25" cm="1">
        <f t="array" ref="K25">theta_call(E25,A25,0.6,B25,D25,C25)</f>
        <v>-7.003643900642062E-2</v>
      </c>
      <c r="L25" cm="1">
        <f t="array" ref="L25">theta_call(E25,A25,0.7,B25,D25,C25)</f>
        <v>-0.11165788829368001</v>
      </c>
      <c r="M25" cm="1">
        <f t="array" ref="M25">theta_call(E25,A25,0.8,B25,D25,C25)</f>
        <v>-0.15667359603351935</v>
      </c>
      <c r="N25" cm="1">
        <f t="array" ref="N25">theta_call(E25,A25,0.9,B25,D25,C25)</f>
        <v>-0.20210242583360777</v>
      </c>
      <c r="O25" cm="1">
        <f t="array" ref="O25">theta_call(E25,A25,1,B25,D25,C25)</f>
        <v>-0.24597176980349608</v>
      </c>
      <c r="P25" cm="1">
        <f t="array" ref="P25">theta_call(E25,A25,2,B25,D25,C25)</f>
        <v>-0.51010205082486704</v>
      </c>
      <c r="Q25" cm="1">
        <f t="array" ref="Q25">theta_call(E25,A25,3,B25,D25,C25)</f>
        <v>-0.56529604205282735</v>
      </c>
      <c r="R25" cm="1">
        <f t="array" ref="R25">theta_call(E25,A25,4,B25,D25,C25)</f>
        <v>-0.54850265977393531</v>
      </c>
      <c r="S25" cm="1">
        <f t="array" ref="S25">theta_call(E25,A25,5,B25,D25,C25)</f>
        <v>-0.50919308820532083</v>
      </c>
    </row>
    <row r="26" spans="1:29" x14ac:dyDescent="0.3">
      <c r="A26">
        <v>100</v>
      </c>
      <c r="B26">
        <f t="shared" si="1"/>
        <v>0.01</v>
      </c>
      <c r="C26">
        <v>0.2</v>
      </c>
      <c r="D26">
        <v>2.5000000000000001E-2</v>
      </c>
      <c r="E26" s="5">
        <v>70</v>
      </c>
      <c r="F26" cm="1">
        <f t="array" ref="F26">theta_call(E26,A26,0.1,B26,D26,C26)</f>
        <v>-1.1336486105548648E-6</v>
      </c>
      <c r="G26" cm="1">
        <f t="array" ref="G26">theta_call(E26,A26,0.2,B26,D26,C26)</f>
        <v>-2.2516053212043603E-3</v>
      </c>
      <c r="H26" cm="1">
        <f t="array" ref="H26">theta_call(E26,A26,0.3,B26,D26,C26)</f>
        <v>-2.5763087354733455E-2</v>
      </c>
      <c r="I26" cm="1">
        <f t="array" ref="I26">theta_call(E26,A26,0.4,B26,D26,C26)</f>
        <v>-8.3107290387653091E-2</v>
      </c>
      <c r="J26" cm="1">
        <f t="array" ref="J26">theta_call(E26,A26,0.5,B26,D26,C26)</f>
        <v>-0.16298718851998267</v>
      </c>
      <c r="K26" cm="1">
        <f t="array" ref="K26">theta_call(E26,A26,0.6,B26,D26,C26)</f>
        <v>-0.25031450120628196</v>
      </c>
      <c r="L26" cm="1">
        <f t="array" ref="L26">theta_call(E26,A26,0.7,B26,D26,C26)</f>
        <v>-0.33512972110128192</v>
      </c>
      <c r="M26" cm="1">
        <f t="array" ref="M26">theta_call(E26,A26,0.8,B26,D26,C26)</f>
        <v>-0.41243358588742257</v>
      </c>
      <c r="N26" cm="1">
        <f t="array" ref="N26">theta_call(E26,A26,0.9,B26,D26,C26)</f>
        <v>-0.48034113347422452</v>
      </c>
      <c r="O26" cm="1">
        <f t="array" ref="O26">theta_call(E26,A26,1,B26,D26,C26)</f>
        <v>-0.53863657468111803</v>
      </c>
      <c r="P26" cm="1">
        <f t="array" ref="P26">theta_call(E26,A26,2,B26,D26,C26)</f>
        <v>-0.76991717068328147</v>
      </c>
      <c r="Q26" cm="1">
        <f t="array" ref="Q26">theta_call(E26,A26,3,B26,D26,C26)</f>
        <v>-0.75075081172200797</v>
      </c>
      <c r="R26" cm="1">
        <f t="array" ref="R26">theta_call(E26,A26,4,B26,D26,C26)</f>
        <v>-0.6814568496022998</v>
      </c>
      <c r="S26" cm="1">
        <f t="array" ref="S26">theta_call(E26,A26,5,B26,D26,C26)</f>
        <v>-0.60650220923905751</v>
      </c>
    </row>
    <row r="27" spans="1:29" x14ac:dyDescent="0.3">
      <c r="A27">
        <v>100</v>
      </c>
      <c r="B27">
        <f t="shared" si="1"/>
        <v>0.01</v>
      </c>
      <c r="C27">
        <v>0.2</v>
      </c>
      <c r="D27">
        <v>2.5000000000000001E-2</v>
      </c>
      <c r="E27" s="5">
        <v>75</v>
      </c>
      <c r="F27" cm="1">
        <f t="array" ref="F27">theta_call(E27,A27,0.1,B27,D27,C27)</f>
        <v>-3.1136087222241197E-4</v>
      </c>
      <c r="G27" cm="1">
        <f t="array" ref="G27">theta_call(E27,A27,0.2,B27,D27,C27)</f>
        <v>-3.8360252551563244E-2</v>
      </c>
      <c r="H27" cm="1">
        <f t="array" ref="H27">theta_call(E27,A27,0.3,B27,D27,C27)</f>
        <v>-0.17358804852201895</v>
      </c>
      <c r="I27" cm="1">
        <f t="array" ref="I27">theta_call(E27,A27,0.4,B27,D27,C27)</f>
        <v>-0.35193391140530961</v>
      </c>
      <c r="J27" cm="1">
        <f t="array" ref="J27">theta_call(E27,A27,0.5,B27,D27,C27)</f>
        <v>-0.52211083931075852</v>
      </c>
      <c r="K27" cm="1">
        <f t="array" ref="K27">theta_call(E27,A27,0.6,B27,D27,C27)</f>
        <v>-0.66548588774006501</v>
      </c>
      <c r="L27" cm="1">
        <f t="array" ref="L27">theta_call(E27,A27,0.7,B27,D27,C27)</f>
        <v>-0.77968933499298665</v>
      </c>
      <c r="M27" cm="1">
        <f t="array" ref="M27">theta_call(E27,A27,0.8,B27,D27,C27)</f>
        <v>-0.86797486455288186</v>
      </c>
      <c r="N27" cm="1">
        <f t="array" ref="N27">theta_call(E27,A27,0.9,B27,D27,C27)</f>
        <v>-0.93485493459873537</v>
      </c>
      <c r="O27" cm="1">
        <f t="array" ref="O27">theta_call(E27,A27,1,B27,D27,C27)</f>
        <v>-0.98458382621616669</v>
      </c>
      <c r="P27" cm="1">
        <f t="array" ref="P27">theta_call(E27,A27,2,B27,D27,C27)</f>
        <v>-1.0571005583056319</v>
      </c>
      <c r="Q27" cm="1">
        <f t="array" ref="Q27">theta_call(E27,A27,3,B27,D27,C27)</f>
        <v>-0.93304846418837584</v>
      </c>
      <c r="R27" cm="1">
        <f t="array" ref="R27">theta_call(E27,A27,4,B27,D27,C27)</f>
        <v>-0.80340258896108829</v>
      </c>
      <c r="S27" cm="1">
        <f t="array" ref="S27">theta_call(E27,A27,5,B27,D27,C27)</f>
        <v>-0.6911146316467166</v>
      </c>
    </row>
    <row r="28" spans="1:29" x14ac:dyDescent="0.3">
      <c r="A28">
        <v>100</v>
      </c>
      <c r="B28">
        <f t="shared" si="1"/>
        <v>0.01</v>
      </c>
      <c r="C28">
        <v>0.2</v>
      </c>
      <c r="D28">
        <v>2.5000000000000001E-2</v>
      </c>
      <c r="E28" s="5">
        <v>80</v>
      </c>
      <c r="F28" cm="1">
        <f t="array" ref="F28">theta_call(E28,A28,0.1,B28,D28,C28)</f>
        <v>-2.024699271937595E-2</v>
      </c>
      <c r="G28" cm="1">
        <f t="array" ref="G28">theta_call(E28,A28,0.2,B28,D28,C28)</f>
        <v>-0.31708319428265946</v>
      </c>
      <c r="H28" cm="1">
        <f t="array" ref="H28">theta_call(E28,A28,0.3,B28,D28,C28)</f>
        <v>-0.72062589681377587</v>
      </c>
      <c r="I28" cm="1">
        <f t="array" ref="I28">theta_call(E28,A28,0.4,B28,D28,C28)</f>
        <v>-1.0346227341568204</v>
      </c>
      <c r="J28" cm="1">
        <f t="array" ref="J28">theta_call(E28,A28,0.5,B28,D28,C28)</f>
        <v>-1.247205039253338</v>
      </c>
      <c r="K28" cm="1">
        <f t="array" ref="K28">theta_call(E28,A28,0.6,B28,D28,C28)</f>
        <v>-1.3837195583594621</v>
      </c>
      <c r="L28" cm="1">
        <f t="array" ref="L28">theta_call(E28,A28,0.7,B28,D28,C28)</f>
        <v>-1.4677455883457213</v>
      </c>
      <c r="M28" cm="1">
        <f t="array" ref="M28">theta_call(E28,A28,0.8,B28,D28,C28)</f>
        <v>-1.5161526277217736</v>
      </c>
      <c r="N28" cm="1">
        <f t="array" ref="N28">theta_call(E28,A28,0.9,B28,D28,C28)</f>
        <v>-1.5403401351956569</v>
      </c>
      <c r="O28" cm="1">
        <f t="array" ref="O28">theta_call(E28,A28,1,B28,D28,C28)</f>
        <v>-1.5479498629197763</v>
      </c>
      <c r="P28" cm="1">
        <f t="array" ref="P28">theta_call(E28,A28,2,B28,D28,C28)</f>
        <v>-1.3399901006751942</v>
      </c>
      <c r="Q28" cm="1">
        <f t="array" ref="Q28">theta_call(E28,A28,3,B28,D28,C28)</f>
        <v>-1.0957918141310361</v>
      </c>
      <c r="R28" cm="1">
        <f t="array" ref="R28">theta_call(E28,A28,4,B28,D28,C28)</f>
        <v>-0.90525864922277866</v>
      </c>
      <c r="S28" cm="1">
        <f t="array" ref="S28">theta_call(E28,A28,5,B28,D28,C28)</f>
        <v>-0.75762227886395728</v>
      </c>
    </row>
    <row r="29" spans="1:29" x14ac:dyDescent="0.3">
      <c r="A29">
        <v>100</v>
      </c>
      <c r="B29">
        <f t="shared" si="1"/>
        <v>0.01</v>
      </c>
      <c r="C29">
        <v>0.2</v>
      </c>
      <c r="D29">
        <v>2.5000000000000001E-2</v>
      </c>
      <c r="E29" s="5">
        <v>85</v>
      </c>
      <c r="F29" cm="1">
        <f t="array" ref="F29">theta_call(E29,A29,0.1,B29,D29,C29)</f>
        <v>-0.3952814037182093</v>
      </c>
      <c r="G29" cm="1">
        <f t="array" ref="G29">theta_call(E29,A29,0.2,B29,D29,C29)</f>
        <v>-1.4315430177106754</v>
      </c>
      <c r="H29" cm="1">
        <f t="array" ref="H29">theta_call(E29,A29,0.3,B29,D29,C29)</f>
        <v>-1.994119819504971</v>
      </c>
      <c r="I29" cm="1">
        <f t="array" ref="I29">theta_call(E29,A29,0.4,B29,D29,C29)</f>
        <v>-2.2395169525466354</v>
      </c>
      <c r="J29" cm="1">
        <f t="array" ref="J29">theta_call(E29,A29,0.5,B29,D29,C29)</f>
        <v>-2.3283758198318658</v>
      </c>
      <c r="K29" cm="1">
        <f t="array" ref="K29">theta_call(E29,A29,0.6,B29,D29,C29)</f>
        <v>-2.3395733014948514</v>
      </c>
      <c r="L29" cm="1">
        <f t="array" ref="L29">theta_call(E29,A29,0.7,B29,D29,C29)</f>
        <v>-2.3113168260111849</v>
      </c>
      <c r="M29" cm="1">
        <f t="array" ref="M29">theta_call(E29,A29,0.8,B29,D29,C29)</f>
        <v>-2.262941637451148</v>
      </c>
      <c r="N29" cm="1">
        <f t="array" ref="N29">theta_call(E29,A29,0.9,B29,D29,C29)</f>
        <v>-2.2046686848302333</v>
      </c>
      <c r="O29" cm="1">
        <f t="array" ref="O29">theta_call(E29,A29,1,B29,D29,C29)</f>
        <v>-2.142085911647456</v>
      </c>
      <c r="P29" cm="1">
        <f t="array" ref="P29">theta_call(E29,A29,2,B29,D29,C29)</f>
        <v>-1.5858776419938108</v>
      </c>
      <c r="Q29" cm="1">
        <f t="array" ref="Q29">theta_call(E29,A29,3,B29,D29,C29)</f>
        <v>-1.2249157835839508</v>
      </c>
      <c r="R29" cm="1">
        <f t="array" ref="R29">theta_call(E29,A29,4,B29,D29,C29)</f>
        <v>-0.97995440861061733</v>
      </c>
      <c r="S29" cm="1">
        <f t="array" ref="S29">theta_call(E29,A29,5,B29,D29,C29)</f>
        <v>-0.80209327498068383</v>
      </c>
    </row>
    <row r="30" spans="1:29" x14ac:dyDescent="0.3">
      <c r="A30">
        <v>100</v>
      </c>
      <c r="B30">
        <f t="shared" si="1"/>
        <v>0.01</v>
      </c>
      <c r="C30">
        <v>0.2</v>
      </c>
      <c r="D30">
        <v>2.5000000000000001E-2</v>
      </c>
      <c r="E30" s="5">
        <v>90</v>
      </c>
      <c r="F30" cm="1">
        <f t="array" ref="F30">theta_call(E30,A30,0.1,B30,D30,C30)</f>
        <v>-2.7985625067664435</v>
      </c>
      <c r="G30" cm="1">
        <f t="array" ref="G30">theta_call(E30,A30,0.2,B30,D30,C30)</f>
        <v>-3.8766888466145728</v>
      </c>
      <c r="H30" cm="1">
        <f t="array" ref="H30">theta_call(E30,A30,0.3,B30,D30,C30)</f>
        <v>-3.9133224198244037</v>
      </c>
      <c r="I30" cm="1">
        <f t="array" ref="I30">theta_call(E30,A30,0.4,B30,D30,C30)</f>
        <v>-3.7376257629271783</v>
      </c>
      <c r="J30" cm="1">
        <f t="array" ref="J30">theta_call(E30,A30,0.5,B30,D30,C30)</f>
        <v>-3.5237333450619692</v>
      </c>
      <c r="K30" cm="1">
        <f t="array" ref="K30">theta_call(E30,A30,0.6,B30,D30,C30)</f>
        <v>-3.3155539467435662</v>
      </c>
      <c r="L30" cm="1">
        <f t="array" ref="L30">theta_call(E30,A30,0.7,B30,D30,C30)</f>
        <v>-3.1242362272862723</v>
      </c>
      <c r="M30" cm="1">
        <f t="array" ref="M30">theta_call(E30,A30,0.8,B30,D30,C30)</f>
        <v>-2.9514202146160979</v>
      </c>
      <c r="N30" cm="1">
        <f t="array" ref="N30">theta_call(E30,A30,0.9,B30,D30,C30)</f>
        <v>-2.7958941655839142</v>
      </c>
      <c r="O30" cm="1">
        <f t="array" ref="O30">theta_call(E30,A30,1,B30,D30,C30)</f>
        <v>-2.6557160822422237</v>
      </c>
      <c r="P30" cm="1">
        <f t="array" ref="P30">theta_call(E30,A30,2,B30,D30,C30)</f>
        <v>-1.767016650851124</v>
      </c>
      <c r="Q30" cm="1">
        <f t="array" ref="Q30">theta_call(E30,A30,3,B30,D30,C30)</f>
        <v>-1.3100447225838479</v>
      </c>
      <c r="R30" cm="1">
        <f t="array" ref="R30">theta_call(E30,A30,4,B30,D30,C30)</f>
        <v>-1.0227231826526859</v>
      </c>
      <c r="S30" cm="1">
        <f t="array" ref="S30">theta_call(E30,A30,5,B30,D30,C30)</f>
        <v>-0.82207874995618802</v>
      </c>
    </row>
    <row r="31" spans="1:29" x14ac:dyDescent="0.3">
      <c r="A31">
        <v>100</v>
      </c>
      <c r="B31">
        <f t="shared" si="1"/>
        <v>0.01</v>
      </c>
      <c r="C31">
        <v>0.2</v>
      </c>
      <c r="D31">
        <v>2.5000000000000001E-2</v>
      </c>
      <c r="E31" s="5">
        <v>95</v>
      </c>
      <c r="F31" cm="1">
        <f t="array" ref="F31">theta_call(E31,A31,0.1,B31,D31,C31)</f>
        <v>-8.3530212581009984</v>
      </c>
      <c r="G31" cm="1">
        <f t="array" ref="G31">theta_call(E31,A31,0.2,B31,D31,C31)</f>
        <v>-6.7789755056876642</v>
      </c>
      <c r="H31" cm="1">
        <f t="array" ref="H31">theta_call(E31,A31,0.3,B31,D31,C31)</f>
        <v>-5.7154642054092584</v>
      </c>
      <c r="I31" cm="1">
        <f t="array" ref="I31">theta_call(E31,A31,0.4,B31,D31,C31)</f>
        <v>-4.9839065459642402</v>
      </c>
      <c r="J31" cm="1">
        <f t="array" ref="J31">theta_call(E31,A31,0.5,B31,D31,C31)</f>
        <v>-4.4460610312404514</v>
      </c>
      <c r="K31" cm="1">
        <f t="array" ref="K31">theta_call(E31,A31,0.6,B31,D31,C31)</f>
        <v>-4.0301690551539018</v>
      </c>
      <c r="L31" cm="1">
        <f t="array" ref="L31">theta_call(E31,A31,0.7,B31,D31,C31)</f>
        <v>-3.6963964515064953</v>
      </c>
      <c r="M31" cm="1">
        <f t="array" ref="M31">theta_call(E31,A31,0.8,B31,D31,C31)</f>
        <v>-3.4208926970390778</v>
      </c>
      <c r="N31" cm="1">
        <f t="array" ref="N31">theta_call(E31,A31,0.9,B31,D31,C31)</f>
        <v>-3.188457482455104</v>
      </c>
      <c r="O31" cm="1">
        <f t="array" ref="O31">theta_call(E31,A31,1,B31,D31,C31)</f>
        <v>-2.9889056248437376</v>
      </c>
      <c r="P31" cm="1">
        <f t="array" ref="P31">theta_call(E31,A31,2,B31,D31,C31)</f>
        <v>-1.8644763750075031</v>
      </c>
      <c r="Q31" cm="1">
        <f t="array" ref="Q31">theta_call(E31,A31,3,B31,D31,C31)</f>
        <v>-1.3449997257409476</v>
      </c>
      <c r="R31" cm="1">
        <f t="array" ref="R31">theta_call(E31,A31,4,B31,D31,C31)</f>
        <v>-1.0310623854024279</v>
      </c>
      <c r="S31" cm="1">
        <f t="array" ref="S31">theta_call(E31,A31,5,B31,D31,C31)</f>
        <v>-0.81648062741408345</v>
      </c>
    </row>
    <row r="32" spans="1:29" x14ac:dyDescent="0.3">
      <c r="A32">
        <v>100</v>
      </c>
      <c r="B32">
        <f t="shared" si="1"/>
        <v>0.01</v>
      </c>
      <c r="C32">
        <v>0.2</v>
      </c>
      <c r="D32">
        <v>2.5000000000000001E-2</v>
      </c>
      <c r="E32" s="5">
        <v>100</v>
      </c>
      <c r="F32" cm="1">
        <f t="array" ref="F32">theta_call(E32,A32,0.1,B32,D32,C32)</f>
        <v>-11.807437699732708</v>
      </c>
      <c r="G32" cm="1">
        <f t="array" ref="G32">theta_call(E32,A32,0.2,B32,D32,C32)</f>
        <v>-8.0904617593699832</v>
      </c>
      <c r="H32" cm="1">
        <f t="array" ref="H32">theta_call(E32,A32,0.3,B32,D32,C32)</f>
        <v>-6.4375477743734448</v>
      </c>
      <c r="I32" cm="1">
        <f t="array" ref="I32">theta_call(E32,A32,0.4,B32,D32,C32)</f>
        <v>-5.4488749981212088</v>
      </c>
      <c r="J32" cm="1">
        <f t="array" ref="J32">theta_call(E32,A32,0.5,B32,D32,C32)</f>
        <v>-4.7720758486119701</v>
      </c>
      <c r="K32" cm="1">
        <f t="array" ref="K32">theta_call(E32,A32,0.6,B32,D32,C32)</f>
        <v>-4.2710495948945528</v>
      </c>
      <c r="L32" cm="1">
        <f t="array" ref="L32">theta_call(E32,A32,0.7,B32,D32,C32)</f>
        <v>-3.8806155779750919</v>
      </c>
      <c r="M32" cm="1">
        <f t="array" ref="M32">theta_call(E32,A32,0.8,B32,D32,C32)</f>
        <v>-3.5651171246154454</v>
      </c>
      <c r="N32" cm="1">
        <f t="array" ref="N32">theta_call(E32,A32,0.9,B32,D32,C32)</f>
        <v>-3.3031837426842903</v>
      </c>
      <c r="O32" cm="1">
        <f t="array" ref="O32">theta_call(E32,A32,1,B32,D32,C32)</f>
        <v>-3.0811215646103087</v>
      </c>
      <c r="P32" cm="1">
        <f t="array" ref="P32">theta_call(E32,A32,2,B32,D32,C32)</f>
        <v>-1.869512014473476</v>
      </c>
      <c r="Q32" cm="1">
        <f t="array" ref="Q32">theta_call(E32,A32,3,B32,D32,C32)</f>
        <v>-1.3276345300255004</v>
      </c>
      <c r="R32" cm="1">
        <f t="array" ref="R32">theta_call(E32,A32,4,B32,D32,C32)</f>
        <v>-1.0044751668923566</v>
      </c>
      <c r="S32" cm="1">
        <f t="array" ref="S32">theta_call(E32,A32,5,B32,D32,C32)</f>
        <v>-0.78534224418074206</v>
      </c>
    </row>
    <row r="33" spans="1:29" x14ac:dyDescent="0.3">
      <c r="A33">
        <v>100</v>
      </c>
      <c r="B33">
        <f t="shared" si="1"/>
        <v>0.01</v>
      </c>
      <c r="C33">
        <v>0.2</v>
      </c>
      <c r="D33">
        <v>2.5000000000000001E-2</v>
      </c>
      <c r="E33" s="5">
        <v>105</v>
      </c>
      <c r="F33" cm="1">
        <f t="array" ref="F33">theta_call(E33,A33,0.1,B33,D33,C33)</f>
        <v>-8.4685327608596666</v>
      </c>
      <c r="G33" cm="1">
        <f t="array" ref="G33">theta_call(E33,A33,0.2,B33,D33,C33)</f>
        <v>-6.8060054885219694</v>
      </c>
      <c r="H33" cm="1">
        <f t="array" ref="H33">theta_call(E33,A33,0.3,B33,D33,C33)</f>
        <v>-5.7064482755580119</v>
      </c>
      <c r="I33" cm="1">
        <f t="array" ref="I33">theta_call(E33,A33,0.4,B33,D33,C33)</f>
        <v>-4.9554231632362766</v>
      </c>
      <c r="J33" cm="1">
        <f t="array" ref="J33">theta_call(E33,A33,0.5,B33,D33,C33)</f>
        <v>-4.405297844676582</v>
      </c>
      <c r="K33" cm="1">
        <f t="array" ref="K33">theta_call(E33,A33,0.6,B33,D33,C33)</f>
        <v>-3.9809011656154878</v>
      </c>
      <c r="L33" cm="1">
        <f t="array" ref="L33">theta_call(E33,A33,0.7,B33,D33,C33)</f>
        <v>-3.6408644469458338</v>
      </c>
      <c r="M33" cm="1">
        <f t="array" ref="M33">theta_call(E33,A33,0.8,B33,D33,C33)</f>
        <v>-3.3605431270953572</v>
      </c>
      <c r="N33" cm="1">
        <f t="array" ref="N33">theta_call(E33,A33,0.9,B33,D33,C33)</f>
        <v>-3.1242832586907099</v>
      </c>
      <c r="O33" cm="1">
        <f t="array" ref="O33">theta_call(E33,A33,1,B33,D33,C33)</f>
        <v>-2.92162073219809</v>
      </c>
      <c r="P33" cm="1">
        <f t="array" ref="P33">theta_call(E33,A33,2,B33,D33,C33)</f>
        <v>-1.7828733128896621</v>
      </c>
      <c r="Q33" cm="1">
        <f t="array" ref="Q33">theta_call(E33,A33,3,B33,D33,C33)</f>
        <v>-1.2592362718578589</v>
      </c>
      <c r="R33" cm="1">
        <f t="array" ref="R33">theta_call(E33,A33,4,B33,D33,C33)</f>
        <v>-0.94409612651508468</v>
      </c>
      <c r="S33" cm="1">
        <f t="array" ref="S33">theta_call(E33,A33,5,B33,D33,C33)</f>
        <v>-0.72960882148889317</v>
      </c>
    </row>
    <row r="34" spans="1:29" x14ac:dyDescent="0.3">
      <c r="A34">
        <v>100</v>
      </c>
      <c r="B34">
        <f t="shared" si="1"/>
        <v>0.01</v>
      </c>
      <c r="C34">
        <v>0.2</v>
      </c>
      <c r="D34">
        <v>2.5000000000000001E-2</v>
      </c>
      <c r="E34" s="5">
        <v>110</v>
      </c>
      <c r="F34" cm="1">
        <f t="array" ref="F34">theta_call(E34,A34,0.1,B34,D34,C34)</f>
        <v>-2.7567884672497782</v>
      </c>
      <c r="G34" cm="1">
        <f t="array" ref="G34">theta_call(E34,A34,0.2,B34,D34,C34)</f>
        <v>-3.9570837546758972</v>
      </c>
      <c r="H34" cm="1">
        <f t="array" ref="H34">theta_call(E34,A34,0.3,B34,D34,C34)</f>
        <v>-3.9490825082636527</v>
      </c>
      <c r="I34" cm="1">
        <f t="array" ref="I34">theta_call(E34,A34,0.4,B34,D34,C34)</f>
        <v>-3.7314056625720022</v>
      </c>
      <c r="J34" cm="1">
        <f t="array" ref="J34">theta_call(E34,A34,0.5,B34,D34,C34)</f>
        <v>-3.4861188177933116</v>
      </c>
      <c r="K34" cm="1">
        <f t="array" ref="K34">theta_call(E34,A34,0.6,B34,D34,C34)</f>
        <v>-3.2545702385291317</v>
      </c>
      <c r="L34" cm="1">
        <f t="array" ref="L34">theta_call(E34,A34,0.7,B34,D34,C34)</f>
        <v>-3.0454503847316809</v>
      </c>
      <c r="M34" cm="1">
        <f t="array" ref="M34">theta_call(E34,A34,0.8,B34,D34,C34)</f>
        <v>-2.8587258546656606</v>
      </c>
      <c r="N34" cm="1">
        <f t="array" ref="N34">theta_call(E34,A34,0.9,B34,D34,C34)</f>
        <v>-2.6920846019420681</v>
      </c>
      <c r="O34" cm="1">
        <f t="array" ref="O34">theta_call(E34,A34,1,B34,D34,C34)</f>
        <v>-2.5428503756033582</v>
      </c>
      <c r="P34" cm="1">
        <f t="array" ref="P34">theta_call(E34,A34,2,B34,D34,C34)</f>
        <v>-1.61281091826592</v>
      </c>
      <c r="Q34" cm="1">
        <f t="array" ref="Q34">theta_call(E34,A34,3,B34,D34,C34)</f>
        <v>-1.1437127050072762</v>
      </c>
      <c r="R34" cm="1">
        <f t="array" ref="R34">theta_call(E34,A34,4,B34,D34,C34)</f>
        <v>-0.85227999280703615</v>
      </c>
      <c r="S34" cm="1">
        <f t="array" ref="S34">theta_call(E34,A34,5,B34,D34,C34)</f>
        <v>-0.65088989416471432</v>
      </c>
    </row>
    <row r="35" spans="1:29" x14ac:dyDescent="0.3">
      <c r="A35">
        <v>100</v>
      </c>
      <c r="B35">
        <f t="shared" si="1"/>
        <v>0.01</v>
      </c>
      <c r="C35">
        <v>0.2</v>
      </c>
      <c r="D35">
        <v>2.5000000000000001E-2</v>
      </c>
      <c r="E35" s="5">
        <v>115</v>
      </c>
      <c r="F35" cm="1">
        <f t="array" ref="F35">theta_call(E35,A35,0.1,B35,D35,C35)</f>
        <v>0.60691942098975904</v>
      </c>
      <c r="G35" cm="1">
        <f t="array" ref="G35">theta_call(E35,A35,0.2,B35,D35,C35)</f>
        <v>-1.1963255101111434</v>
      </c>
      <c r="H35" cm="1">
        <f t="array" ref="H35">theta_call(E35,A35,0.3,B35,D35,C35)</f>
        <v>-1.9313738091132642</v>
      </c>
      <c r="I35" cm="1">
        <f t="array" ref="I35">theta_call(E35,A35,0.4,B35,D35,C35)</f>
        <v>-2.2029583282625476</v>
      </c>
      <c r="J35" cm="1">
        <f t="array" ref="J35">theta_call(E35,A35,0.5,B35,D35,C35)</f>
        <v>-2.2807969838872673</v>
      </c>
      <c r="K35" cm="1">
        <f t="array" ref="K35">theta_call(E35,A35,0.6,B35,D35,C35)</f>
        <v>-2.2721171606628854</v>
      </c>
      <c r="L35" cm="1">
        <f t="array" ref="L35">theta_call(E35,A35,0.7,B35,D35,C35)</f>
        <v>-2.2233027465320316</v>
      </c>
      <c r="M35" cm="1">
        <f t="array" ref="M35">theta_call(E35,A35,0.8,B35,D35,C35)</f>
        <v>-2.156051252175013</v>
      </c>
      <c r="N35" cm="1">
        <f t="array" ref="N35">theta_call(E35,A35,0.9,B35,D35,C35)</f>
        <v>-2.0811110750245878</v>
      </c>
      <c r="O35" cm="1">
        <f t="array" ref="O35">theta_call(E35,A35,1,B35,D35,C35)</f>
        <v>-2.0040055196362601</v>
      </c>
      <c r="P35" cm="1">
        <f t="array" ref="P35">theta_call(E35,A35,2,B35,D35,C35)</f>
        <v>-1.3725463724077049</v>
      </c>
      <c r="Q35" cm="1">
        <f t="array" ref="Q35">theta_call(E35,A35,3,B35,D35,C35)</f>
        <v>-0.98673770463694122</v>
      </c>
      <c r="R35" cm="1">
        <f t="array" ref="R35">theta_call(E35,A35,4,B35,D35,C35)</f>
        <v>-0.73220672268110487</v>
      </c>
      <c r="S35" cm="1">
        <f t="array" ref="S35">theta_call(E35,A35,5,B35,D35,C35)</f>
        <v>-0.5512432157782432</v>
      </c>
    </row>
    <row r="36" spans="1:29" x14ac:dyDescent="0.3">
      <c r="A36">
        <v>100</v>
      </c>
      <c r="B36">
        <f t="shared" si="1"/>
        <v>0.01</v>
      </c>
      <c r="C36">
        <v>0.2</v>
      </c>
      <c r="D36">
        <v>2.5000000000000001E-2</v>
      </c>
      <c r="E36" s="5">
        <v>120</v>
      </c>
      <c r="F36" cm="1">
        <f t="array" ref="F36">theta_call(E36,A36,0.1,B36,D36,C36)</f>
        <v>1.7566121570394078</v>
      </c>
      <c r="G36" cm="1">
        <f t="array" ref="G36">theta_call(E36,A36,0.2,B36,D36,C36)</f>
        <v>0.64399781377013987</v>
      </c>
      <c r="H36" cm="1">
        <f t="array" ref="H36">theta_call(E36,A36,0.3,B36,D36,C36)</f>
        <v>-0.22816981850972295</v>
      </c>
      <c r="I36" cm="1">
        <f t="array" ref="I36">theta_call(E36,A36,0.4,B36,D36,C36)</f>
        <v>-0.74923279719133218</v>
      </c>
      <c r="J36" cm="1">
        <f t="array" ref="J36">theta_call(E36,A36,0.5,B36,D36,C36)</f>
        <v>-1.04949876294961</v>
      </c>
      <c r="K36" cm="1">
        <f t="array" ref="K36">theta_call(E36,A36,0.6,B36,D36,C36)</f>
        <v>-1.2200437095512053</v>
      </c>
      <c r="L36" cm="1">
        <f t="array" ref="L36">theta_call(E36,A36,0.7,B36,D36,C36)</f>
        <v>-1.3132707843573481</v>
      </c>
      <c r="M36" cm="1">
        <f t="array" ref="M36">theta_call(E36,A36,0.8,B36,D36,C36)</f>
        <v>-1.3591921222733974</v>
      </c>
      <c r="N36" cm="1">
        <f t="array" ref="N36">theta_call(E36,A36,0.9,B36,D36,C36)</f>
        <v>-1.375478941923836</v>
      </c>
      <c r="O36" cm="1">
        <f t="array" ref="O36">theta_call(E36,A36,1,B36,D36,C36)</f>
        <v>-1.3728755971358768</v>
      </c>
      <c r="P36" cm="1">
        <f t="array" ref="P36">theta_call(E36,A36,2,B36,D36,C36)</f>
        <v>-1.0777953042115684</v>
      </c>
      <c r="Q36" cm="1">
        <f t="array" ref="Q36">theta_call(E36,A36,3,B36,D36,C36)</f>
        <v>-0.79496851960790504</v>
      </c>
      <c r="R36" cm="1">
        <f t="array" ref="R36">theta_call(E36,A36,4,B36,D36,C36)</f>
        <v>-0.58753439595791024</v>
      </c>
      <c r="S36" cm="1">
        <f t="array" ref="S36">theta_call(E36,A36,5,B36,D36,C36)</f>
        <v>-0.43299012315580798</v>
      </c>
    </row>
    <row r="37" spans="1:29" x14ac:dyDescent="0.3">
      <c r="A37">
        <v>100</v>
      </c>
      <c r="B37">
        <f t="shared" si="1"/>
        <v>0.01</v>
      </c>
      <c r="C37">
        <v>0.2</v>
      </c>
      <c r="D37">
        <v>2.5000000000000001E-2</v>
      </c>
      <c r="E37" s="5">
        <v>125</v>
      </c>
      <c r="F37" cm="1">
        <f t="array" ref="F37">theta_call(E37,A37,0.1,B37,D37,C37)</f>
        <v>2.085517491601844</v>
      </c>
      <c r="G37" cm="1">
        <f t="array" ref="G37">theta_call(E37,A37,0.2,B37,D37,C37)</f>
        <v>1.6160582403138728</v>
      </c>
      <c r="H37" cm="1">
        <f t="array" ref="H37">theta_call(E37,A37,0.3,B37,D37,C37)</f>
        <v>0.95874977023843222</v>
      </c>
      <c r="I37" cm="1">
        <f t="array" ref="I37">theta_call(E37,A37,0.4,B37,D37,C37)</f>
        <v>0.42164593749178714</v>
      </c>
      <c r="J37" cm="1">
        <f t="array" ref="J37">theta_call(E37,A37,0.5,B37,D37,C37)</f>
        <v>3.3527844325944578E-2</v>
      </c>
      <c r="K37" cm="1">
        <f t="array" ref="K37">theta_call(E37,A37,0.6,B37,D37,C37)</f>
        <v>-0.2385239313285723</v>
      </c>
      <c r="L37" cm="1">
        <f t="array" ref="L37">theta_call(E37,A37,0.7,B37,D37,C37)</f>
        <v>-0.4278988728058164</v>
      </c>
      <c r="M37" cm="1">
        <f t="array" ref="M37">theta_call(E37,A37,0.8,B37,D37,C37)</f>
        <v>-0.55933601134627553</v>
      </c>
      <c r="N37" cm="1">
        <f t="array" ref="N37">theta_call(E37,A37,0.9,B37,D37,C37)</f>
        <v>-0.64997816890945082</v>
      </c>
      <c r="O37" cm="1">
        <f t="array" ref="O37">theta_call(E37,A37,1,B37,D37,C37)</f>
        <v>-0.71157627456190697</v>
      </c>
      <c r="P37" cm="1">
        <f t="array" ref="P37">theta_call(E37,A37,2,B37,D37,C37)</f>
        <v>-0.74470228756789725</v>
      </c>
      <c r="Q37" cm="1">
        <f t="array" ref="Q37">theta_call(E37,A37,3,B37,D37,C37)</f>
        <v>-0.57539625133502614</v>
      </c>
      <c r="R37" cm="1">
        <f t="array" ref="R37">theta_call(E37,A37,4,B37,D37,C37)</f>
        <v>-0.42211442416761757</v>
      </c>
      <c r="S37" cm="1">
        <f t="array" ref="S37">theta_call(E37,A37,5,B37,D37,C37)</f>
        <v>-0.29856571979518076</v>
      </c>
    </row>
    <row r="38" spans="1:29" x14ac:dyDescent="0.3">
      <c r="A38">
        <v>100</v>
      </c>
      <c r="B38">
        <f t="shared" si="1"/>
        <v>0.01</v>
      </c>
      <c r="C38">
        <v>0.2</v>
      </c>
      <c r="D38">
        <v>2.5000000000000001E-2</v>
      </c>
      <c r="E38" s="5">
        <v>130</v>
      </c>
      <c r="F38" cm="1">
        <f t="array" ref="F38">theta_call(E38,A38,0.1,B38,D38,C38)</f>
        <v>2.2379516482847142</v>
      </c>
      <c r="G38" cm="1">
        <f t="array" ref="G38">theta_call(E38,A38,0.2,B38,D38,C38)</f>
        <v>2.0775389072729178</v>
      </c>
      <c r="H38" cm="1">
        <f t="array" ref="H38">theta_call(E38,A38,0.3,B38,D38,C38)</f>
        <v>1.6910887403282144</v>
      </c>
      <c r="I38" cm="1">
        <f t="array" ref="I38">theta_call(E38,A38,0.4,B38,D38,C38)</f>
        <v>1.2655728624733977</v>
      </c>
      <c r="J38" cm="1">
        <f t="array" ref="J38">theta_call(E38,A38,0.5,B38,D38,C38)</f>
        <v>0.89457994342008362</v>
      </c>
      <c r="K38" cm="1">
        <f t="array" ref="K38">theta_call(E38,A38,0.6,B38,D38,C38)</f>
        <v>0.59572219526531667</v>
      </c>
      <c r="L38" cm="1">
        <f t="array" ref="L38">theta_call(E38,A38,0.7,B38,D38,C38)</f>
        <v>0.36174530948772565</v>
      </c>
      <c r="M38" cm="1">
        <f t="array" ref="M38">theta_call(E38,A38,0.8,B38,D38,C38)</f>
        <v>0.18034568140486851</v>
      </c>
      <c r="N38" cm="1">
        <f t="array" ref="N38">theta_call(E38,A38,0.9,B38,D38,C38)</f>
        <v>4.0079981016504007E-2</v>
      </c>
      <c r="O38" cm="1">
        <f t="array" ref="O38">theta_call(E38,A38,1,B38,D38,C38)</f>
        <v>-6.8337664445337953E-2</v>
      </c>
      <c r="P38" cm="1">
        <f t="array" ref="P38">theta_call(E38,A38,2,B38,D38,C38)</f>
        <v>-0.38833931363663821</v>
      </c>
      <c r="Q38" cm="1">
        <f t="array" ref="Q38">theta_call(E38,A38,3,B38,D38,C38)</f>
        <v>-0.33485159984946655</v>
      </c>
      <c r="R38" cm="1">
        <f t="array" ref="R38">theta_call(E38,A38,4,B38,D38,C38)</f>
        <v>-0.23977198798372568</v>
      </c>
      <c r="S38" cm="1">
        <f t="array" ref="S38">theta_call(E38,A38,5,B38,D38,C38)</f>
        <v>-0.1504030165367638</v>
      </c>
    </row>
    <row r="39" spans="1:29" x14ac:dyDescent="0.3">
      <c r="A39">
        <v>100</v>
      </c>
      <c r="B39">
        <f t="shared" si="1"/>
        <v>0.01</v>
      </c>
      <c r="C39">
        <v>0.2</v>
      </c>
      <c r="D39">
        <v>2.5000000000000001E-2</v>
      </c>
      <c r="E39" s="5">
        <v>135</v>
      </c>
      <c r="F39" cm="1">
        <f t="array" ref="F39">theta_call(E39,A39,0.1,B39,D39,C39)</f>
        <v>2.3653593629350516</v>
      </c>
      <c r="G39" cm="1">
        <f t="array" ref="G39">theta_call(E39,A39,0.2,B39,D39,C39)</f>
        <v>2.3139523358383043</v>
      </c>
      <c r="H39" cm="1">
        <f t="array" ref="H39">theta_call(E39,A39,0.3,B39,D39,C39)</f>
        <v>2.1205353822270685</v>
      </c>
      <c r="I39" cm="1">
        <f t="array" ref="I39">theta_call(E39,A39,0.4,B39,D39,C39)</f>
        <v>1.8343816935399522</v>
      </c>
      <c r="J39" cm="1">
        <f t="array" ref="J39">theta_call(E39,A39,0.5,B39,D39,C39)</f>
        <v>1.5347614209911915</v>
      </c>
      <c r="K39" cm="1">
        <f t="array" ref="K39">theta_call(E39,A39,0.6,B39,D39,C39)</f>
        <v>1.260757921910008</v>
      </c>
      <c r="L39" cm="1">
        <f t="array" ref="L39">theta_call(E39,A39,0.7,B39,D39,C39)</f>
        <v>1.0244211420023746</v>
      </c>
      <c r="M39" cm="1">
        <f t="array" ref="M39">theta_call(E39,A39,0.8,B39,D39,C39)</f>
        <v>0.82591212873175746</v>
      </c>
      <c r="N39" cm="1">
        <f t="array" ref="N39">theta_call(E39,A39,0.9,B39,D39,C39)</f>
        <v>0.66115647011290246</v>
      </c>
      <c r="O39" cm="1">
        <f t="array" ref="O39">theta_call(E39,A39,1,B39,D39,C39)</f>
        <v>0.52508678992390845</v>
      </c>
      <c r="P39" cm="1">
        <f t="array" ref="P39">theta_call(E39,A39,2,B39,D39,C39)</f>
        <v>-2.1771841953947657E-2</v>
      </c>
      <c r="Q39" cm="1">
        <f t="array" ref="Q39">theta_call(E39,A39,3,B39,D39,C39)</f>
        <v>-7.966175372686779E-2</v>
      </c>
      <c r="R39" cm="1">
        <f t="array" ref="R39">theta_call(E39,A39,4,B39,D39,C39)</f>
        <v>-4.4147447309172083E-2</v>
      </c>
      <c r="S39" cm="1">
        <f t="array" ref="S39">theta_call(E39,A39,5,B39,D39,C39)</f>
        <v>9.1522426829535597E-3</v>
      </c>
    </row>
    <row r="40" spans="1:29" x14ac:dyDescent="0.3">
      <c r="A40">
        <v>100</v>
      </c>
      <c r="B40">
        <f t="shared" si="1"/>
        <v>0.01</v>
      </c>
      <c r="C40">
        <v>0.2</v>
      </c>
      <c r="D40">
        <v>2.5000000000000001E-2</v>
      </c>
      <c r="E40" s="5">
        <v>140</v>
      </c>
      <c r="F40" cm="1">
        <f t="array" ref="F40">theta_call(E40,A40,0.1,B40,D40,C40)</f>
        <v>2.4902482561931376</v>
      </c>
      <c r="G40" cm="1">
        <f t="array" ref="G40">theta_call(E40,A40,0.2,B40,D40,C40)</f>
        <v>2.4703054491502359</v>
      </c>
      <c r="H40" cm="1">
        <f t="array" ref="H40">theta_call(E40,A40,0.3,B40,D40,C40)</f>
        <v>2.3820318219882957</v>
      </c>
      <c r="I40" cm="1">
        <f t="array" ref="I40">theta_call(E40,A40,0.4,B40,D40,C40)</f>
        <v>2.2099760272392395</v>
      </c>
      <c r="J40" cm="1">
        <f t="array" ref="J40">theta_call(E40,A40,0.5,B40,D40,C40)</f>
        <v>1.9938921633345763</v>
      </c>
      <c r="K40" cm="1">
        <f t="array" ref="K40">theta_call(E40,A40,0.6,B40,D40,C40)</f>
        <v>1.7700188459220403</v>
      </c>
      <c r="L40" cm="1">
        <f t="array" ref="L40">theta_call(E40,A40,0.7,B40,D40,C40)</f>
        <v>1.5582983956792982</v>
      </c>
      <c r="M40" cm="1">
        <f t="array" ref="M40">theta_call(E40,A40,0.8,B40,D40,C40)</f>
        <v>1.3671224667803346</v>
      </c>
      <c r="N40" cm="1">
        <f t="array" ref="N40">theta_call(E40,A40,0.9,B40,D40,C40)</f>
        <v>1.198653070158489</v>
      </c>
      <c r="O40" cm="1">
        <f t="array" ref="O40">theta_call(E40,A40,1,B40,D40,C40)</f>
        <v>1.0521024906265373</v>
      </c>
      <c r="P40" cm="1">
        <f t="array" ref="P40">theta_call(E40,A40,2,B40,D40,C40)</f>
        <v>0.34438966089273393</v>
      </c>
      <c r="Q40" cm="1">
        <f t="array" ref="Q40">theta_call(E40,A40,3,B40,D40,C40)</f>
        <v>0.18456057677441251</v>
      </c>
      <c r="R40" cm="1">
        <f t="array" ref="R40">theta_call(E40,A40,4,B40,D40,C40)</f>
        <v>0.16140934508908522</v>
      </c>
      <c r="S40" cm="1">
        <f t="array" ref="S40">theta_call(E40,A40,5,B40,D40,C40)</f>
        <v>0.17790048243159307</v>
      </c>
    </row>
    <row r="42" spans="1:29" x14ac:dyDescent="0.3">
      <c r="A42" s="2" t="s">
        <v>29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3">
      <c r="A43" t="s">
        <v>13</v>
      </c>
      <c r="B43" t="s">
        <v>14</v>
      </c>
      <c r="C43" t="s">
        <v>15</v>
      </c>
      <c r="D43" t="s">
        <v>26</v>
      </c>
      <c r="F43" s="7">
        <v>0.1</v>
      </c>
      <c r="G43" s="7">
        <v>0.2</v>
      </c>
      <c r="H43" s="7">
        <v>0.3</v>
      </c>
      <c r="I43" s="7">
        <v>0.4</v>
      </c>
      <c r="J43" s="7">
        <v>0.5</v>
      </c>
      <c r="K43" s="7">
        <v>0.6</v>
      </c>
      <c r="L43" s="7">
        <v>0.7</v>
      </c>
      <c r="M43" s="7">
        <v>0.8</v>
      </c>
      <c r="N43" s="7">
        <v>0.9</v>
      </c>
      <c r="O43" s="7">
        <v>1</v>
      </c>
      <c r="P43" s="7">
        <v>2</v>
      </c>
      <c r="Q43" s="7">
        <v>3</v>
      </c>
      <c r="R43" s="7">
        <v>4</v>
      </c>
      <c r="S43" s="7">
        <v>5</v>
      </c>
    </row>
    <row r="44" spans="1:29" x14ac:dyDescent="0.3">
      <c r="A44">
        <v>100</v>
      </c>
      <c r="B44">
        <f>1/100</f>
        <v>0.01</v>
      </c>
      <c r="C44">
        <v>0.2</v>
      </c>
      <c r="D44">
        <v>2.5000000000000001E-2</v>
      </c>
      <c r="E44" s="5">
        <v>60</v>
      </c>
      <c r="F44" cm="1">
        <f t="array" ref="F44">gamma_new(E44,A44,0.1,B44,D44,C44)</f>
        <v>7.6314553483584653E-16</v>
      </c>
      <c r="G44" cm="1">
        <f t="array" ref="G44">gamma_new(E44,A44,0.2,B44,D44,C44)</f>
        <v>6.5143288857852331E-9</v>
      </c>
      <c r="H44" cm="1">
        <f t="array" ref="H44">gamma_new(E44,A44,0.3,B44,D44,C44)</f>
        <v>1.218101888119573E-6</v>
      </c>
      <c r="I44" cm="1">
        <f t="array" ref="I44">gamma_new(E44,A44,0.4,B44,D44,C44)</f>
        <v>1.5943893203007467E-5</v>
      </c>
      <c r="J44" cm="1">
        <f t="array" ref="J44">gamma_new(E44,A44,0.5,B44,D44,C44)</f>
        <v>7.2665409304666437E-5</v>
      </c>
      <c r="K44" cm="1">
        <f t="array" ref="K44">gamma_new(E44,A44,0.6,B44,D44,C44)</f>
        <v>1.9625899375442729E-4</v>
      </c>
      <c r="L44" cm="1">
        <f t="array" ref="L44">gamma_new(E44,A44,0.7,B44,D44,C44)</f>
        <v>3.9403672798876335E-4</v>
      </c>
      <c r="M44" cm="1">
        <f t="array" ref="M44">gamma_new(E44,A44,0.8,B44,D44,C44)</f>
        <v>6.5826581504077879E-4</v>
      </c>
      <c r="N44" cm="1">
        <f t="array" ref="N44">gamma_new(E44,A44,0.9,B44,D44,C44)</f>
        <v>9.7380568497603228E-4</v>
      </c>
      <c r="O44" cm="1">
        <f t="array" ref="O44">gamma_new(E44,A44,1,B44,D44,C44)</f>
        <v>1.3240107479399613E-3</v>
      </c>
      <c r="P44" cm="1">
        <f t="array" ref="P44">gamma_new(E44,A44,2,B44,D44,C44)</f>
        <v>4.6630609877972668E-3</v>
      </c>
      <c r="Q44" cm="1">
        <f t="array" ref="Q44">gamma_new(E44,A44,3,B44,D44,C44)</f>
        <v>6.3933469678089131E-3</v>
      </c>
      <c r="R44" cm="1">
        <f t="array" ref="R44">gamma_new(E44,A44,4,B44,D44,C44)</f>
        <v>7.0845744829521025E-3</v>
      </c>
      <c r="S44" cm="1">
        <f t="array" ref="S44">gamma_new(E44,A44,5,B44,D44,C44)</f>
        <v>7.2726795356320732E-3</v>
      </c>
    </row>
    <row r="45" spans="1:29" x14ac:dyDescent="0.3">
      <c r="A45">
        <v>100</v>
      </c>
      <c r="B45">
        <f t="shared" ref="B45:B60" si="2">1/100</f>
        <v>0.01</v>
      </c>
      <c r="C45">
        <v>0.2</v>
      </c>
      <c r="D45">
        <v>2.5000000000000001E-2</v>
      </c>
      <c r="E45" s="5">
        <v>65</v>
      </c>
      <c r="F45" cm="1">
        <f t="array" ref="F45">gamma_new(E45,A45,0.1,B45,D45,C45)</f>
        <v>8.6106713322995463E-12</v>
      </c>
      <c r="G45" cm="1">
        <f t="array" ref="G45">gamma_new(E45,A45,0.2,B45,D45,C45)</f>
        <v>6.6150147755047242E-7</v>
      </c>
      <c r="H45" cm="1">
        <f t="array" ref="H45">gamma_new(E45,A45,0.3,B45,D45,C45)</f>
        <v>2.5728941432944336E-5</v>
      </c>
      <c r="I45" cm="1">
        <f t="array" ref="I45">gamma_new(E45,A45,0.4,B45,D45,C45)</f>
        <v>1.5359294256825831E-4</v>
      </c>
      <c r="J45" cm="1">
        <f t="array" ref="J45">gamma_new(E45,A45,0.5,B45,D45,C45)</f>
        <v>4.3704661162354713E-4</v>
      </c>
      <c r="K45" cm="1">
        <f t="array" ref="K45">gamma_new(E45,A45,0.6,B45,D45,C45)</f>
        <v>8.6227348967900816E-4</v>
      </c>
      <c r="L45" cm="1">
        <f t="array" ref="L45">gamma_new(E45,A45,0.7,B45,D45,C45)</f>
        <v>1.3833581159555218E-3</v>
      </c>
      <c r="M45" cm="1">
        <f t="array" ref="M45">gamma_new(E45,A45,0.8,B45,D45,C45)</f>
        <v>1.9531520745762949E-3</v>
      </c>
      <c r="N45" cm="1">
        <f t="array" ref="N45">gamma_new(E45,A45,0.9,B45,D45,C45)</f>
        <v>2.5350128194934615E-3</v>
      </c>
      <c r="O45" cm="1">
        <f t="array" ref="O45">gamma_new(E45,A45,1,B45,D45,C45)</f>
        <v>3.1041152863849042E-3</v>
      </c>
      <c r="P45" cm="1">
        <f t="array" ref="P45">gamma_new(E45,A45,2,B45,D45,C45)</f>
        <v>6.8255959610931905E-3</v>
      </c>
      <c r="Q45" cm="1">
        <f t="array" ref="Q45">gamma_new(E45,A45,3,B45,D45,C45)</f>
        <v>7.998443326076559E-3</v>
      </c>
      <c r="R45" cm="1">
        <f t="array" ref="R45">gamma_new(E45,A45,4,B45,D45,C45)</f>
        <v>8.1939786190292751E-3</v>
      </c>
      <c r="S45" cm="1">
        <f t="array" ref="S45">gamma_new(E45,A45,5,B45,D45,C45)</f>
        <v>8.0244970537136015E-3</v>
      </c>
    </row>
    <row r="46" spans="1:29" x14ac:dyDescent="0.3">
      <c r="A46">
        <v>100</v>
      </c>
      <c r="B46">
        <f t="shared" si="2"/>
        <v>0.01</v>
      </c>
      <c r="C46">
        <v>0.2</v>
      </c>
      <c r="D46">
        <v>2.5000000000000001E-2</v>
      </c>
      <c r="E46" s="5">
        <v>70</v>
      </c>
      <c r="F46" cm="1">
        <f t="array" ref="F46">gamma_new(E46,A46,0.1,B46,D46,C46)</f>
        <v>1.1663784324571543E-8</v>
      </c>
      <c r="G46" cm="1">
        <f t="array" ref="G46">gamma_new(E46,A46,0.2,B46,D46,C46)</f>
        <v>2.3352219712897923E-5</v>
      </c>
      <c r="H46" cm="1">
        <f t="array" ref="H46">gamma_new(E46,A46,0.3,B46,D46,C46)</f>
        <v>2.6928834784163599E-4</v>
      </c>
      <c r="I46" cm="1">
        <f t="array" ref="I46">gamma_new(E46,A46,0.4,B46,D46,C46)</f>
        <v>8.7531838655436776E-4</v>
      </c>
      <c r="J46" cm="1">
        <f t="array" ref="J46">gamma_new(E46,A46,0.5,B46,D46,C46)</f>
        <v>1.7295058529785917E-3</v>
      </c>
      <c r="K46" cm="1">
        <f t="array" ref="K46">gamma_new(E46,A46,0.6,B46,D46,C46)</f>
        <v>2.6757095664759478E-3</v>
      </c>
      <c r="L46" cm="1">
        <f t="array" ref="L46">gamma_new(E46,A46,0.7,B46,D46,C46)</f>
        <v>3.6082759572234591E-3</v>
      </c>
      <c r="M46" cm="1">
        <f t="array" ref="M46">gamma_new(E46,A46,0.8,B46,D46,C46)</f>
        <v>4.4722860144852392E-3</v>
      </c>
      <c r="N46" cm="1">
        <f t="array" ref="N46">gamma_new(E46,A46,0.9,B46,D46,C46)</f>
        <v>5.2453386030723945E-3</v>
      </c>
      <c r="O46" cm="1">
        <f t="array" ref="O46">gamma_new(E46,A46,1,B46,D46,C46)</f>
        <v>5.9228549560261731E-3</v>
      </c>
      <c r="P46" cm="1">
        <f t="array" ref="P46">gamma_new(E46,A46,2,B46,D46,C46)</f>
        <v>9.0434328843526784E-3</v>
      </c>
      <c r="Q46" cm="1">
        <f t="array" ref="Q46">gamma_new(E46,A46,3,B46,D46,C46)</f>
        <v>9.384217054388716E-3</v>
      </c>
      <c r="R46" cm="1">
        <f t="array" ref="R46">gamma_new(E46,A46,4,B46,D46,C46)</f>
        <v>9.0466401056985002E-3</v>
      </c>
      <c r="S46" cm="1">
        <f t="array" ref="S46">gamma_new(E46,A46,5,B46,D46,C46)</f>
        <v>8.5422102761671496E-3</v>
      </c>
    </row>
    <row r="47" spans="1:29" x14ac:dyDescent="0.3">
      <c r="A47">
        <v>100</v>
      </c>
      <c r="B47">
        <f t="shared" si="2"/>
        <v>0.01</v>
      </c>
      <c r="C47">
        <v>0.2</v>
      </c>
      <c r="D47">
        <v>2.5000000000000001E-2</v>
      </c>
      <c r="E47" s="5">
        <v>75</v>
      </c>
      <c r="F47" cm="1">
        <f t="array" ref="F47">gamma_new(E47,A47,0.1,B47,D47,C47)</f>
        <v>2.7958090497034203E-6</v>
      </c>
      <c r="G47" cm="1">
        <f t="array" ref="G47">gamma_new(E47,A47,0.2,B47,D47,C47)</f>
        <v>3.4778261439120456E-4</v>
      </c>
      <c r="H47" cm="1">
        <f t="array" ref="H47">gamma_new(E47,A47,0.3,B47,D47,C47)</f>
        <v>1.5884290444720562E-3</v>
      </c>
      <c r="I47" cm="1">
        <f t="array" ref="I47">gamma_new(E47,A47,0.4,B47,D47,C47)</f>
        <v>3.2493881167646346E-3</v>
      </c>
      <c r="J47" cm="1">
        <f t="array" ref="J47">gamma_new(E47,A47,0.5,B47,D47,C47)</f>
        <v>4.8628261135901319E-3</v>
      </c>
      <c r="K47" cm="1">
        <f t="array" ref="K47">gamma_new(E47,A47,0.6,B47,D47,C47)</f>
        <v>6.251148084528175E-3</v>
      </c>
      <c r="L47" cm="1">
        <f t="array" ref="L47">gamma_new(E47,A47,0.7,B47,D47,C47)</f>
        <v>7.3851481411626469E-3</v>
      </c>
      <c r="M47" cm="1">
        <f t="array" ref="M47">gamma_new(E47,A47,0.8,B47,D47,C47)</f>
        <v>8.2888260436561317E-3</v>
      </c>
      <c r="N47" cm="1">
        <f t="array" ref="N47">gamma_new(E47,A47,0.9,B47,D47,C47)</f>
        <v>8.9994892712426944E-3</v>
      </c>
      <c r="O47" cm="1">
        <f t="array" ref="O47">gamma_new(E47,A47,1,B47,D47,C47)</f>
        <v>9.5534478295053512E-3</v>
      </c>
      <c r="P47" cm="1">
        <f t="array" ref="P47">gamma_new(E47,A47,2,B47,D47,C47)</f>
        <v>1.1048250845271654E-2</v>
      </c>
      <c r="Q47" cm="1">
        <f t="array" ref="Q47">gamma_new(E47,A47,3,B47,D47,C47)</f>
        <v>1.0450457573138144E-2</v>
      </c>
      <c r="R47" cm="1">
        <f t="array" ref="R47">gamma_new(E47,A47,4,B47,D47,C47)</f>
        <v>9.6186274414096981E-3</v>
      </c>
      <c r="S47" cm="1">
        <f t="array" ref="S47">gamma_new(E47,A47,5,B47,D47,C47)</f>
        <v>8.8334257849433436E-3</v>
      </c>
    </row>
    <row r="48" spans="1:29" x14ac:dyDescent="0.3">
      <c r="A48">
        <v>100</v>
      </c>
      <c r="B48">
        <f t="shared" si="2"/>
        <v>0.01</v>
      </c>
      <c r="C48">
        <v>0.2</v>
      </c>
      <c r="D48">
        <v>2.5000000000000001E-2</v>
      </c>
      <c r="E48" s="5">
        <v>80</v>
      </c>
      <c r="F48" cm="1">
        <f t="array" ref="F48">gamma_new(E48,A48,0.1,B48,D48,C48)</f>
        <v>1.6021344881896632E-4</v>
      </c>
      <c r="G48" cm="1">
        <f t="array" ref="G48">gamma_new(E48,A48,0.2,B48,D48,C48)</f>
        <v>2.5388523363756156E-3</v>
      </c>
      <c r="H48" cm="1">
        <f t="array" ref="H48">gamma_new(E48,A48,0.3,B48,D48,C48)</f>
        <v>5.8345867021174953E-3</v>
      </c>
      <c r="I48" cm="1">
        <f t="array" ref="I48">gamma_new(E48,A48,0.4,B48,D48,C48)</f>
        <v>8.4664279745705253E-3</v>
      </c>
      <c r="J48" cm="1">
        <f t="array" ref="J48">gamma_new(E48,A48,0.5,B48,D48,C48)</f>
        <v>1.0311009371344189E-2</v>
      </c>
      <c r="K48" cm="1">
        <f t="array" ref="K48">gamma_new(E48,A48,0.6,B48,D48,C48)</f>
        <v>1.1553531938099583E-2</v>
      </c>
      <c r="L48" cm="1">
        <f t="array" ref="L48">gamma_new(E48,A48,0.7,B48,D48,C48)</f>
        <v>1.2373760980022429E-2</v>
      </c>
      <c r="M48" cm="1">
        <f t="array" ref="M48">gamma_new(E48,A48,0.8,B48,D48,C48)</f>
        <v>1.2902568794550415E-2</v>
      </c>
      <c r="N48" cm="1">
        <f t="array" ref="N48">gamma_new(E48,A48,0.9,B48,D48,C48)</f>
        <v>1.3229509635825013E-2</v>
      </c>
      <c r="O48" cm="1">
        <f t="array" ref="O48">gamma_new(E48,A48,1,B48,D48,C48)</f>
        <v>1.3415294159435653E-2</v>
      </c>
      <c r="P48" cm="1">
        <f t="array" ref="P48">gamma_new(E48,A48,2,B48,D48,C48)</f>
        <v>1.2625465541931447E-2</v>
      </c>
      <c r="Q48" cm="1">
        <f t="array" ref="Q48">gamma_new(E48,A48,3,B48,D48,C48)</f>
        <v>1.1149629898511088E-2</v>
      </c>
      <c r="R48" cm="1">
        <f t="array" ref="R48">gamma_new(E48,A48,4,B48,D48,C48)</f>
        <v>9.9157115346477642E-3</v>
      </c>
      <c r="S48" cm="1">
        <f t="array" ref="S48">gamma_new(E48,A48,5,B48,D48,C48)</f>
        <v>8.9205437209896217E-3</v>
      </c>
    </row>
    <row r="49" spans="1:29" x14ac:dyDescent="0.3">
      <c r="A49">
        <v>100</v>
      </c>
      <c r="B49">
        <f t="shared" si="2"/>
        <v>0.01</v>
      </c>
      <c r="C49">
        <v>0.2</v>
      </c>
      <c r="D49">
        <v>2.5000000000000001E-2</v>
      </c>
      <c r="E49" s="5">
        <v>85</v>
      </c>
      <c r="F49" cm="1">
        <f t="array" ref="F49">gamma_new(E49,A49,0.1,B49,D49,C49)</f>
        <v>2.7818864000905509E-3</v>
      </c>
      <c r="G49" cm="1">
        <f t="array" ref="G49">gamma_new(E49,A49,0.2,B49,D49,C49)</f>
        <v>1.0224630571061216E-2</v>
      </c>
      <c r="H49" cm="1">
        <f t="array" ref="H49">gamma_new(E49,A49,0.3,B49,D49,C49)</f>
        <v>1.4436997053088291E-2</v>
      </c>
      <c r="I49" cm="1">
        <f t="array" ref="I49">gamma_new(E49,A49,0.4,B49,D49,C49)</f>
        <v>1.6420836676337418E-2</v>
      </c>
      <c r="J49" cm="1">
        <f t="array" ref="J49">gamma_new(E49,A49,0.5,B49,D49,C49)</f>
        <v>1.7279581547142906E-2</v>
      </c>
      <c r="K49" cm="1">
        <f t="array" ref="K49">gamma_new(E49,A49,0.6,B49,D49,C49)</f>
        <v>1.7564594425331741E-2</v>
      </c>
      <c r="L49" cm="1">
        <f t="array" ref="L49">gamma_new(E49,A49,0.7,B49,D49,C49)</f>
        <v>1.7547069329848078E-2</v>
      </c>
      <c r="M49" cm="1">
        <f t="array" ref="M49">gamma_new(E49,A49,0.8,B49,D49,C49)</f>
        <v>1.7366555438205492E-2</v>
      </c>
      <c r="N49" cm="1">
        <f t="array" ref="N49">gamma_new(E49,A49,0.9,B49,D49,C49)</f>
        <v>1.7098288194086458E-2</v>
      </c>
      <c r="O49" cm="1">
        <f t="array" ref="O49">gamma_new(E49,A49,1,B49,D49,C49)</f>
        <v>1.6784414329747446E-2</v>
      </c>
      <c r="P49" cm="1">
        <f t="array" ref="P49">gamma_new(E49,A49,2,B49,D49,C49)</f>
        <v>1.3648671110459356E-2</v>
      </c>
      <c r="Q49" cm="1">
        <f t="array" ref="Q49">gamma_new(E49,A49,3,B49,D49,C49)</f>
        <v>1.1480190062483351E-2</v>
      </c>
      <c r="R49" cm="1">
        <f t="array" ref="R49">gamma_new(E49,A49,4,B49,D49,C49)</f>
        <v>9.9640371887827744E-3</v>
      </c>
      <c r="S49" cm="1">
        <f t="array" ref="S49">gamma_new(E49,A49,5,B49,D49,C49)</f>
        <v>8.8339813815194596E-3</v>
      </c>
    </row>
    <row r="50" spans="1:29" x14ac:dyDescent="0.3">
      <c r="A50">
        <v>100</v>
      </c>
      <c r="B50">
        <f t="shared" si="2"/>
        <v>0.01</v>
      </c>
      <c r="C50">
        <v>0.2</v>
      </c>
      <c r="D50">
        <v>2.5000000000000001E-2</v>
      </c>
      <c r="E50" s="5">
        <v>90</v>
      </c>
      <c r="F50" cm="1">
        <f t="array" ref="F50">gamma_new(E50,A50,0.1,B50,D50,C50)</f>
        <v>1.768596816914832E-2</v>
      </c>
      <c r="G50" cm="1">
        <f t="array" ref="G50">gamma_new(E50,A50,0.2,B50,D50,C50)</f>
        <v>2.4964857035161672E-2</v>
      </c>
      <c r="H50" cm="1">
        <f t="array" ref="H50">gamma_new(E50,A50,0.3,B50,D50,C50)</f>
        <v>2.5622548818368261E-2</v>
      </c>
      <c r="I50" cm="1">
        <f t="array" ref="I50">gamma_new(E50,A50,0.4,B50,D50,C50)</f>
        <v>2.4846930472022244E-2</v>
      </c>
      <c r="J50" cm="1">
        <f t="array" ref="J50">gamma_new(E50,A50,0.5,B50,D50,C50)</f>
        <v>2.376018869392511E-2</v>
      </c>
      <c r="K50" cm="1">
        <f t="array" ref="K50">gamma_new(E50,A50,0.6,B50,D50,C50)</f>
        <v>2.265935748205089E-2</v>
      </c>
      <c r="L50" cm="1">
        <f t="array" ref="L50">gamma_new(E50,A50,0.7,B50,D50,C50)</f>
        <v>2.162834060369043E-2</v>
      </c>
      <c r="M50" cm="1">
        <f t="array" ref="M50">gamma_new(E50,A50,0.8,B50,D50,C50)</f>
        <v>2.0686601707241899E-2</v>
      </c>
      <c r="N50" cm="1">
        <f t="array" ref="N50">gamma_new(E50,A50,0.9,B50,D50,C50)</f>
        <v>1.9832772595840632E-2</v>
      </c>
      <c r="O50" cm="1">
        <f t="array" ref="O50">gamma_new(E50,A50,1,B50,D50,C50)</f>
        <v>1.905905037567153E-2</v>
      </c>
      <c r="P50" cm="1">
        <f t="array" ref="P50">gamma_new(E50,A50,2,B50,D50,C50)</f>
        <v>1.4083955236087348E-2</v>
      </c>
      <c r="Q50" cm="1">
        <f t="array" ref="Q50">gamma_new(E50,A50,3,B50,D50,C50)</f>
        <v>1.147439366909251E-2</v>
      </c>
      <c r="R50" cm="1">
        <f t="array" ref="R50">gamma_new(E50,A50,4,B50,D50,C50)</f>
        <v>9.801424695646389E-3</v>
      </c>
      <c r="S50" cm="1">
        <f t="array" ref="S50">gamma_new(E50,A50,5,B50,D50,C50)</f>
        <v>8.6070488431846427E-3</v>
      </c>
    </row>
    <row r="51" spans="1:29" x14ac:dyDescent="0.3">
      <c r="A51">
        <v>100</v>
      </c>
      <c r="B51">
        <f t="shared" si="2"/>
        <v>0.01</v>
      </c>
      <c r="C51">
        <v>0.2</v>
      </c>
      <c r="D51">
        <v>2.5000000000000001E-2</v>
      </c>
      <c r="E51" s="5">
        <v>95</v>
      </c>
      <c r="F51" cm="1">
        <f t="array" ref="F51">gamma_new(E51,A51,0.1,B51,D51,C51)</f>
        <v>4.7974780604673202E-2</v>
      </c>
      <c r="G51" cm="1">
        <f t="array" ref="G51">gamma_new(E51,A51,0.2,B51,D51,C51)</f>
        <v>3.9885316815508262E-2</v>
      </c>
      <c r="H51" cm="1">
        <f t="array" ref="H51">gamma_new(E51,A51,0.3,B51,D51,C51)</f>
        <v>3.4314122193430892E-2</v>
      </c>
      <c r="I51" cm="1">
        <f t="array" ref="I51">gamma_new(E51,A51,0.4,B51,D51,C51)</f>
        <v>3.0465380711628041E-2</v>
      </c>
      <c r="J51" cm="1">
        <f t="array" ref="J51">gamma_new(E51,A51,0.5,B51,D51,C51)</f>
        <v>2.7630817266757805E-2</v>
      </c>
      <c r="K51" cm="1">
        <f t="array" ref="K51">gamma_new(E51,A51,0.6,B51,D51,C51)</f>
        <v>2.543693362509224E-2</v>
      </c>
      <c r="L51" cm="1">
        <f t="array" ref="L51">gamma_new(E51,A51,0.7,B51,D51,C51)</f>
        <v>2.3675149907212253E-2</v>
      </c>
      <c r="M51" cm="1">
        <f t="array" ref="M51">gamma_new(E51,A51,0.8,B51,D51,C51)</f>
        <v>2.2220200266150951E-2</v>
      </c>
      <c r="N51" cm="1">
        <f t="array" ref="N51">gamma_new(E51,A51,0.9,B51,D51,C51)</f>
        <v>2.0992111853019635E-2</v>
      </c>
      <c r="O51" cm="1">
        <f t="array" ref="O51">gamma_new(E51,A51,1,B51,D51,C51)</f>
        <v>1.9937241257794409E-2</v>
      </c>
      <c r="P51" cm="1">
        <f t="array" ref="P51">gamma_new(E51,A51,2,B51,D51,C51)</f>
        <v>1.3973281967143765E-2</v>
      </c>
      <c r="Q51" cm="1">
        <f t="array" ref="Q51">gamma_new(E51,A51,3,B51,D51,C51)</f>
        <v>1.1185108277982381E-2</v>
      </c>
      <c r="R51" cm="1">
        <f t="array" ref="R51">gamma_new(E51,A51,4,B51,D51,C51)</f>
        <v>9.4703926272176192E-3</v>
      </c>
      <c r="S51" cm="1">
        <f t="array" ref="S51">gamma_new(E51,A51,5,B51,D51,C51)</f>
        <v>8.2724479351663337E-3</v>
      </c>
    </row>
    <row r="52" spans="1:29" x14ac:dyDescent="0.3">
      <c r="A52">
        <v>100</v>
      </c>
      <c r="B52">
        <f t="shared" si="2"/>
        <v>0.01</v>
      </c>
      <c r="C52">
        <v>0.2</v>
      </c>
      <c r="D52">
        <v>2.5000000000000001E-2</v>
      </c>
      <c r="E52" s="5">
        <v>100</v>
      </c>
      <c r="F52" cm="1">
        <f t="array" ref="F52">gamma_new(E52,A52,0.1,B52,D52,C52)</f>
        <v>6.2918847978720452E-2</v>
      </c>
      <c r="G52" cm="1">
        <f t="array" ref="G52">gamma_new(E52,A52,0.2,B52,D52,C52)</f>
        <v>4.4377870296444688E-2</v>
      </c>
      <c r="H52" cm="1">
        <f t="array" ref="H52">gamma_new(E52,A52,0.3,B52,D52,C52)</f>
        <v>3.6142777076188876E-2</v>
      </c>
      <c r="I52" cm="1">
        <f t="array" ref="I52">gamma_new(E52,A52,0.4,B52,D52,C52)</f>
        <v>3.1221433751268214E-2</v>
      </c>
      <c r="J52" cm="1">
        <f t="array" ref="J52">gamma_new(E52,A52,0.5,B52,D52,C52)</f>
        <v>2.7854702761735149E-2</v>
      </c>
      <c r="K52" cm="1">
        <f t="array" ref="K52">gamma_new(E52,A52,0.6,B52,D52,C52)</f>
        <v>2.536346579587254E-2</v>
      </c>
      <c r="L52" cm="1">
        <f t="array" ref="L52">gamma_new(E52,A52,0.7,B52,D52,C52)</f>
        <v>2.3422642768761898E-2</v>
      </c>
      <c r="M52" cm="1">
        <f t="array" ref="M52">gamma_new(E52,A52,0.8,B52,D52,C52)</f>
        <v>2.185448684112426E-2</v>
      </c>
      <c r="N52" cm="1">
        <f t="array" ref="N52">gamma_new(E52,A52,0.9,B52,D52,C52)</f>
        <v>2.0552518333007429E-2</v>
      </c>
      <c r="O52" cm="1">
        <f t="array" ref="O52">gamma_new(E52,A52,1,B52,D52,C52)</f>
        <v>1.9448539401837474E-2</v>
      </c>
      <c r="P52" cm="1">
        <f t="array" ref="P52">gamma_new(E52,A52,2,B52,D52,C52)</f>
        <v>1.3408460414541053E-2</v>
      </c>
      <c r="Q52" cm="1">
        <f t="array" ref="Q52">gamma_new(E52,A52,3,B52,D52,C52)</f>
        <v>1.0674319690848946E-2</v>
      </c>
      <c r="R52" cm="1">
        <f t="array" ref="R52">gamma_new(E52,A52,4,B52,D52,C52)</f>
        <v>9.013174061541198E-3</v>
      </c>
      <c r="S52" cm="1">
        <f t="array" ref="S52">gamma_new(E52,A52,5,B52,D52,C52)</f>
        <v>7.8601289802415729E-3</v>
      </c>
    </row>
    <row r="53" spans="1:29" x14ac:dyDescent="0.3">
      <c r="A53">
        <v>100</v>
      </c>
      <c r="B53">
        <f t="shared" si="2"/>
        <v>0.01</v>
      </c>
      <c r="C53">
        <v>0.2</v>
      </c>
      <c r="D53">
        <v>2.5000000000000001E-2</v>
      </c>
      <c r="E53" s="5">
        <v>105</v>
      </c>
      <c r="F53" cm="1">
        <f t="array" ref="F53">gamma_new(E53,A53,0.1,B53,D53,C53)</f>
        <v>4.4229713708524049E-2</v>
      </c>
      <c r="G53" cm="1">
        <f t="array" ref="G53">gamma_new(E53,A53,0.2,B53,D53,C53)</f>
        <v>3.6200465804258931E-2</v>
      </c>
      <c r="H53" cm="1">
        <f t="array" ref="H53">gamma_new(E53,A53,0.3,B53,D53,C53)</f>
        <v>3.0981849036183284E-2</v>
      </c>
      <c r="I53" cm="1">
        <f t="array" ref="I53">gamma_new(E53,A53,0.4,B53,D53,C53)</f>
        <v>2.7435173642672697E-2</v>
      </c>
      <c r="J53" cm="1">
        <f t="array" ref="J53">gamma_new(E53,A53,0.5,B53,D53,C53)</f>
        <v>2.4843617408421011E-2</v>
      </c>
      <c r="K53" cm="1">
        <f t="array" ref="K53">gamma_new(E53,A53,0.6,B53,D53,C53)</f>
        <v>2.2847175828831744E-2</v>
      </c>
      <c r="L53" cm="1">
        <f t="array" ref="L53">gamma_new(E53,A53,0.7,B53,D53,C53)</f>
        <v>2.1248911827391921E-2</v>
      </c>
      <c r="M53" cm="1">
        <f t="array" ref="M53">gamma_new(E53,A53,0.8,B53,D53,C53)</f>
        <v>1.9931916901688111E-2</v>
      </c>
      <c r="N53" cm="1">
        <f t="array" ref="N53">gamma_new(E53,A53,0.9,B53,D53,C53)</f>
        <v>1.8822111483802844E-2</v>
      </c>
      <c r="O53" cm="1">
        <f t="array" ref="O53">gamma_new(E53,A53,1,B53,D53,C53)</f>
        <v>1.7870066241809687E-2</v>
      </c>
      <c r="P53" cm="1">
        <f t="array" ref="P53">gamma_new(E53,A53,2,B53,D53,C53)</f>
        <v>1.2504879729680576E-2</v>
      </c>
      <c r="Q53" cm="1">
        <f t="array" ref="Q53">gamma_new(E53,A53,3,B53,D53,C53)</f>
        <v>1.0004482334660393E-2</v>
      </c>
      <c r="R53" cm="1">
        <f t="array" ref="R53">gamma_new(E53,A53,4,B53,D53,C53)</f>
        <v>8.4685504660579579E-3</v>
      </c>
      <c r="S53" cm="1">
        <f t="array" ref="S53">gamma_new(E53,A53,5,B53,D53,C53)</f>
        <v>7.3961743072228454E-3</v>
      </c>
    </row>
    <row r="54" spans="1:29" x14ac:dyDescent="0.3">
      <c r="A54">
        <v>100</v>
      </c>
      <c r="B54">
        <f t="shared" si="2"/>
        <v>0.01</v>
      </c>
      <c r="C54">
        <v>0.2</v>
      </c>
      <c r="D54">
        <v>2.5000000000000001E-2</v>
      </c>
      <c r="E54" s="5">
        <v>110</v>
      </c>
      <c r="F54" cm="1">
        <f t="array" ref="F54">gamma_new(E54,A54,0.1,B54,D54,C54)</f>
        <v>1.8158123196990939E-2</v>
      </c>
      <c r="G54" cm="1">
        <f t="array" ref="G54">gamma_new(E54,A54,0.2,B54,D54,C54)</f>
        <v>2.2595823261599701E-2</v>
      </c>
      <c r="H54" cm="1">
        <f t="array" ref="H54">gamma_new(E54,A54,0.3,B54,D54,C54)</f>
        <v>2.2236874101402192E-2</v>
      </c>
      <c r="I54" cm="1">
        <f t="array" ref="I54">gamma_new(E54,A54,0.4,B54,D54,C54)</f>
        <v>2.1115448662555266E-2</v>
      </c>
      <c r="J54" cm="1">
        <f t="array" ref="J54">gamma_new(E54,A54,0.5,B54,D54,C54)</f>
        <v>1.9938989792042134E-2</v>
      </c>
      <c r="K54" cm="1">
        <f t="array" ref="K54">gamma_new(E54,A54,0.6,B54,D54,C54)</f>
        <v>1.885607605383393E-2</v>
      </c>
      <c r="L54" cm="1">
        <f t="array" ref="L54">gamma_new(E54,A54,0.7,B54,D54,C54)</f>
        <v>1.7890402820770986E-2</v>
      </c>
      <c r="M54" cm="1">
        <f t="array" ref="M54">gamma_new(E54,A54,0.8,B54,D54,C54)</f>
        <v>1.7034561693195147E-2</v>
      </c>
      <c r="N54" cm="1">
        <f t="array" ref="N54">gamma_new(E54,A54,0.9,B54,D54,C54)</f>
        <v>1.6274385648988431E-2</v>
      </c>
      <c r="O54" cm="1">
        <f t="array" ref="O54">gamma_new(E54,A54,1,B54,D54,C54)</f>
        <v>1.5595737508180331E-2</v>
      </c>
      <c r="P54" cm="1">
        <f t="array" ref="P54">gamma_new(E54,A54,2,B54,D54,C54)</f>
        <v>1.1380333565500975E-2</v>
      </c>
      <c r="Q54" cm="1">
        <f t="array" ref="Q54">gamma_new(E54,A54,3,B54,D54,C54)</f>
        <v>9.2328405129299823E-3</v>
      </c>
      <c r="R54" cm="1">
        <f t="array" ref="R54">gamma_new(E54,A54,4,B54,D54,C54)</f>
        <v>7.8701391588422969E-3</v>
      </c>
      <c r="S54" cm="1">
        <f t="array" ref="S54">gamma_new(E54,A54,5,B54,D54,C54)</f>
        <v>6.9023986925338884E-3</v>
      </c>
    </row>
    <row r="55" spans="1:29" x14ac:dyDescent="0.3">
      <c r="A55">
        <v>100</v>
      </c>
      <c r="B55">
        <f t="shared" si="2"/>
        <v>0.01</v>
      </c>
      <c r="C55">
        <v>0.2</v>
      </c>
      <c r="D55">
        <v>2.5000000000000001E-2</v>
      </c>
      <c r="E55" s="5">
        <v>115</v>
      </c>
      <c r="F55" cm="1">
        <f t="array" ref="F55">gamma_new(E55,A55,0.1,B55,D55,C55)</f>
        <v>4.678317405240405E-3</v>
      </c>
      <c r="G55" cm="1">
        <f t="array" ref="G55">gamma_new(E55,A55,0.2,B55,D55,C55)</f>
        <v>1.1186091874790164E-2</v>
      </c>
      <c r="H55" cm="1">
        <f t="array" ref="H55">gamma_new(E55,A55,0.3,B55,D55,C55)</f>
        <v>1.3685724061054038E-2</v>
      </c>
      <c r="I55" cm="1">
        <f t="array" ref="I55">gamma_new(E55,A55,0.4,B55,D55,C55)</f>
        <v>1.4489929432292359E-2</v>
      </c>
      <c r="J55" cm="1">
        <f t="array" ref="J55">gamma_new(E55,A55,0.5,B55,D55,C55)</f>
        <v>1.4606032289834587E-2</v>
      </c>
      <c r="K55" cm="1">
        <f t="array" ref="K55">gamma_new(E55,A55,0.6,B55,D55,C55)</f>
        <v>1.4427437194653748E-2</v>
      </c>
      <c r="L55" cm="1">
        <f t="array" ref="L55">gamma_new(E55,A55,0.7,B55,D55,C55)</f>
        <v>1.4120960942328351E-2</v>
      </c>
      <c r="M55" cm="1">
        <f t="array" ref="M55">gamma_new(E55,A55,0.8,B55,D55,C55)</f>
        <v>1.3762736404308824E-2</v>
      </c>
      <c r="N55" cm="1">
        <f t="array" ref="N55">gamma_new(E55,A55,0.9,B55,D55,C55)</f>
        <v>1.3389275694288653E-2</v>
      </c>
      <c r="O55" cm="1">
        <f t="array" ref="O55">gamma_new(E55,A55,1,B55,D55,C55)</f>
        <v>1.3018511164347312E-2</v>
      </c>
      <c r="P55" cm="1">
        <f t="array" ref="P55">gamma_new(E55,A55,2,B55,D55,C55)</f>
        <v>1.0140830958936146E-2</v>
      </c>
      <c r="Q55" cm="1">
        <f t="array" ref="Q55">gamma_new(E55,A55,3,B55,D55,C55)</f>
        <v>8.4083013501442296E-3</v>
      </c>
      <c r="R55" cm="1">
        <f t="array" ref="R55">gamma_new(E55,A55,4,B55,D55,C55)</f>
        <v>7.2457365209712687E-3</v>
      </c>
      <c r="S55" cm="1">
        <f t="array" ref="S55">gamma_new(E55,A55,5,B55,D55,C55)</f>
        <v>6.3964127761183265E-3</v>
      </c>
    </row>
    <row r="56" spans="1:29" x14ac:dyDescent="0.3">
      <c r="A56">
        <v>100</v>
      </c>
      <c r="B56">
        <f t="shared" si="2"/>
        <v>0.01</v>
      </c>
      <c r="C56">
        <v>0.2</v>
      </c>
      <c r="D56">
        <v>2.5000000000000001E-2</v>
      </c>
      <c r="E56" s="5">
        <v>120</v>
      </c>
      <c r="F56" cm="1">
        <f t="array" ref="F56">gamma_new(E56,A56,0.1,B56,D56,C56)</f>
        <v>8.0379602547839973E-4</v>
      </c>
      <c r="G56" cm="1">
        <f t="array" ref="G56">gamma_new(E56,A56,0.2,B56,D56,C56)</f>
        <v>4.5269901723816921E-3</v>
      </c>
      <c r="H56" cm="1">
        <f t="array" ref="H56">gamma_new(E56,A56,0.3,B56,D56,C56)</f>
        <v>7.3692611734193043E-3</v>
      </c>
      <c r="I56" cm="1">
        <f t="array" ref="I56">gamma_new(E56,A56,0.4,B56,D56,C56)</f>
        <v>8.9998431285617068E-3</v>
      </c>
      <c r="J56" cm="1">
        <f t="array" ref="J56">gamma_new(E56,A56,0.5,B56,D56,C56)</f>
        <v>9.883446720924137E-3</v>
      </c>
      <c r="K56" cm="1">
        <f t="array" ref="K56">gamma_new(E56,A56,0.6,B56,D56,C56)</f>
        <v>1.0336425085469248E-2</v>
      </c>
      <c r="L56" cm="1">
        <f t="array" ref="L56">gamma_new(E56,A56,0.7,B56,D56,C56)</f>
        <v>1.0538123352703505E-2</v>
      </c>
      <c r="M56" cm="1">
        <f t="array" ref="M56">gamma_new(E56,A56,0.8,B56,D56,C56)</f>
        <v>1.0589908576952575E-2</v>
      </c>
      <c r="N56" cm="1">
        <f t="array" ref="N56">gamma_new(E56,A56,0.9,B56,D56,C56)</f>
        <v>1.0550667085471583E-2</v>
      </c>
      <c r="O56" cm="1">
        <f t="array" ref="O56">gamma_new(E56,A56,1,B56,D56,C56)</f>
        <v>1.0455684950945303E-2</v>
      </c>
      <c r="P56" cm="1">
        <f t="array" ref="P56">gamma_new(E56,A56,2,B56,D56,C56)</f>
        <v>8.8730353567441616E-3</v>
      </c>
      <c r="Q56" cm="1">
        <f t="array" ref="Q56">gamma_new(E56,A56,3,B56,D56,C56)</f>
        <v>7.570236316992841E-3</v>
      </c>
      <c r="R56" cm="1">
        <f t="array" ref="R56">gamma_new(E56,A56,4,B56,D56,C56)</f>
        <v>6.6173629607822653E-3</v>
      </c>
      <c r="S56" cm="1">
        <f t="array" ref="S56">gamma_new(E56,A56,5,B56,D56,C56)</f>
        <v>5.8919581129393576E-3</v>
      </c>
    </row>
    <row r="57" spans="1:29" x14ac:dyDescent="0.3">
      <c r="A57">
        <v>100</v>
      </c>
      <c r="B57">
        <f t="shared" si="2"/>
        <v>0.01</v>
      </c>
      <c r="C57">
        <v>0.2</v>
      </c>
      <c r="D57">
        <v>2.5000000000000001E-2</v>
      </c>
      <c r="E57" s="5">
        <v>125</v>
      </c>
      <c r="F57" cm="1">
        <f t="array" ref="F57">gamma_new(E57,A57,0.1,B57,D57,C57)</f>
        <v>9.6973135916797844E-5</v>
      </c>
      <c r="G57" cm="1">
        <f t="array" ref="G57">gamma_new(E57,A57,0.2,B57,D57,C57)</f>
        <v>1.5367029079202202E-3</v>
      </c>
      <c r="H57" cm="1">
        <f t="array" ref="H57">gamma_new(E57,A57,0.3,B57,D57,C57)</f>
        <v>3.5315273059386429E-3</v>
      </c>
      <c r="I57" cm="1">
        <f t="array" ref="I57">gamma_new(E57,A57,0.4,B57,D57,C57)</f>
        <v>5.1245140577150855E-3</v>
      </c>
      <c r="J57" cm="1">
        <f t="array" ref="J57">gamma_new(E57,A57,0.5,B57,D57,C57)</f>
        <v>6.2409923797132E-3</v>
      </c>
      <c r="K57" cm="1">
        <f t="array" ref="K57">gamma_new(E57,A57,0.6,B57,D57,C57)</f>
        <v>6.9930597662770403E-3</v>
      </c>
      <c r="L57" cm="1">
        <f t="array" ref="L57">gamma_new(E57,A57,0.7,B57,D57,C57)</f>
        <v>7.4895235959469581E-3</v>
      </c>
      <c r="M57" cm="1">
        <f t="array" ref="M57">gamma_new(E57,A57,0.8,B57,D57,C57)</f>
        <v>7.8095975501006514E-3</v>
      </c>
      <c r="N57" cm="1">
        <f t="array" ref="N57">gamma_new(E57,A57,0.9,B57,D57,C57)</f>
        <v>8.0074865467572223E-3</v>
      </c>
      <c r="O57" cm="1">
        <f t="array" ref="O57">gamma_new(E57,A57,1,B57,D57,C57)</f>
        <v>8.1199372055011671E-3</v>
      </c>
      <c r="P57" cm="1">
        <f t="array" ref="P57">gamma_new(E57,A57,2,B57,D57,C57)</f>
        <v>7.6418739814658552E-3</v>
      </c>
      <c r="Q57" cm="1">
        <f t="array" ref="Q57">gamma_new(E57,A57,3,B57,D57,C57)</f>
        <v>6.7485881088049848E-3</v>
      </c>
      <c r="R57" cm="1">
        <f t="array" ref="R57">gamma_new(E57,A57,4,B57,D57,C57)</f>
        <v>6.0017286279610395E-3</v>
      </c>
      <c r="S57" cm="1">
        <f t="array" ref="S57">gamma_new(E57,A57,5,B57,D57,C57)</f>
        <v>5.3993787979980164E-3</v>
      </c>
    </row>
    <row r="58" spans="1:29" x14ac:dyDescent="0.3">
      <c r="A58">
        <v>100</v>
      </c>
      <c r="B58">
        <f t="shared" si="2"/>
        <v>0.01</v>
      </c>
      <c r="C58">
        <v>0.2</v>
      </c>
      <c r="D58">
        <v>2.5000000000000001E-2</v>
      </c>
      <c r="E58" s="5">
        <v>130</v>
      </c>
      <c r="F58" cm="1">
        <f t="array" ref="F58">gamma_new(E58,A58,0.1,B58,D58,C58)</f>
        <v>8.5854193628646315E-6</v>
      </c>
      <c r="G58" cm="1">
        <f t="array" ref="G58">gamma_new(E58,A58,0.2,B58,D58,C58)</f>
        <v>4.4726374561700129E-4</v>
      </c>
      <c r="H58" cm="1">
        <f t="array" ref="H58">gamma_new(E58,A58,0.3,B58,D58,C58)</f>
        <v>1.5283550463993344E-3</v>
      </c>
      <c r="I58" cm="1">
        <f t="array" ref="I58">gamma_new(E58,A58,0.4,B58,D58,C58)</f>
        <v>2.7043215389928642E-3</v>
      </c>
      <c r="J58" cm="1">
        <f t="array" ref="J58">gamma_new(E58,A58,0.5,B58,D58,C58)</f>
        <v>3.7097586969041061E-3</v>
      </c>
      <c r="K58" cm="1">
        <f t="array" ref="K58">gamma_new(E58,A58,0.6,B58,D58,C58)</f>
        <v>4.5000447228194778E-3</v>
      </c>
      <c r="L58" cm="1">
        <f t="array" ref="L58">gamma_new(E58,A58,0.7,B58,D58,C58)</f>
        <v>5.1005421514270797E-3</v>
      </c>
      <c r="M58" cm="1">
        <f t="array" ref="M58">gamma_new(E58,A58,0.8,B58,D58,C58)</f>
        <v>5.5494535406559664E-3</v>
      </c>
      <c r="N58" cm="1">
        <f t="array" ref="N58">gamma_new(E58,A58,0.9,B58,D58,C58)</f>
        <v>5.8813240485914298E-3</v>
      </c>
      <c r="O58" cm="1">
        <f t="array" ref="O58">gamma_new(E58,A58,1,B58,D58,C58)</f>
        <v>6.1237495704636784E-3</v>
      </c>
      <c r="P58" cm="1">
        <f t="array" ref="P58">gamma_new(E58,A58,2,B58,D58,C58)</f>
        <v>6.4915886755641918E-3</v>
      </c>
      <c r="Q58" cm="1">
        <f t="array" ref="Q58">gamma_new(E58,A58,3,B58,D58,C58)</f>
        <v>5.9647580914895405E-3</v>
      </c>
      <c r="R58" cm="1">
        <f t="array" ref="R58">gamma_new(E58,A58,4,B58,D58,C58)</f>
        <v>5.4109143865345155E-3</v>
      </c>
      <c r="S58" cm="1">
        <f t="array" ref="S58">gamma_new(E58,A58,5,B58,D58,C58)</f>
        <v>4.9261399033828056E-3</v>
      </c>
    </row>
    <row r="59" spans="1:29" x14ac:dyDescent="0.3">
      <c r="A59">
        <v>100</v>
      </c>
      <c r="B59">
        <f t="shared" si="2"/>
        <v>0.01</v>
      </c>
      <c r="C59">
        <v>0.2</v>
      </c>
      <c r="D59">
        <v>2.5000000000000001E-2</v>
      </c>
      <c r="E59" s="5">
        <v>135</v>
      </c>
      <c r="F59" cm="1">
        <f t="array" ref="F59">gamma_new(E59,A59,0.1,B59,D59,C59)</f>
        <v>5.7934193174543035E-7</v>
      </c>
      <c r="G59" cm="1">
        <f t="array" ref="G59">gamma_new(E59,A59,0.2,B59,D59,C59)</f>
        <v>1.1374460638423731E-4</v>
      </c>
      <c r="H59" cm="1">
        <f t="array" ref="H59">gamma_new(E59,A59,0.3,B59,D59,C59)</f>
        <v>6.048614779734225E-4</v>
      </c>
      <c r="I59" cm="1">
        <f t="array" ref="I59">gamma_new(E59,A59,0.4,B59,D59,C59)</f>
        <v>1.3351260693293613E-3</v>
      </c>
      <c r="J59" cm="1">
        <f t="array" ref="J59">gamma_new(E59,A59,0.5,B59,D59,C59)</f>
        <v>2.0913608651897944E-3</v>
      </c>
      <c r="K59" cm="1">
        <f t="array" ref="K59">gamma_new(E59,A59,0.6,B59,D59,C59)</f>
        <v>2.7714883436081262E-3</v>
      </c>
      <c r="L59" cm="1">
        <f t="array" ref="L59">gamma_new(E59,A59,0.7,B59,D59,C59)</f>
        <v>3.3461881817637802E-3</v>
      </c>
      <c r="M59" cm="1">
        <f t="array" ref="M59">gamma_new(E59,A59,0.8,B59,D59,C59)</f>
        <v>3.8173553122785504E-3</v>
      </c>
      <c r="N59" cm="1">
        <f t="array" ref="N59">gamma_new(E59,A59,0.9,B59,D59,C59)</f>
        <v>4.1975207687976572E-3</v>
      </c>
      <c r="O59" cm="1">
        <f t="array" ref="O59">gamma_new(E59,A59,1,B59,D59,C59)</f>
        <v>4.5013156719772834E-3</v>
      </c>
      <c r="P59" cm="1">
        <f t="array" ref="P59">gamma_new(E59,A59,2,B59,D59,C59)</f>
        <v>5.4486938825516317E-3</v>
      </c>
      <c r="Q59" cm="1">
        <f t="array" ref="Q59">gamma_new(E59,A59,3,B59,D59,C59)</f>
        <v>5.2328791572192014E-3</v>
      </c>
      <c r="R59" cm="1">
        <f t="array" ref="R59">gamma_new(E59,A59,4,B59,D59,C59)</f>
        <v>4.85312816798228E-3</v>
      </c>
      <c r="S59" cm="1">
        <f t="array" ref="S59">gamma_new(E59,A59,5,B59,D59,C59)</f>
        <v>4.4773369258046796E-3</v>
      </c>
    </row>
    <row r="60" spans="1:29" x14ac:dyDescent="0.3">
      <c r="A60">
        <v>100</v>
      </c>
      <c r="B60">
        <f t="shared" si="2"/>
        <v>0.01</v>
      </c>
      <c r="C60">
        <v>0.2</v>
      </c>
      <c r="D60">
        <v>2.5000000000000001E-2</v>
      </c>
      <c r="E60" s="5">
        <v>140</v>
      </c>
      <c r="F60" cm="1">
        <f t="array" ref="F60">gamma_new(E60,A60,0.1,B60,D60,C60)</f>
        <v>3.0788132533501306E-8</v>
      </c>
      <c r="G60" cm="1">
        <f t="array" ref="G60">gamma_new(E60,A60,0.2,B60,D60,C60)</f>
        <v>2.5690391879454024E-5</v>
      </c>
      <c r="H60" cm="1">
        <f t="array" ref="H60">gamma_new(E60,A60,0.3,B60,D60,C60)</f>
        <v>2.2128892924487025E-4</v>
      </c>
      <c r="I60" cm="1">
        <f t="array" ref="I60">gamma_new(E60,A60,0.4,B60,D60,C60)</f>
        <v>6.2166720721009208E-4</v>
      </c>
      <c r="J60" cm="1">
        <f t="array" ref="J60">gamma_new(E60,A60,0.5,B60,D60,C60)</f>
        <v>1.125391973524461E-3</v>
      </c>
      <c r="K60" cm="1">
        <f t="array" ref="K60">gamma_new(E60,A60,0.6,B60,D60,C60)</f>
        <v>1.642406524446938E-3</v>
      </c>
      <c r="L60" cm="1">
        <f t="array" ref="L60">gamma_new(E60,A60,0.7,B60,D60,C60)</f>
        <v>2.1244248486102192E-3</v>
      </c>
      <c r="M60" cm="1">
        <f t="array" ref="M60">gamma_new(E60,A60,0.8,B60,D60,C60)</f>
        <v>2.5520909732385934E-3</v>
      </c>
      <c r="N60" cm="1">
        <f t="array" ref="N60">gamma_new(E60,A60,0.9,B60,D60,C60)</f>
        <v>2.9213375449205579E-3</v>
      </c>
      <c r="O60" cm="1">
        <f t="array" ref="O60">gamma_new(E60,A60,1,B60,D60,C60)</f>
        <v>3.23513652913539E-3</v>
      </c>
      <c r="P60" cm="1">
        <f t="array" ref="P60">gamma_new(E60,A60,2,B60,D60,C60)</f>
        <v>4.5256889881654843E-3</v>
      </c>
      <c r="Q60" cm="1">
        <f t="array" ref="Q60">gamma_new(E60,A60,3,B60,D60,C60)</f>
        <v>4.5612028423239834E-3</v>
      </c>
      <c r="R60" cm="1">
        <f t="array" ref="R60">gamma_new(E60,A60,4,B60,D60,C60)</f>
        <v>4.333448440625538E-3</v>
      </c>
      <c r="S60" cm="1">
        <f t="array" ref="S60">gamma_new(E60,A60,5,B60,D60,C60)</f>
        <v>4.0561645490783046E-3</v>
      </c>
    </row>
    <row r="61" spans="1:29" ht="15" customHeight="1" x14ac:dyDescent="0.3"/>
    <row r="62" spans="1:29" x14ac:dyDescent="0.3">
      <c r="A62" s="6" t="s">
        <v>30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</row>
    <row r="63" spans="1:29" x14ac:dyDescent="0.3">
      <c r="A63" t="s">
        <v>13</v>
      </c>
      <c r="B63" t="s">
        <v>14</v>
      </c>
      <c r="C63" t="s">
        <v>15</v>
      </c>
      <c r="D63" t="s">
        <v>26</v>
      </c>
      <c r="F63" s="7">
        <v>0.1</v>
      </c>
      <c r="G63" s="7">
        <v>0.2</v>
      </c>
      <c r="H63" s="7">
        <v>0.3</v>
      </c>
      <c r="I63" s="7">
        <v>0.4</v>
      </c>
      <c r="J63" s="7">
        <v>0.5</v>
      </c>
      <c r="K63" s="7">
        <v>0.6</v>
      </c>
      <c r="L63" s="7">
        <v>0.7</v>
      </c>
      <c r="M63" s="7">
        <v>0.8</v>
      </c>
      <c r="N63" s="7">
        <v>0.9</v>
      </c>
      <c r="O63" s="7">
        <v>1</v>
      </c>
      <c r="P63" s="7">
        <v>2</v>
      </c>
      <c r="Q63" s="7">
        <v>3</v>
      </c>
      <c r="R63" s="7">
        <v>4</v>
      </c>
      <c r="S63" s="7">
        <v>5</v>
      </c>
    </row>
    <row r="64" spans="1:29" x14ac:dyDescent="0.3">
      <c r="A64">
        <v>100</v>
      </c>
      <c r="B64">
        <f>1/100</f>
        <v>0.01</v>
      </c>
      <c r="C64">
        <v>0.2</v>
      </c>
      <c r="D64">
        <v>2.5000000000000001E-2</v>
      </c>
      <c r="E64" s="5">
        <v>60</v>
      </c>
      <c r="F64" cm="1">
        <f t="array" ref="F64">vega_new(E64,A64,0.1,B64,D64,C64)</f>
        <v>5.4946478508180956E-14</v>
      </c>
      <c r="G64" cm="1">
        <f t="array" ref="G64">vega_new(E64,A64,0.2,B64,D64,C64)</f>
        <v>9.3806335955307369E-7</v>
      </c>
      <c r="H64" cm="1">
        <f t="array" ref="H64">vega_new(E64,A64,0.3,B64,D64,C64)</f>
        <v>2.6311000783382771E-4</v>
      </c>
      <c r="I64" cm="1">
        <f t="array" ref="I64">vega_new(E64,A64,0.4,B64,D64,C64)</f>
        <v>4.5918412424661506E-3</v>
      </c>
      <c r="J64" cm="1">
        <f t="array" ref="J64">vega_new(E64,A64,0.5,B64,D64,C64)</f>
        <v>2.6159547349679926E-2</v>
      </c>
      <c r="K64" cm="1">
        <f t="array" ref="K64">vega_new(E64,A64,0.6,B64,D64,C64)</f>
        <v>8.4783885301912595E-2</v>
      </c>
      <c r="L64" cm="1">
        <f t="array" ref="L64">vega_new(E64,A64,0.7,B64,D64,C64)</f>
        <v>0.19859451090633676</v>
      </c>
      <c r="M64" cm="1">
        <f t="array" ref="M64">vega_new(E64,A64,0.8,B64,D64,C64)</f>
        <v>0.37916110946348858</v>
      </c>
      <c r="N64" cm="1">
        <f t="array" ref="N64">vega_new(E64,A64,0.9,B64,D64,C64)</f>
        <v>0.6310260838644689</v>
      </c>
      <c r="O64" cm="1">
        <f t="array" ref="O64">vega_new(E64,A64,1,B64,D64,C64)</f>
        <v>0.95328773851677195</v>
      </c>
      <c r="P64" cm="1">
        <f t="array" ref="P64">vega_new(E64,A64,2,B64,D64,C64)</f>
        <v>6.7148078224280647</v>
      </c>
      <c r="Q64" cm="1">
        <f t="array" ref="Q64">vega_new(E64,A64,3,B64,D64,C64)</f>
        <v>13.809629450467256</v>
      </c>
      <c r="R64" cm="1">
        <f t="array" ref="R64">vega_new(E64,A64,4,B64,D64,C64)</f>
        <v>20.403574510902054</v>
      </c>
      <c r="S64" cm="1">
        <f t="array" ref="S64">vega_new(E64,A64,5,B64,D64,C64)</f>
        <v>26.181646328275466</v>
      </c>
    </row>
    <row r="65" spans="1:19" x14ac:dyDescent="0.3">
      <c r="A65">
        <v>100</v>
      </c>
      <c r="B65">
        <f t="shared" ref="B65:B80" si="3">1/100</f>
        <v>0.01</v>
      </c>
      <c r="C65">
        <v>0.2</v>
      </c>
      <c r="D65">
        <v>2.5000000000000001E-2</v>
      </c>
      <c r="E65" s="5">
        <v>65</v>
      </c>
      <c r="F65" cm="1">
        <f t="array" ref="F65">vega_new(E65,A65,0.1,B65,D65,C65)</f>
        <v>7.2760172757931167E-10</v>
      </c>
      <c r="G65" cm="1">
        <f t="array" ref="G65">vega_new(E65,A65,0.2,B65,D65,C65)</f>
        <v>1.1179374970602983E-4</v>
      </c>
      <c r="H65" cm="1">
        <f t="array" ref="H65">vega_new(E65,A65,0.3,B65,D65,C65)</f>
        <v>6.5222866532513874E-3</v>
      </c>
      <c r="I65" cm="1">
        <f t="array" ref="I65">vega_new(E65,A65,0.4,B65,D65,C65)</f>
        <v>5.1914414588071313E-2</v>
      </c>
      <c r="J65" cm="1">
        <f t="array" ref="J65">vega_new(E65,A65,0.5,B65,D65,C65)</f>
        <v>0.18465219341094871</v>
      </c>
      <c r="K65" cm="1">
        <f t="array" ref="K65">vega_new(E65,A65,0.6,B65,D65,C65)</f>
        <v>0.43717265926725718</v>
      </c>
      <c r="L65" cm="1">
        <f t="array" ref="L65">vega_new(E65,A65,0.7,B65,D65,C65)</f>
        <v>0.81825632558769124</v>
      </c>
      <c r="M65" cm="1">
        <f t="array" ref="M65">vega_new(E65,A65,0.8,B65,D65,C65)</f>
        <v>1.3203308024135754</v>
      </c>
      <c r="N65" cm="1">
        <f t="array" ref="N65">vega_new(E65,A65,0.9,B65,D65,C65)</f>
        <v>1.9278772492247775</v>
      </c>
      <c r="O65" cm="1">
        <f t="array" ref="O65">vega_new(E65,A65,1,B65,D65,C65)</f>
        <v>2.6229774169952438</v>
      </c>
      <c r="P65" cm="1">
        <f t="array" ref="P65">vega_new(E65,A65,2,B65,D65,C65)</f>
        <v>11.535257174247494</v>
      </c>
      <c r="Q65" cm="1">
        <f t="array" ref="Q65">vega_new(E65,A65,3,B65,D65,C65)</f>
        <v>20.276053831604074</v>
      </c>
      <c r="R65" cm="1">
        <f t="array" ref="R65">vega_new(E65,A65,4,B65,D65,C65)</f>
        <v>27.69564773231895</v>
      </c>
      <c r="S65" cm="1">
        <f t="array" ref="S65">vega_new(E65,A65,5,B65,D65,C65)</f>
        <v>33.903500051939965</v>
      </c>
    </row>
    <row r="66" spans="1:19" x14ac:dyDescent="0.3">
      <c r="A66">
        <v>100</v>
      </c>
      <c r="B66">
        <f t="shared" si="3"/>
        <v>0.01</v>
      </c>
      <c r="C66">
        <v>0.2</v>
      </c>
      <c r="D66">
        <v>2.5000000000000001E-2</v>
      </c>
      <c r="E66" s="5">
        <v>70</v>
      </c>
      <c r="F66" cm="1">
        <f t="array" ref="F66">vega_new(E66,A66,0.1,B66,D66,C66)</f>
        <v>1.1430508638080113E-6</v>
      </c>
      <c r="G66" cm="1">
        <f t="array" ref="G66">vega_new(E66,A66,0.2,B66,D66,C66)</f>
        <v>4.5770350637279926E-3</v>
      </c>
      <c r="H66" cm="1">
        <f t="array" ref="H66">vega_new(E66,A66,0.3,B66,D66,C66)</f>
        <v>7.9170774265440974E-2</v>
      </c>
      <c r="I66" cm="1">
        <f t="array" ref="I66">vega_new(E66,A66,0.4,B66,D66,C66)</f>
        <v>0.34312480752931218</v>
      </c>
      <c r="J66" cm="1">
        <f t="array" ref="J66">vega_new(E66,A66,0.5,B66,D66,C66)</f>
        <v>0.84745786795951006</v>
      </c>
      <c r="K66" cm="1">
        <f t="array" ref="K66">vega_new(E66,A66,0.6,B66,D66,C66)</f>
        <v>1.5733172250878573</v>
      </c>
      <c r="L66" cm="1">
        <f t="array" ref="L66">vega_new(E66,A66,0.7,B66,D66,C66)</f>
        <v>2.4752773066552924</v>
      </c>
      <c r="M66" cm="1">
        <f t="array" ref="M66">vega_new(E66,A66,0.8,B66,D66,C66)</f>
        <v>3.5062722353564273</v>
      </c>
      <c r="N66" cm="1">
        <f t="array" ref="N66">vega_new(E66,A66,0.9,B66,D66,C66)</f>
        <v>4.6263886479098515</v>
      </c>
      <c r="O66" cm="1">
        <f t="array" ref="O66">vega_new(E66,A66,1,B66,D66,C66)</f>
        <v>5.8043978569056494</v>
      </c>
      <c r="P66" cm="1">
        <f t="array" ref="P66">vega_new(E66,A66,2,B66,D66,C66)</f>
        <v>17.725128453331255</v>
      </c>
      <c r="Q66" cm="1">
        <f t="array" ref="Q66">vega_new(E66,A66,3,B66,D66,C66)</f>
        <v>27.589598139902826</v>
      </c>
      <c r="R66" cm="1">
        <f t="array" ref="R66">vega_new(E66,A66,4,B66,D66,C66)</f>
        <v>35.462829214338115</v>
      </c>
      <c r="S66" cm="1">
        <f t="array" ref="S66">vega_new(E66,A66,5,B66,D66,C66)</f>
        <v>41.856830353219046</v>
      </c>
    </row>
    <row r="67" spans="1:19" x14ac:dyDescent="0.3">
      <c r="A67">
        <v>100</v>
      </c>
      <c r="B67">
        <f t="shared" si="3"/>
        <v>0.01</v>
      </c>
      <c r="C67">
        <v>0.2</v>
      </c>
      <c r="D67">
        <v>2.5000000000000001E-2</v>
      </c>
      <c r="E67" s="5">
        <v>75</v>
      </c>
      <c r="F67" cm="1">
        <f t="array" ref="F67">vega_new(E67,A67,0.1,B67,D67,C67)</f>
        <v>3.1452851809163481E-4</v>
      </c>
      <c r="G67" cm="1">
        <f t="array" ref="G67">vega_new(E67,A67,0.2,B67,D67,C67)</f>
        <v>7.8251088238021002E-2</v>
      </c>
      <c r="H67" cm="1">
        <f t="array" ref="H67">vega_new(E67,A67,0.3,B67,D67,C67)</f>
        <v>0.53609480250931896</v>
      </c>
      <c r="I67" cm="1">
        <f t="array" ref="I67">vega_new(E67,A67,0.4,B67,D67,C67)</f>
        <v>1.4622246525440856</v>
      </c>
      <c r="J67" cm="1">
        <f t="array" ref="J67">vega_new(E67,A67,0.5,B67,D67,C67)</f>
        <v>2.7353396888944497</v>
      </c>
      <c r="K67" cm="1">
        <f t="array" ref="K67">vega_new(E67,A67,0.6,B67,D67,C67)</f>
        <v>4.2195249570565192</v>
      </c>
      <c r="L67" cm="1">
        <f t="array" ref="L67">vega_new(E67,A67,0.7,B67,D67,C67)</f>
        <v>5.8158041611655849</v>
      </c>
      <c r="M67" cm="1">
        <f t="array" ref="M67">vega_new(E67,A67,0.8,B67,D67,C67)</f>
        <v>7.4599434392905177</v>
      </c>
      <c r="N67" cm="1">
        <f t="array" ref="N67">vega_new(E67,A67,0.9,B67,D67,C67)</f>
        <v>9.1119828871332285</v>
      </c>
      <c r="O67" cm="1">
        <f t="array" ref="O67">vega_new(E67,A67,1,B67,D67,C67)</f>
        <v>10.747628808193522</v>
      </c>
      <c r="P67" cm="1">
        <f t="array" ref="P67">vega_new(E67,A67,2,B67,D67,C67)</f>
        <v>24.858564401861223</v>
      </c>
      <c r="Q67" cm="1">
        <f t="array" ref="Q67">vega_new(E67,A67,3,B67,D67,C67)</f>
        <v>35.270294309341232</v>
      </c>
      <c r="R67" cm="1">
        <f t="array" ref="R67">vega_new(E67,A67,4,B67,D67,C67)</f>
        <v>43.283823486343643</v>
      </c>
      <c r="S67" cm="1">
        <f t="array" ref="S67">vega_new(E67,A67,5,B67,D67,C67)</f>
        <v>49.68802004030632</v>
      </c>
    </row>
    <row r="68" spans="1:19" x14ac:dyDescent="0.3">
      <c r="A68">
        <v>100</v>
      </c>
      <c r="B68">
        <f t="shared" si="3"/>
        <v>0.01</v>
      </c>
      <c r="C68">
        <v>0.2</v>
      </c>
      <c r="D68">
        <v>2.5000000000000001E-2</v>
      </c>
      <c r="E68" s="5">
        <v>80</v>
      </c>
      <c r="F68" cm="1">
        <f t="array" ref="F68">vega_new(E68,A68,0.1,B68,D68,C68)</f>
        <v>2.0507321448827689E-2</v>
      </c>
      <c r="G68" cm="1">
        <f t="array" ref="G68">vega_new(E68,A68,0.2,B68,D68,C68)</f>
        <v>0.64994619811215748</v>
      </c>
      <c r="H68" cm="1">
        <f t="array" ref="H68">vega_new(E68,A68,0.3,B68,D68,C68)</f>
        <v>2.2404812936131182</v>
      </c>
      <c r="I68" cm="1">
        <f t="array" ref="I68">vega_new(E68,A68,0.4,B68,D68,C68)</f>
        <v>4.334811122980109</v>
      </c>
      <c r="J68" cm="1">
        <f t="array" ref="J68">vega_new(E68,A68,0.5,B68,D68,C68)</f>
        <v>6.5990459976602827</v>
      </c>
      <c r="K68" cm="1">
        <f t="array" ref="K68">vega_new(E68,A68,0.6,B68,D68,C68)</f>
        <v>8.8731125284604797</v>
      </c>
      <c r="L68" cm="1">
        <f t="array" ref="L68">vega_new(E68,A68,0.7,B68,D68,C68)</f>
        <v>11.086889838100099</v>
      </c>
      <c r="M68" cm="1">
        <f t="array" ref="M68">vega_new(E68,A68,0.8,B68,D68,C68)</f>
        <v>13.212230445619623</v>
      </c>
      <c r="N68" cm="1">
        <f t="array" ref="N68">vega_new(E68,A68,0.9,B68,D68,C68)</f>
        <v>15.240395100470414</v>
      </c>
      <c r="O68" cm="1">
        <f t="array" ref="O68">vega_new(E68,A68,1,B68,D68,C68)</f>
        <v>17.171576524077636</v>
      </c>
      <c r="P68" cm="1">
        <f t="array" ref="P68">vega_new(E68,A68,2,B68,D68,C68)</f>
        <v>32.321191787344517</v>
      </c>
      <c r="Q68" cm="1">
        <f t="array" ref="Q68">vega_new(E68,A68,3,B68,D68,C68)</f>
        <v>42.814578810282562</v>
      </c>
      <c r="R68" cm="1">
        <f t="array" ref="R68">vega_new(E68,A68,4,B68,D68,C68)</f>
        <v>50.768443057396553</v>
      </c>
      <c r="S68" cm="1">
        <f t="array" ref="S68">vega_new(E68,A68,5,B68,D68,C68)</f>
        <v>57.091479814333582</v>
      </c>
    </row>
    <row r="69" spans="1:19" x14ac:dyDescent="0.3">
      <c r="A69">
        <v>100</v>
      </c>
      <c r="B69">
        <f t="shared" si="3"/>
        <v>0.01</v>
      </c>
      <c r="C69">
        <v>0.2</v>
      </c>
      <c r="D69">
        <v>2.5000000000000001E-2</v>
      </c>
      <c r="E69" s="5">
        <v>85</v>
      </c>
      <c r="F69" cm="1">
        <f t="array" ref="F69">vega_new(E69,A69,0.1,B69,D69,C69)</f>
        <v>0.40198258481308463</v>
      </c>
      <c r="G69" cm="1">
        <f t="array" ref="G69">vega_new(E69,A69,0.2,B69,D69,C69)</f>
        <v>2.9549182350366912</v>
      </c>
      <c r="H69" cm="1">
        <f t="array" ref="H69">vega_new(E69,A69,0.3,B69,D69,C69)</f>
        <v>6.2584382225137727</v>
      </c>
      <c r="I69" cm="1">
        <f t="array" ref="I69">vega_new(E69,A69,0.4,B69,D69,C69)</f>
        <v>9.4912435989230293</v>
      </c>
      <c r="J69" cm="1">
        <f t="array" ref="J69">vega_new(E69,A69,0.5,B69,D69,C69)</f>
        <v>12.48449766781075</v>
      </c>
      <c r="K69" cm="1">
        <f t="array" ref="K69">vega_new(E69,A69,0.6,B69,D69,C69)</f>
        <v>15.228503366762622</v>
      </c>
      <c r="L69" cm="1">
        <f t="array" ref="L69">vega_new(E69,A69,0.7,B69,D69,C69)</f>
        <v>17.74886062714133</v>
      </c>
      <c r="M69" cm="1">
        <f t="array" ref="M69">vega_new(E69,A69,0.8,B69,D69,C69)</f>
        <v>20.075738086565547</v>
      </c>
      <c r="N69" cm="1">
        <f t="array" ref="N69">vega_new(E69,A69,0.9,B69,D69,C69)</f>
        <v>22.23632379640944</v>
      </c>
      <c r="O69" cm="1">
        <f t="array" ref="O69">vega_new(E69,A69,1,B69,D69,C69)</f>
        <v>24.253478706485058</v>
      </c>
      <c r="P69" cm="1">
        <f t="array" ref="P69">vega_new(E69,A69,2,B69,D69,C69)</f>
        <v>39.444659509227542</v>
      </c>
      <c r="Q69" cm="1">
        <f t="array" ref="Q69">vega_new(E69,A69,3,B69,D69,C69)</f>
        <v>49.766623920865328</v>
      </c>
      <c r="R69" cm="1">
        <f t="array" ref="R69">vega_new(E69,A69,4,B69,D69,C69)</f>
        <v>57.592134951164439</v>
      </c>
      <c r="S69" cm="1">
        <f t="array" ref="S69">vega_new(E69,A69,5,B69,D69,C69)</f>
        <v>63.825515481478099</v>
      </c>
    </row>
    <row r="70" spans="1:19" x14ac:dyDescent="0.3">
      <c r="A70">
        <v>100</v>
      </c>
      <c r="B70">
        <f t="shared" si="3"/>
        <v>0.01</v>
      </c>
      <c r="C70">
        <v>0.2</v>
      </c>
      <c r="D70">
        <v>2.5000000000000001E-2</v>
      </c>
      <c r="E70" s="5">
        <v>90</v>
      </c>
      <c r="F70" cm="1">
        <f t="array" ref="F70">vega_new(E70,A70,0.1,B70,D70,C70)</f>
        <v>2.8651268434020283</v>
      </c>
      <c r="G70" cm="1">
        <f t="array" ref="G70">vega_new(E70,A70,0.2,B70,D70,C70)</f>
        <v>8.0886136793923811</v>
      </c>
      <c r="H70" cm="1">
        <f t="array" ref="H70">vega_new(E70,A70,0.3,B70,D70,C70)</f>
        <v>12.452558725726972</v>
      </c>
      <c r="I70" cm="1">
        <f t="array" ref="I70">vega_new(E70,A70,0.4,B70,D70,C70)</f>
        <v>16.100810945870418</v>
      </c>
      <c r="J70" cm="1">
        <f t="array" ref="J70">vega_new(E70,A70,0.5,B70,D70,C70)</f>
        <v>19.245752842079344</v>
      </c>
      <c r="K70" cm="1">
        <f t="array" ref="K70">vega_new(E70,A70,0.6,B70,D70,C70)</f>
        <v>22.024895472553464</v>
      </c>
      <c r="L70" cm="1">
        <f t="array" ref="L70">vega_new(E70,A70,0.7,B70,D70,C70)</f>
        <v>24.526538244584948</v>
      </c>
      <c r="M70" cm="1">
        <f t="array" ref="M70">vega_new(E70,A70,0.8,B70,D70,C70)</f>
        <v>26.809835812585497</v>
      </c>
      <c r="N70" cm="1">
        <f t="array" ref="N70">vega_new(E70,A70,0.9,B70,D70,C70)</f>
        <v>28.916182444735632</v>
      </c>
      <c r="O70" cm="1">
        <f t="array" ref="O70">vega_new(E70,A70,1,B70,D70,C70)</f>
        <v>30.875661608587876</v>
      </c>
      <c r="P70" cm="1">
        <f t="array" ref="P70">vega_new(E70,A70,2,B70,D70,C70)</f>
        <v>45.632014964923023</v>
      </c>
      <c r="Q70" cm="1">
        <f t="array" ref="Q70">vega_new(E70,A70,3,B70,D70,C70)</f>
        <v>55.765553231789582</v>
      </c>
      <c r="R70" cm="1">
        <f t="array" ref="R70">vega_new(E70,A70,4,B70,D70,C70)</f>
        <v>63.513232027788604</v>
      </c>
      <c r="S70" cm="1">
        <f t="array" ref="S70">vega_new(E70,A70,5,B70,D70,C70)</f>
        <v>69.717095629795622</v>
      </c>
    </row>
    <row r="71" spans="1:19" x14ac:dyDescent="0.3">
      <c r="A71">
        <v>100</v>
      </c>
      <c r="B71">
        <f t="shared" si="3"/>
        <v>0.01</v>
      </c>
      <c r="C71">
        <v>0.2</v>
      </c>
      <c r="D71">
        <v>2.5000000000000001E-2</v>
      </c>
      <c r="E71" s="5">
        <v>95</v>
      </c>
      <c r="F71" cm="1">
        <f t="array" ref="F71">vega_new(E71,A71,0.1,B71,D71,C71)</f>
        <v>8.6594478991435135</v>
      </c>
      <c r="G71" cm="1">
        <f t="array" ref="G71">vega_new(E71,A71,0.2,B71,D71,C71)</f>
        <v>14.398599370398481</v>
      </c>
      <c r="H71" cm="1">
        <f t="array" ref="H71">vega_new(E71,A71,0.3,B71,D71,C71)</f>
        <v>18.581097167742822</v>
      </c>
      <c r="I71" cm="1">
        <f t="array" ref="I71">vega_new(E71,A71,0.4,B71,D71,C71)</f>
        <v>21.996004873795449</v>
      </c>
      <c r="J71" cm="1">
        <f t="array" ref="J71">vega_new(E71,A71,0.5,B71,D71,C71)</f>
        <v>24.936812583248919</v>
      </c>
      <c r="K71" cm="1">
        <f t="array" ref="K71">vega_new(E71,A71,0.6,B71,D71,C71)</f>
        <v>27.548199115974899</v>
      </c>
      <c r="L71" cm="1">
        <f t="array" ref="L71">vega_new(E71,A71,0.7,B71,D71,C71)</f>
        <v>29.913551907762681</v>
      </c>
      <c r="M71" cm="1">
        <f t="array" ref="M71">vega_new(E71,A71,0.8,B71,D71,C71)</f>
        <v>32.085969184321975</v>
      </c>
      <c r="N71" cm="1">
        <f t="array" ref="N71">vega_new(E71,A71,0.9,B71,D71,C71)</f>
        <v>34.101685705230395</v>
      </c>
      <c r="O71" cm="1">
        <f t="array" ref="O71">vega_new(E71,A71,1,B71,D71,C71)</f>
        <v>35.986720470318907</v>
      </c>
      <c r="P71" cm="1">
        <f t="array" ref="P71">vega_new(E71,A71,2,B71,D71,C71)</f>
        <v>50.443547901388989</v>
      </c>
      <c r="Q71" cm="1">
        <f t="array" ref="Q71">vega_new(E71,A71,3,B71,D71,C71)</f>
        <v>60.567361325274589</v>
      </c>
      <c r="R71" cm="1">
        <f t="array" ref="R71">vega_new(E71,A71,4,B71,D71,C71)</f>
        <v>68.37623476851121</v>
      </c>
      <c r="S71" cm="1">
        <f t="array" ref="S71">vega_new(E71,A71,5,B71,D71,C71)</f>
        <v>74.658842614876164</v>
      </c>
    </row>
    <row r="72" spans="1:19" x14ac:dyDescent="0.3">
      <c r="A72">
        <v>100</v>
      </c>
      <c r="B72">
        <f t="shared" si="3"/>
        <v>0.01</v>
      </c>
      <c r="C72">
        <v>0.2</v>
      </c>
      <c r="D72">
        <v>2.5000000000000001E-2</v>
      </c>
      <c r="E72" s="5">
        <v>100</v>
      </c>
      <c r="F72" cm="1">
        <f t="array" ref="F72">vega_new(E72,A72,0.1,B72,D72,C72)</f>
        <v>12.583769595744091</v>
      </c>
      <c r="G72" cm="1">
        <f t="array" ref="G72">vega_new(E72,A72,0.2,B72,D72,C72)</f>
        <v>17.751148118577877</v>
      </c>
      <c r="H72" cm="1">
        <f t="array" ref="H72">vega_new(E72,A72,0.3,B72,D72,C72)</f>
        <v>21.685666245713325</v>
      </c>
      <c r="I72" cm="1">
        <f t="array" ref="I72">vega_new(E72,A72,0.4,B72,D72,C72)</f>
        <v>24.977147001014572</v>
      </c>
      <c r="J72" cm="1">
        <f t="array" ref="J72">vega_new(E72,A72,0.5,B72,D72,C72)</f>
        <v>27.854702761735151</v>
      </c>
      <c r="K72" cm="1">
        <f t="array" ref="K72">vega_new(E72,A72,0.6,B72,D72,C72)</f>
        <v>30.436158955047052</v>
      </c>
      <c r="L72" cm="1">
        <f t="array" ref="L72">vega_new(E72,A72,0.7,B72,D72,C72)</f>
        <v>32.791699876266655</v>
      </c>
      <c r="M72" cm="1">
        <f t="array" ref="M72">vega_new(E72,A72,0.8,B72,D72,C72)</f>
        <v>34.967178945798814</v>
      </c>
      <c r="N72" cm="1">
        <f t="array" ref="N72">vega_new(E72,A72,0.9,B72,D72,C72)</f>
        <v>36.994532999413373</v>
      </c>
      <c r="O72" cm="1">
        <f t="array" ref="O72">vega_new(E72,A72,1,B72,D72,C72)</f>
        <v>38.897078803674944</v>
      </c>
      <c r="P72" cm="1">
        <f t="array" ref="P72">vega_new(E72,A72,2,B72,D72,C72)</f>
        <v>53.633841658164222</v>
      </c>
      <c r="Q72" cm="1">
        <f t="array" ref="Q72">vega_new(E72,A72,3,B72,D72,C72)</f>
        <v>64.045918145093665</v>
      </c>
      <c r="R72" cm="1">
        <f t="array" ref="R72">vega_new(E72,A72,4,B72,D72,C72)</f>
        <v>72.105392492329585</v>
      </c>
      <c r="S72" cm="1">
        <f t="array" ref="S72">vega_new(E72,A72,5,B72,D72,C72)</f>
        <v>78.601289802415749</v>
      </c>
    </row>
    <row r="73" spans="1:19" x14ac:dyDescent="0.3">
      <c r="A73">
        <v>100</v>
      </c>
      <c r="B73">
        <f t="shared" si="3"/>
        <v>0.01</v>
      </c>
      <c r="C73">
        <v>0.2</v>
      </c>
      <c r="D73">
        <v>2.5000000000000001E-2</v>
      </c>
      <c r="E73" s="5">
        <v>105</v>
      </c>
      <c r="F73" cm="1">
        <f t="array" ref="F73">vega_new(E73,A73,0.1,B73,D73,C73)</f>
        <v>9.7526518727295528</v>
      </c>
      <c r="G73" cm="1">
        <f t="array" ref="G73">vega_new(E73,A73,0.2,B73,D73,C73)</f>
        <v>15.964405419678188</v>
      </c>
      <c r="H73" cm="1">
        <f t="array" ref="H73">vega_new(E73,A73,0.3,B73,D73,C73)</f>
        <v>20.494493137435239</v>
      </c>
      <c r="I73" cm="1">
        <f t="array" ref="I73">vega_new(E73,A73,0.4,B73,D73,C73)</f>
        <v>24.197823152837319</v>
      </c>
      <c r="J73" cm="1">
        <f t="array" ref="J73">vega_new(E73,A73,0.5,B73,D73,C73)</f>
        <v>27.39008819278417</v>
      </c>
      <c r="K73" cm="1">
        <f t="array" ref="K73">vega_new(E73,A73,0.6,B73,D73,C73)</f>
        <v>30.226813621544398</v>
      </c>
      <c r="L73" cm="1">
        <f t="array" ref="L73">vega_new(E73,A73,0.7,B73,D73,C73)</f>
        <v>32.797695405579432</v>
      </c>
      <c r="M73" cm="1">
        <f t="array" ref="M73">vega_new(E73,A73,0.8,B73,D73,C73)</f>
        <v>35.159901414577824</v>
      </c>
      <c r="N73" cm="1">
        <f t="array" ref="N73">vega_new(E73,A73,0.9,B73,D73,C73)</f>
        <v>37.352480239606734</v>
      </c>
      <c r="O73" cm="1">
        <f t="array" ref="O73">vega_new(E73,A73,1,B73,D73,C73)</f>
        <v>39.40349606319036</v>
      </c>
      <c r="P73" cm="1">
        <f t="array" ref="P73">vega_new(E73,A73,2,B73,D73,C73)</f>
        <v>55.146519607891356</v>
      </c>
      <c r="Q73" cm="1">
        <f t="array" ref="Q73">vega_new(E73,A73,3,B73,D73,C73)</f>
        <v>66.179650643778501</v>
      </c>
      <c r="R73" cm="1">
        <f t="array" ref="R73">vega_new(E73,A73,4,B73,D73,C73)</f>
        <v>74.692615110631195</v>
      </c>
      <c r="S73" cm="1">
        <f t="array" ref="S73">vega_new(E73,A73,5,B73,D73,C73)</f>
        <v>81.542821737131888</v>
      </c>
    </row>
    <row r="74" spans="1:19" x14ac:dyDescent="0.3">
      <c r="A74">
        <v>100</v>
      </c>
      <c r="B74">
        <f t="shared" si="3"/>
        <v>0.01</v>
      </c>
      <c r="C74">
        <v>0.2</v>
      </c>
      <c r="D74">
        <v>2.5000000000000001E-2</v>
      </c>
      <c r="E74" s="5">
        <v>110</v>
      </c>
      <c r="F74" cm="1">
        <f t="array" ref="F74">vega_new(E74,A74,0.1,B74,D74,C74)</f>
        <v>4.394265813671808</v>
      </c>
      <c r="G74" cm="1">
        <f t="array" ref="G74">vega_new(E74,A74,0.2,B74,D74,C74)</f>
        <v>10.936378458614254</v>
      </c>
      <c r="H74" cm="1">
        <f t="array" ref="H74">vega_new(E74,A74,0.3,B74,D74,C74)</f>
        <v>16.143970597617987</v>
      </c>
      <c r="I74" cm="1">
        <f t="array" ref="I74">vega_new(E74,A74,0.4,B74,D74,C74)</f>
        <v>20.4397543053535</v>
      </c>
      <c r="J74" cm="1">
        <f t="array" ref="J74">vega_new(E74,A74,0.5,B74,D74,C74)</f>
        <v>24.126177648370987</v>
      </c>
      <c r="K74" cm="1">
        <f t="array" ref="K74">vega_new(E74,A74,0.6,B74,D74,C74)</f>
        <v>27.379022430166874</v>
      </c>
      <c r="L74" cm="1">
        <f t="array" ref="L74">vega_new(E74,A74,0.7,B74,D74,C74)</f>
        <v>30.306342378386052</v>
      </c>
      <c r="M74" cm="1">
        <f t="array" ref="M74">vega_new(E74,A74,0.8,B74,D74,C74)</f>
        <v>32.978911438025804</v>
      </c>
      <c r="N74" cm="1">
        <f t="array" ref="N74">vega_new(E74,A74,0.9,B74,D74,C74)</f>
        <v>35.4456119434968</v>
      </c>
      <c r="O74" cm="1">
        <f t="array" ref="O74">vega_new(E74,A74,1,B74,D74,C74)</f>
        <v>37.741684769796407</v>
      </c>
      <c r="P74" cm="1">
        <f t="array" ref="P74">vega_new(E74,A74,2,B74,D74,C74)</f>
        <v>55.080814457024729</v>
      </c>
      <c r="Q74" cm="1">
        <f t="array" ref="Q74">vega_new(E74,A74,3,B74,D74,C74)</f>
        <v>67.030422123871674</v>
      </c>
      <c r="R74" cm="1">
        <f t="array" ref="R74">vega_new(E74,A74,4,B74,D74,C74)</f>
        <v>76.182947057593438</v>
      </c>
      <c r="S74" cm="1">
        <f t="array" ref="S74">vega_new(E74,A74,5,B74,D74,C74)</f>
        <v>83.51902417966005</v>
      </c>
    </row>
    <row r="75" spans="1:19" x14ac:dyDescent="0.3">
      <c r="A75">
        <v>100</v>
      </c>
      <c r="B75">
        <f t="shared" si="3"/>
        <v>0.01</v>
      </c>
      <c r="C75">
        <v>0.2</v>
      </c>
      <c r="D75">
        <v>2.5000000000000001E-2</v>
      </c>
      <c r="E75" s="5">
        <v>115</v>
      </c>
      <c r="F75" cm="1">
        <f t="array" ref="F75">vega_new(E75,A75,0.1,B75,D75,C75)</f>
        <v>1.2374149536860874</v>
      </c>
      <c r="G75" cm="1">
        <f t="array" ref="G75">vega_new(E75,A75,0.2,B75,D75,C75)</f>
        <v>5.9174426017639972</v>
      </c>
      <c r="H75" cm="1">
        <f t="array" ref="H75">vega_new(E75,A75,0.3,B75,D75,C75)</f>
        <v>10.859622042446379</v>
      </c>
      <c r="I75" cm="1">
        <f t="array" ref="I75">vega_new(E75,A75,0.4,B75,D75,C75)</f>
        <v>15.330345339365318</v>
      </c>
      <c r="J75" cm="1">
        <f t="array" ref="J75">vega_new(E75,A75,0.5,B75,D75,C75)</f>
        <v>19.316477703306241</v>
      </c>
      <c r="K75" cm="1">
        <f t="array" ref="K75">vega_new(E75,A75,0.6,B75,D75,C75)</f>
        <v>22.8963428279155</v>
      </c>
      <c r="L75" cm="1">
        <f t="array" ref="L75">vega_new(E75,A75,0.7,B75,D75,C75)</f>
        <v>26.144959184720943</v>
      </c>
      <c r="M75" cm="1">
        <f t="array" ref="M75">vega_new(E75,A75,0.8,B75,D75,C75)</f>
        <v>29.12195023151747</v>
      </c>
      <c r="N75" cm="1">
        <f t="array" ref="N75">vega_new(E75,A75,0.9,B75,D75,C75)</f>
        <v>31.873170790254132</v>
      </c>
      <c r="O75" cm="1">
        <f t="array" ref="O75">vega_new(E75,A75,1,B75,D75,C75)</f>
        <v>34.433962029698641</v>
      </c>
      <c r="P75" cm="1">
        <f t="array" ref="P75">vega_new(E75,A75,2,B75,D75,C75)</f>
        <v>53.644995772772212</v>
      </c>
      <c r="Q75" cm="1">
        <f t="array" ref="Q75">vega_new(E75,A75,3,B75,D75,C75)</f>
        <v>66.719871213394441</v>
      </c>
      <c r="R75" cm="1">
        <f t="array" ref="R75">vega_new(E75,A75,4,B75,D75,C75)</f>
        <v>76.659892391876028</v>
      </c>
      <c r="S75" cm="1">
        <f t="array" ref="S75">vega_new(E75,A75,5,B75,D75,C75)</f>
        <v>84.59255896416488</v>
      </c>
    </row>
    <row r="76" spans="1:19" x14ac:dyDescent="0.3">
      <c r="A76">
        <v>100</v>
      </c>
      <c r="B76">
        <f t="shared" si="3"/>
        <v>0.01</v>
      </c>
      <c r="C76">
        <v>0.2</v>
      </c>
      <c r="D76">
        <v>2.5000000000000001E-2</v>
      </c>
      <c r="E76" s="5">
        <v>120</v>
      </c>
      <c r="F76" cm="1">
        <f t="array" ref="F76">vega_new(E76,A76,0.1,B76,D76,C76)</f>
        <v>0.23149325533777915</v>
      </c>
      <c r="G76" cm="1">
        <f t="array" ref="G76">vega_new(E76,A76,0.2,B76,D76,C76)</f>
        <v>2.6075463392918548</v>
      </c>
      <c r="H76" cm="1">
        <f t="array" ref="H76">vega_new(E76,A76,0.3,B76,D76,C76)</f>
        <v>6.3670416538342778</v>
      </c>
      <c r="I76" cm="1">
        <f t="array" ref="I76">vega_new(E76,A76,0.4,B76,D76,C76)</f>
        <v>10.367819284103087</v>
      </c>
      <c r="J76" cm="1">
        <f t="array" ref="J76">vega_new(E76,A76,0.5,B76,D76,C76)</f>
        <v>14.232163278130757</v>
      </c>
      <c r="K76" cm="1">
        <f t="array" ref="K76">vega_new(E76,A76,0.6,B76,D76,C76)</f>
        <v>17.861342547690864</v>
      </c>
      <c r="L76" cm="1">
        <f t="array" ref="L76">vega_new(E76,A76,0.7,B76,D76,C76)</f>
        <v>21.244856679050269</v>
      </c>
      <c r="M76" cm="1">
        <f t="array" ref="M76">vega_new(E76,A76,0.8,B76,D76,C76)</f>
        <v>24.399149361298733</v>
      </c>
      <c r="N76" cm="1">
        <f t="array" ref="N76">vega_new(E76,A76,0.9,B76,D76,C76)</f>
        <v>27.347329085542338</v>
      </c>
      <c r="O76" cm="1">
        <f t="array" ref="O76">vega_new(E76,A76,1,B76,D76,C76)</f>
        <v>30.112372658722471</v>
      </c>
      <c r="P76" cm="1">
        <f t="array" ref="P76">vega_new(E76,A76,2,B76,D76,C76)</f>
        <v>51.108683654846374</v>
      </c>
      <c r="Q76" cm="1">
        <f t="array" ref="Q76">vega_new(E76,A76,3,B76,D76,C76)</f>
        <v>65.406841778818148</v>
      </c>
      <c r="R76" cm="1">
        <f t="array" ref="R76">vega_new(E76,A76,4,B76,D76,C76)</f>
        <v>76.232021308211685</v>
      </c>
      <c r="S76" cm="1">
        <f t="array" ref="S76">vega_new(E76,A76,5,B76,D76,C76)</f>
        <v>84.844196826326751</v>
      </c>
    </row>
    <row r="77" spans="1:19" x14ac:dyDescent="0.3">
      <c r="A77">
        <v>100</v>
      </c>
      <c r="B77">
        <f t="shared" si="3"/>
        <v>0.01</v>
      </c>
      <c r="C77">
        <v>0.2</v>
      </c>
      <c r="D77">
        <v>2.5000000000000001E-2</v>
      </c>
      <c r="E77" s="5">
        <v>125</v>
      </c>
      <c r="F77" cm="1">
        <f t="array" ref="F77">vega_new(E77,A77,0.1,B77,D77,C77)</f>
        <v>3.0304104973999324E-2</v>
      </c>
      <c r="G77" cm="1">
        <f t="array" ref="G77">vega_new(E77,A77,0.2,B77,D77,C77)</f>
        <v>0.96043931745013744</v>
      </c>
      <c r="H77" cm="1">
        <f t="array" ref="H77">vega_new(E77,A77,0.3,B77,D77,C77)</f>
        <v>3.3108068493174776</v>
      </c>
      <c r="I77" cm="1">
        <f t="array" ref="I77">vega_new(E77,A77,0.4,B77,D77,C77)</f>
        <v>6.405642572143857</v>
      </c>
      <c r="J77" cm="1">
        <f t="array" ref="J77">vega_new(E77,A77,0.5,B77,D77,C77)</f>
        <v>9.7515505933018769</v>
      </c>
      <c r="K77" cm="1">
        <f t="array" ref="K77">vega_new(E77,A77,0.6,B77,D77,C77)</f>
        <v>13.111987061769451</v>
      </c>
      <c r="L77" cm="1">
        <f t="array" ref="L77">vega_new(E77,A77,0.7,B77,D77,C77)</f>
        <v>16.383332866133973</v>
      </c>
      <c r="M77" cm="1">
        <f t="array" ref="M77">vega_new(E77,A77,0.8,B77,D77,C77)</f>
        <v>19.52399387525163</v>
      </c>
      <c r="N77" cm="1">
        <f t="array" ref="N77">vega_new(E77,A77,0.9,B77,D77,C77)</f>
        <v>22.521055912754687</v>
      </c>
      <c r="O77" cm="1">
        <f t="array" ref="O77">vega_new(E77,A77,1,B77,D77,C77)</f>
        <v>25.37480376719115</v>
      </c>
      <c r="P77" cm="1">
        <f t="array" ref="P77">vega_new(E77,A77,2,B77,D77,C77)</f>
        <v>47.761712384161598</v>
      </c>
      <c r="Q77" cm="1">
        <f t="array" ref="Q77">vega_new(E77,A77,3,B77,D77,C77)</f>
        <v>63.268013520046722</v>
      </c>
      <c r="R77" cm="1">
        <f t="array" ref="R77">vega_new(E77,A77,4,B77,D77,C77)</f>
        <v>75.021607849512989</v>
      </c>
      <c r="S77" cm="1">
        <f t="array" ref="S77">vega_new(E77,A77,5,B77,D77,C77)</f>
        <v>84.365293718719016</v>
      </c>
    </row>
    <row r="78" spans="1:19" x14ac:dyDescent="0.3">
      <c r="A78">
        <v>100</v>
      </c>
      <c r="B78">
        <f t="shared" si="3"/>
        <v>0.01</v>
      </c>
      <c r="C78">
        <v>0.2</v>
      </c>
      <c r="D78">
        <v>2.5000000000000001E-2</v>
      </c>
      <c r="E78" s="5">
        <v>130</v>
      </c>
      <c r="F78" cm="1">
        <f t="array" ref="F78">vega_new(E78,A78,0.1,B78,D78,C78)</f>
        <v>2.9018717446482453E-3</v>
      </c>
      <c r="G78" cm="1">
        <f t="array" ref="G78">vega_new(E78,A78,0.2,B78,D78,C78)</f>
        <v>0.30235029203709285</v>
      </c>
      <c r="H78" cm="1">
        <f t="array" ref="H78">vega_new(E78,A78,0.3,B78,D78,C78)</f>
        <v>1.5497520170489247</v>
      </c>
      <c r="I78" cm="1">
        <f t="array" ref="I78">vega_new(E78,A78,0.4,B78,D78,C78)</f>
        <v>3.6562427207183528</v>
      </c>
      <c r="J78" cm="1">
        <f t="array" ref="J78">vega_new(E78,A78,0.5,B78,D78,C78)</f>
        <v>6.2694921977679403</v>
      </c>
      <c r="K78" cm="1">
        <f t="array" ref="K78">vega_new(E78,A78,0.6,B78,D78,C78)</f>
        <v>9.1260906978779008</v>
      </c>
      <c r="L78" cm="1">
        <f t="array" ref="L78">vega_new(E78,A78,0.7,B78,D78,C78)</f>
        <v>12.067882730276471</v>
      </c>
      <c r="M78" cm="1">
        <f t="array" ref="M78">vega_new(E78,A78,0.8,B78,D78,C78)</f>
        <v>15.005722373933729</v>
      </c>
      <c r="N78" cm="1">
        <f t="array" ref="N78">vega_new(E78,A78,0.9,B78,D78,C78)</f>
        <v>17.890987755815129</v>
      </c>
      <c r="O78" cm="1">
        <f t="array" ref="O78">vega_new(E78,A78,1,B78,D78,C78)</f>
        <v>20.698273548167233</v>
      </c>
      <c r="P78" cm="1">
        <f t="array" ref="P78">vega_new(E78,A78,2,B78,D78,C78)</f>
        <v>43.883139446813942</v>
      </c>
      <c r="Q78" cm="1">
        <f t="array" ref="Q78">vega_new(E78,A78,3,B78,D78,C78)</f>
        <v>60.482647047703935</v>
      </c>
      <c r="R78" cm="1">
        <f t="array" ref="R78">vega_new(E78,A78,4,B78,D78,C78)</f>
        <v>73.155562505946648</v>
      </c>
      <c r="S78" cm="1">
        <f t="array" ref="S78">vega_new(E78,A78,5,B78,D78,C78)</f>
        <v>83.251764367169415</v>
      </c>
    </row>
    <row r="79" spans="1:19" x14ac:dyDescent="0.3">
      <c r="A79">
        <v>100</v>
      </c>
      <c r="B79">
        <f t="shared" si="3"/>
        <v>0.01</v>
      </c>
      <c r="C79">
        <v>0.2</v>
      </c>
      <c r="D79">
        <v>2.5000000000000001E-2</v>
      </c>
      <c r="E79" s="5">
        <v>135</v>
      </c>
      <c r="F79" cm="1">
        <f t="array" ref="F79">vega_new(E79,A79,0.1,B79,D79,C79)</f>
        <v>2.1117013412120936E-4</v>
      </c>
      <c r="G79" cm="1">
        <f t="array" ref="G79">vega_new(E79,A79,0.2,B79,D79,C79)</f>
        <v>8.2919818054108987E-2</v>
      </c>
      <c r="H79" cm="1">
        <f t="array" ref="H79">vega_new(E79,A79,0.3,B79,D79,C79)</f>
        <v>0.66141602616393724</v>
      </c>
      <c r="I79" cm="1">
        <f t="array" ref="I79">vega_new(E79,A79,0.4,B79,D79,C79)</f>
        <v>1.9466138090822089</v>
      </c>
      <c r="J79" cm="1">
        <f t="array" ref="J79">vega_new(E79,A79,0.5,B79,D79,C79)</f>
        <v>3.8115051768084003</v>
      </c>
      <c r="K79" cm="1">
        <f t="array" ref="K79">vega_new(E79,A79,0.6,B79,D79,C79)</f>
        <v>6.0612450074709736</v>
      </c>
      <c r="L79" cm="1">
        <f t="array" ref="L79">vega_new(E79,A79,0.7,B79,D79,C79)</f>
        <v>8.5377991457702844</v>
      </c>
      <c r="M79" cm="1">
        <f t="array" ref="M79">vega_new(E79,A79,0.8,B79,D79,C79)</f>
        <v>11.131408090604252</v>
      </c>
      <c r="N79" cm="1">
        <f t="array" ref="N79">vega_new(E79,A79,0.9,B79,D79,C79)</f>
        <v>13.769966882040713</v>
      </c>
      <c r="O79" cm="1">
        <f t="array" ref="O79">vega_new(E79,A79,1,B79,D79,C79)</f>
        <v>16.407295624357197</v>
      </c>
      <c r="P79" cm="1">
        <f t="array" ref="P79">vega_new(E79,A79,2,B79,D79,C79)</f>
        <v>39.720978403801404</v>
      </c>
      <c r="Q79" cm="1">
        <f t="array" ref="Q79">vega_new(E79,A79,3,B79,D79,C79)</f>
        <v>57.221533584191967</v>
      </c>
      <c r="R79" cm="1">
        <f t="array" ref="R79">vega_new(E79,A79,4,B79,D79,C79)</f>
        <v>70.758608689181642</v>
      </c>
      <c r="S79" cm="1">
        <f t="array" ref="S79">vega_new(E79,A79,5,B79,D79,C79)</f>
        <v>81.599465472790314</v>
      </c>
    </row>
    <row r="80" spans="1:19" x14ac:dyDescent="0.3">
      <c r="A80">
        <v>100</v>
      </c>
      <c r="B80">
        <f t="shared" si="3"/>
        <v>0.01</v>
      </c>
      <c r="C80">
        <v>0.2</v>
      </c>
      <c r="D80">
        <v>2.5000000000000001E-2</v>
      </c>
      <c r="E80" s="5">
        <v>140</v>
      </c>
      <c r="F80" cm="1">
        <f t="array" ref="F80">vega_new(E80,A80,0.1,B80,D80,C80)</f>
        <v>1.2068947953132512E-5</v>
      </c>
      <c r="G80" cm="1">
        <f t="array" ref="G80">vega_new(E80,A80,0.2,B80,D80,C80)</f>
        <v>2.0141267233491956E-2</v>
      </c>
      <c r="H80" cm="1">
        <f t="array" ref="H80">vega_new(E80,A80,0.3,B80,D80,C80)</f>
        <v>0.26023578079196741</v>
      </c>
      <c r="I80" cm="1">
        <f t="array" ref="I80">vega_new(E80,A80,0.4,B80,D80,C80)</f>
        <v>0.97477418090542434</v>
      </c>
      <c r="J80" cm="1">
        <f t="array" ref="J80">vega_new(E80,A80,0.5,B80,D80,C80)</f>
        <v>2.2057682681079438</v>
      </c>
      <c r="K80" cm="1">
        <f t="array" ref="K80">vega_new(E80,A80,0.6,B80,D80,C80)</f>
        <v>3.8629401454991985</v>
      </c>
      <c r="L80" cm="1">
        <f t="array" ref="L80">vega_new(E80,A80,0.7,B80,D80,C80)</f>
        <v>5.8294217845864411</v>
      </c>
      <c r="M80" cm="1">
        <f t="array" ref="M80">vega_new(E80,A80,0.8,B80,D80,C80)</f>
        <v>8.0033572920762293</v>
      </c>
      <c r="N80" cm="1">
        <f t="array" ref="N80">vega_new(E80,A80,0.9,B80,D80,C80)</f>
        <v>10.306478858479727</v>
      </c>
      <c r="O80" cm="1">
        <f t="array" ref="O80">vega_new(E80,A80,1,B80,D80,C80)</f>
        <v>12.681735194210727</v>
      </c>
      <c r="P80" cm="1">
        <f t="array" ref="P80">vega_new(E80,A80,2,B80,D80,C80)</f>
        <v>35.481401667217405</v>
      </c>
      <c r="Q80" cm="1">
        <f t="array" ref="Q80">vega_new(E80,A80,3,B80,D80,C80)</f>
        <v>53.639745425730048</v>
      </c>
      <c r="R80" cm="1">
        <f t="array" ref="R80">vega_new(E80,A80,4,B80,D80,C80)</f>
        <v>67.948471549008431</v>
      </c>
      <c r="S80" cm="1">
        <f t="array" ref="S80">vega_new(E80,A80,5,B80,D80,C80)</f>
        <v>79.500825161934785</v>
      </c>
    </row>
    <row r="82" spans="1:29" x14ac:dyDescent="0.3">
      <c r="A82" s="11" t="s">
        <v>31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x14ac:dyDescent="0.3">
      <c r="A83" t="s">
        <v>13</v>
      </c>
      <c r="B83" t="s">
        <v>14</v>
      </c>
      <c r="C83" t="s">
        <v>15</v>
      </c>
      <c r="D83" t="s">
        <v>26</v>
      </c>
      <c r="F83" s="7">
        <v>0.1</v>
      </c>
      <c r="G83" s="7">
        <v>0.2</v>
      </c>
      <c r="H83" s="7">
        <v>0.3</v>
      </c>
      <c r="I83" s="7">
        <v>0.4</v>
      </c>
      <c r="J83" s="7">
        <v>0.5</v>
      </c>
      <c r="K83" s="7">
        <v>0.6</v>
      </c>
      <c r="L83" s="7">
        <v>0.7</v>
      </c>
      <c r="M83" s="7">
        <v>0.8</v>
      </c>
      <c r="N83" s="7">
        <v>0.9</v>
      </c>
      <c r="O83" s="7">
        <v>1</v>
      </c>
      <c r="P83" s="7">
        <v>2</v>
      </c>
      <c r="Q83" s="7">
        <v>3</v>
      </c>
      <c r="R83" s="7">
        <v>4</v>
      </c>
      <c r="S83" s="7">
        <v>5</v>
      </c>
    </row>
    <row r="84" spans="1:29" x14ac:dyDescent="0.3">
      <c r="A84">
        <v>100</v>
      </c>
      <c r="B84">
        <f>1/100</f>
        <v>0.01</v>
      </c>
      <c r="C84">
        <v>0.2</v>
      </c>
      <c r="D84">
        <v>2.5000000000000001E-2</v>
      </c>
      <c r="E84" s="5">
        <v>60</v>
      </c>
      <c r="F84" cm="1">
        <f t="array" ref="F84">rho_call(E84,A84,0.1,B84,D84,C84)</f>
        <v>2.105698459689852E-15</v>
      </c>
      <c r="G84" cm="1">
        <f t="array" ref="G84">rho_call(E84,A84,0.2,B84,D84,C84)</f>
        <v>7.0469267894842726E-8</v>
      </c>
      <c r="H84" cm="1">
        <f t="array" ref="H84">rho_call(E84,A84,0.3,B84,D84,C84)</f>
        <v>2.9091413942470592E-5</v>
      </c>
      <c r="I84" cm="1">
        <f t="array" ref="I84">rho_call(E84,A84,0.4,B84,D84,C84)</f>
        <v>6.6487347395997344E-4</v>
      </c>
      <c r="J84" cm="1">
        <f t="array" ref="J84">rho_call(E84,A84,0.5,B84,D84,C84)</f>
        <v>4.6541654403394134E-3</v>
      </c>
      <c r="K84" cm="1">
        <f t="array" ref="K84">rho_call(E84,A84,0.6,B84,D84,C84)</f>
        <v>1.7806411853700042E-2</v>
      </c>
      <c r="L84" cm="1">
        <f t="array" ref="L84">rho_call(E84,A84,0.7,B84,D84,C84)</f>
        <v>4.7899788187958876E-2</v>
      </c>
      <c r="M84" cm="1">
        <f t="array" ref="M84">rho_call(E84,A84,0.8,B84,D84,C84)</f>
        <v>0.10294283538146176</v>
      </c>
      <c r="N84" cm="1">
        <f t="array" ref="N84">rho_call(E84,A84,0.9,B84,D84,C84)</f>
        <v>0.18994145613178132</v>
      </c>
      <c r="O84" cm="1">
        <f t="array" ref="O84">rho_call(E84,A84,1,B84,D84,C84)</f>
        <v>0.31435085784565775</v>
      </c>
      <c r="P84" cm="1">
        <f t="array" ref="P84">rho_call(E84,A84,2,B84,D84,C84)</f>
        <v>3.9228855089875214</v>
      </c>
      <c r="Q84" cm="1">
        <f t="array" ref="Q84">rho_call(E84,A84,3,B84,D84,C84)</f>
        <v>10.982626447778118</v>
      </c>
      <c r="R84" cm="1">
        <f t="array" ref="R84">rho_call(E84,A84,4,B84,D84,C84)</f>
        <v>19.931287382752028</v>
      </c>
      <c r="S84" cm="1">
        <f t="array" ref="S84">rho_call(E84,A84,5,B84,D84,C84)</f>
        <v>29.759147985787362</v>
      </c>
    </row>
    <row r="85" spans="1:29" x14ac:dyDescent="0.3">
      <c r="A85">
        <v>100</v>
      </c>
      <c r="B85">
        <f t="shared" ref="B85:B100" si="4">1/100</f>
        <v>0.01</v>
      </c>
      <c r="C85">
        <v>0.2</v>
      </c>
      <c r="D85">
        <v>2.5000000000000001E-2</v>
      </c>
      <c r="E85" s="5">
        <v>65</v>
      </c>
      <c r="F85" cm="1">
        <f t="array" ref="F85">rho_call(E85,A85,0.1,B85,D85,C85)</f>
        <v>3.2838547288223906E-11</v>
      </c>
      <c r="G85" cm="1">
        <f t="array" ref="G85">rho_call(E85,A85,0.2,B85,D85,C85)</f>
        <v>9.8328160386197444E-6</v>
      </c>
      <c r="H85" cm="1">
        <f t="array" ref="H85">rho_call(E85,A85,0.3,B85,D85,C85)</f>
        <v>8.4004473402227056E-4</v>
      </c>
      <c r="I85" cm="1">
        <f t="array" ref="I85">rho_call(E85,A85,0.4,B85,D85,C85)</f>
        <v>8.7166046252088458E-3</v>
      </c>
      <c r="J85" cm="1">
        <f t="array" ref="J85">rho_call(E85,A85,0.5,B85,D85,C85)</f>
        <v>3.7940690760638433E-2</v>
      </c>
      <c r="K85" cm="1">
        <f t="array" ref="K85">rho_call(E85,A85,0.6,B85,D85,C85)</f>
        <v>0.10564547442602165</v>
      </c>
      <c r="L85" cm="1">
        <f t="array" ref="L85">rho_call(E85,A85,0.7,B85,D85,C85)</f>
        <v>0.22632002053575634</v>
      </c>
      <c r="M85" cm="1">
        <f t="array" ref="M85">rho_call(E85,A85,0.8,B85,D85,C85)</f>
        <v>0.40979903861485306</v>
      </c>
      <c r="N85" cm="1">
        <f t="array" ref="N85">rho_call(E85,A85,0.9,B85,D85,C85)</f>
        <v>0.6614791274669195</v>
      </c>
      <c r="O85" cm="1">
        <f t="array" ref="O85">rho_call(E85,A85,1,B85,D85,C85)</f>
        <v>0.98329726607053713</v>
      </c>
      <c r="P85" cm="1">
        <f t="array" ref="P85">rho_call(E85,A85,2,B85,D85,C85)</f>
        <v>7.5120527325579793</v>
      </c>
      <c r="Q85" cm="1">
        <f t="array" ref="Q85">rho_call(E85,A85,3,B85,D85,C85)</f>
        <v>17.750760626515458</v>
      </c>
      <c r="R85" cm="1">
        <f t="array" ref="R85">rho_call(E85,A85,4,B85,D85,C85)</f>
        <v>29.513953842372629</v>
      </c>
      <c r="S85" cm="1">
        <f t="array" ref="S85">rho_call(E85,A85,5,B85,D85,C85)</f>
        <v>41.748039626692083</v>
      </c>
    </row>
    <row r="86" spans="1:29" x14ac:dyDescent="0.3">
      <c r="A86">
        <v>100</v>
      </c>
      <c r="B86">
        <f t="shared" si="4"/>
        <v>0.01</v>
      </c>
      <c r="C86">
        <v>0.2</v>
      </c>
      <c r="D86">
        <v>2.5000000000000001E-2</v>
      </c>
      <c r="E86" s="5">
        <v>70</v>
      </c>
      <c r="F86" cm="1">
        <f t="array" ref="F86">rho_call(E86,A86,0.1,B86,D86,C86)</f>
        <v>6.1672761171565206E-8</v>
      </c>
      <c r="G86" cm="1">
        <f t="array" ref="G86">rho_call(E86,A86,0.2,B86,D86,C86)</f>
        <v>4.7729436377053319E-4</v>
      </c>
      <c r="H86" cm="1">
        <f t="array" ref="H86">rho_call(E86,A86,0.3,B86,D86,C86)</f>
        <v>1.2005679133453699E-2</v>
      </c>
      <c r="I86" cm="1">
        <f t="array" ref="I86">rho_call(E86,A86,0.4,B86,D86,C86)</f>
        <v>6.7425631770301808E-2</v>
      </c>
      <c r="J86" cm="1">
        <f t="array" ref="J86">rho_call(E86,A86,0.5,B86,D86,C86)</f>
        <v>0.2027189526123723</v>
      </c>
      <c r="K86" cm="1">
        <f t="array" ref="K86">rho_call(E86,A86,0.6,B86,D86,C86)</f>
        <v>0.4405574612900402</v>
      </c>
      <c r="L86" cm="1">
        <f t="array" ref="L86">rho_call(E86,A86,0.7,B86,D86,C86)</f>
        <v>0.78997278408481253</v>
      </c>
      <c r="M86" cm="1">
        <f t="array" ref="M86">rho_call(E86,A86,0.8,B86,D86,C86)</f>
        <v>1.2509015294646824</v>
      </c>
      <c r="N86" cm="1">
        <f t="array" ref="N86">rho_call(E86,A86,0.9,B86,D86,C86)</f>
        <v>1.8182118027512655</v>
      </c>
      <c r="O86" cm="1">
        <f t="array" ref="O86">rho_call(E86,A86,1,B86,D86,C86)</f>
        <v>2.4843349654412155</v>
      </c>
      <c r="P86" cm="1">
        <f t="array" ref="P86">rho_call(E86,A86,2,B86,D86,C86)</f>
        <v>12.881823669038321</v>
      </c>
      <c r="Q86" cm="1">
        <f t="array" ref="Q86">rho_call(E86,A86,3,B86,D86,C86)</f>
        <v>26.582961836566767</v>
      </c>
      <c r="R86" cm="1">
        <f t="array" ref="R86">rho_call(E86,A86,4,B86,D86,C86)</f>
        <v>41.189415164212903</v>
      </c>
      <c r="S86" cm="1">
        <f t="array" ref="S86">rho_call(E86,A86,5,B86,D86,C86)</f>
        <v>55.764456329145709</v>
      </c>
    </row>
    <row r="87" spans="1:29" x14ac:dyDescent="0.3">
      <c r="A87">
        <v>100</v>
      </c>
      <c r="B87">
        <f t="shared" si="4"/>
        <v>0.01</v>
      </c>
      <c r="C87">
        <v>0.2</v>
      </c>
      <c r="D87">
        <v>2.5000000000000001E-2</v>
      </c>
      <c r="E87" s="5">
        <v>75</v>
      </c>
      <c r="F87" cm="1">
        <f t="array" ref="F87">rho_call(E87,A87,0.1,B87,D87,C87)</f>
        <v>2.0702625542727056E-5</v>
      </c>
      <c r="G87" cm="1">
        <f t="array" ref="G87">rho_call(E87,A87,0.2,B87,D87,C87)</f>
        <v>9.8348937896981063E-3</v>
      </c>
      <c r="H87" cm="1">
        <f t="array" ref="H87">rho_call(E87,A87,0.3,B87,D87,C87)</f>
        <v>9.7035529034190091E-2</v>
      </c>
      <c r="I87" cm="1">
        <f t="array" ref="I87">rho_call(E87,A87,0.4,B87,D87,C87)</f>
        <v>0.34021309681566797</v>
      </c>
      <c r="J87" cm="1">
        <f t="array" ref="J87">rho_call(E87,A87,0.5,B87,D87,C87)</f>
        <v>0.76941077652567125</v>
      </c>
      <c r="K87" cm="1">
        <f t="array" ref="K87">rho_call(E87,A87,0.6,B87,D87,C87)</f>
        <v>1.3810629796509994</v>
      </c>
      <c r="L87" cm="1">
        <f t="array" ref="L87">rho_call(E87,A87,0.7,B87,D87,C87)</f>
        <v>2.1580288933448779</v>
      </c>
      <c r="M87" cm="1">
        <f t="array" ref="M87">rho_call(E87,A87,0.8,B87,D87,C87)</f>
        <v>3.0797208319189258</v>
      </c>
      <c r="N87" cm="1">
        <f t="array" ref="N87">rho_call(E87,A87,0.9,B87,D87,C87)</f>
        <v>4.1262245117300056</v>
      </c>
      <c r="O87" cm="1">
        <f t="array" ref="O87">rho_call(E87,A87,1,B87,D87,C87)</f>
        <v>5.2797072280344226</v>
      </c>
      <c r="P87" cm="1">
        <f t="array" ref="P87">rho_call(E87,A87,2,B87,D87,C87)</f>
        <v>20.193640901122578</v>
      </c>
      <c r="Q87" cm="1">
        <f t="array" ref="Q87">rho_call(E87,A87,3,B87,D87,C87)</f>
        <v>37.406694692048724</v>
      </c>
      <c r="R87" cm="1">
        <f t="array" ref="R87">rho_call(E87,A87,4,B87,D87,C87)</f>
        <v>54.760621561934123</v>
      </c>
      <c r="S87" cm="1">
        <f t="array" ref="S87">rho_call(E87,A87,5,B87,D87,C87)</f>
        <v>71.546981814613346</v>
      </c>
    </row>
    <row r="88" spans="1:29" x14ac:dyDescent="0.3">
      <c r="A88">
        <v>100</v>
      </c>
      <c r="B88">
        <f t="shared" si="4"/>
        <v>0.01</v>
      </c>
      <c r="C88">
        <v>0.2</v>
      </c>
      <c r="D88">
        <v>2.5000000000000001E-2</v>
      </c>
      <c r="E88" s="5">
        <v>80</v>
      </c>
      <c r="F88" cm="1">
        <f t="array" ref="F88">rho_call(E88,A88,0.1,B88,D88,C88)</f>
        <v>1.6930905023458892E-3</v>
      </c>
      <c r="G88" cm="1">
        <f t="array" ref="G88">rho_call(E88,A88,0.2,B88,D88,C88)</f>
        <v>0.1005956022482493</v>
      </c>
      <c r="H88" cm="1">
        <f t="array" ref="H88">rho_call(E88,A88,0.3,B88,D88,C88)</f>
        <v>0.49255829941083973</v>
      </c>
      <c r="I88" cm="1">
        <f t="array" ref="I88">rho_call(E88,A88,0.4,B88,D88,C88)</f>
        <v>1.2115917679643928</v>
      </c>
      <c r="J88" cm="1">
        <f t="array" ref="J88">rho_call(E88,A88,0.5,B88,D88,C88)</f>
        <v>2.209651297903342</v>
      </c>
      <c r="K88" cm="1">
        <f t="array" ref="K88">rho_call(E88,A88,0.6,B88,D88,C88)</f>
        <v>3.4305448572554673</v>
      </c>
      <c r="L88" cm="1">
        <f t="array" ref="L88">rho_call(E88,A88,0.7,B88,D88,C88)</f>
        <v>4.827091784937295</v>
      </c>
      <c r="M88" cm="1">
        <f t="array" ref="M88">rho_call(E88,A88,0.8,B88,D88,C88)</f>
        <v>6.3624231461279352</v>
      </c>
      <c r="N88" cm="1">
        <f t="array" ref="N88">rho_call(E88,A88,0.9,B88,D88,C88)</f>
        <v>8.0081177456180939</v>
      </c>
      <c r="O88" cm="1">
        <f t="array" ref="O88">rho_call(E88,A88,1,B88,D88,C88)</f>
        <v>9.7421678429128047</v>
      </c>
      <c r="P88" cm="1">
        <f t="array" ref="P88">rho_call(E88,A88,2,B88,D88,C88)</f>
        <v>29.406619525493394</v>
      </c>
      <c r="Q88" cm="1">
        <f t="array" ref="Q88">rho_call(E88,A88,3,B88,D88,C88)</f>
        <v>50.002468929469146</v>
      </c>
      <c r="R88" cm="1">
        <f t="array" ref="R88">rho_call(E88,A88,4,B88,D88,C88)</f>
        <v>69.936398642254659</v>
      </c>
      <c r="S88" cm="1">
        <f t="array" ref="S88">rho_call(E88,A88,5,B88,D88,C88)</f>
        <v>88.777690547630769</v>
      </c>
    </row>
    <row r="89" spans="1:29" x14ac:dyDescent="0.3">
      <c r="A89">
        <v>100</v>
      </c>
      <c r="B89">
        <f t="shared" si="4"/>
        <v>0.01</v>
      </c>
      <c r="C89">
        <v>0.2</v>
      </c>
      <c r="D89">
        <v>2.5000000000000001E-2</v>
      </c>
      <c r="E89" s="5">
        <v>85</v>
      </c>
      <c r="F89" cm="1">
        <f t="array" ref="F89">rho_call(E89,A89,0.1,B89,D89,C89)</f>
        <v>4.3282482526367273E-2</v>
      </c>
      <c r="G89" cm="1">
        <f t="array" ref="G89">rho_call(E89,A89,0.2,B89,D89,C89)</f>
        <v>0.57939421002325475</v>
      </c>
      <c r="H89" cm="1">
        <f t="array" ref="H89">rho_call(E89,A89,0.3,B89,D89,C89)</f>
        <v>1.7083963314194306</v>
      </c>
      <c r="I89" cm="1">
        <f t="array" ref="I89">rho_call(E89,A89,0.4,B89,D89,C89)</f>
        <v>3.2442710870066378</v>
      </c>
      <c r="J89" cm="1">
        <f t="array" ref="J89">rho_call(E89,A89,0.5,B89,D89,C89)</f>
        <v>5.0507898494997212</v>
      </c>
      <c r="K89" cm="1">
        <f t="array" ref="K89">rho_call(E89,A89,0.6,B89,D89,C89)</f>
        <v>7.0427715809633229</v>
      </c>
      <c r="L89" cm="1">
        <f t="array" ref="L89">rho_call(E89,A89,0.7,B89,D89,C89)</f>
        <v>9.1656649028146138</v>
      </c>
      <c r="M89" cm="1">
        <f t="array" ref="M89">rho_call(E89,A89,0.8,B89,D89,C89)</f>
        <v>11.383007075952746</v>
      </c>
      <c r="N89" cm="1">
        <f t="array" ref="N89">rho_call(E89,A89,0.9,B89,D89,C89)</f>
        <v>13.669433528585742</v>
      </c>
      <c r="O89" cm="1">
        <f t="array" ref="O89">rho_call(E89,A89,1,B89,D89,C89)</f>
        <v>16.00669052183126</v>
      </c>
      <c r="P89" cm="1">
        <f t="array" ref="P89">rho_call(E89,A89,2,B89,D89,C89)</f>
        <v>40.28932048501531</v>
      </c>
      <c r="Q89" cm="1">
        <f t="array" ref="Q89">rho_call(E89,A89,3,B89,D89,C89)</f>
        <v>64.04359395090917</v>
      </c>
      <c r="R89" cm="1">
        <f t="array" ref="R89">rho_call(E89,A89,4,B89,D89,C89)</f>
        <v>86.369388842633086</v>
      </c>
      <c r="S89" cm="1">
        <f t="array" ref="S89">rho_call(E89,A89,5,B89,D89,C89)</f>
        <v>107.11315183684813</v>
      </c>
    </row>
    <row r="90" spans="1:29" x14ac:dyDescent="0.3">
      <c r="A90">
        <v>100</v>
      </c>
      <c r="B90">
        <f t="shared" si="4"/>
        <v>0.01</v>
      </c>
      <c r="C90">
        <v>0.2</v>
      </c>
      <c r="D90">
        <v>2.5000000000000001E-2</v>
      </c>
      <c r="E90" s="5">
        <v>90</v>
      </c>
      <c r="F90" cm="1">
        <f t="array" ref="F90">rho_call(E90,A90,0.1,B90,D90,C90)</f>
        <v>0.42561431666855515</v>
      </c>
      <c r="G90" cm="1">
        <f t="array" ref="G90">rho_call(E90,A90,0.2,B90,D90,C90)</f>
        <v>2.0861539579663408</v>
      </c>
      <c r="H90" cm="1">
        <f t="array" ref="H90">rho_call(E90,A90,0.3,B90,D90,C90)</f>
        <v>4.3401379566586495</v>
      </c>
      <c r="I90" cm="1">
        <f t="array" ref="I90">rho_call(E90,A90,0.4,B90,D90,C90)</f>
        <v>6.879624719939164</v>
      </c>
      <c r="J90" cm="1">
        <f t="array" ref="J90">rho_call(E90,A90,0.5,B90,D90,C90)</f>
        <v>9.5765257323513993</v>
      </c>
      <c r="K90" cm="1">
        <f t="array" ref="K90">rho_call(E90,A90,0.6,B90,D90,C90)</f>
        <v>12.366525958643454</v>
      </c>
      <c r="L90" cm="1">
        <f t="array" ref="L90">rho_call(E90,A90,0.7,B90,D90,C90)</f>
        <v>15.213006278304778</v>
      </c>
      <c r="M90" cm="1">
        <f t="array" ref="M90">rho_call(E90,A90,0.8,B90,D90,C90)</f>
        <v>18.093261741271899</v>
      </c>
      <c r="N90" cm="1">
        <f t="array" ref="N90">rho_call(E90,A90,0.9,B90,D90,C90)</f>
        <v>20.99233408627434</v>
      </c>
      <c r="O90" cm="1">
        <f t="array" ref="O90">rho_call(E90,A90,1,B90,D90,C90)</f>
        <v>23.899916379923557</v>
      </c>
      <c r="P90" cm="1">
        <f t="array" ref="P90">rho_call(E90,A90,2,B90,D90,C90)</f>
        <v>52.466345842550894</v>
      </c>
      <c r="Q90" cm="1">
        <f t="array" ref="Q90">rho_call(E90,A90,3,B90,D90,C90)</f>
        <v>79.141682968327174</v>
      </c>
      <c r="R90" cm="1">
        <f t="array" ref="R90">rho_call(E90,A90,4,B90,D90,C90)</f>
        <v>103.69051651660106</v>
      </c>
      <c r="S90" cm="1">
        <f t="array" ref="S90">rho_call(E90,A90,5,B90,D90,C90)</f>
        <v>126.20945234110793</v>
      </c>
    </row>
    <row r="91" spans="1:29" x14ac:dyDescent="0.3">
      <c r="A91">
        <v>100</v>
      </c>
      <c r="B91">
        <f t="shared" si="4"/>
        <v>0.01</v>
      </c>
      <c r="C91">
        <v>0.2</v>
      </c>
      <c r="D91">
        <v>2.5000000000000001E-2</v>
      </c>
      <c r="E91" s="5">
        <v>95</v>
      </c>
      <c r="F91" cm="1">
        <f t="array" ref="F91">rho_call(E91,A91,0.1,B91,D91,C91)</f>
        <v>1.9295386924086397</v>
      </c>
      <c r="G91" cm="1">
        <f t="array" ref="G91">rho_call(E91,A91,0.2,B91,D91,C91)</f>
        <v>5.135415484518826</v>
      </c>
      <c r="H91" cm="1">
        <f t="array" ref="H91">rho_call(E91,A91,0.3,B91,D91,C91)</f>
        <v>8.5646299459236523</v>
      </c>
      <c r="I91" cm="1">
        <f t="array" ref="I91">rho_call(E91,A91,0.4,B91,D91,C91)</f>
        <v>12.066089805336738</v>
      </c>
      <c r="J91" cm="1">
        <f t="array" ref="J91">rho_call(E91,A91,0.5,B91,D91,C91)</f>
        <v>15.588208359910595</v>
      </c>
      <c r="K91" cm="1">
        <f t="array" ref="K91">rho_call(E91,A91,0.6,B91,D91,C91)</f>
        <v>19.107493706027185</v>
      </c>
      <c r="L91" cm="1">
        <f t="array" ref="L91">rho_call(E91,A91,0.7,B91,D91,C91)</f>
        <v>22.611590143991041</v>
      </c>
      <c r="M91" cm="1">
        <f t="array" ref="M91">rho_call(E91,A91,0.8,B91,D91,C91)</f>
        <v>26.093436148127605</v>
      </c>
      <c r="N91" cm="1">
        <f t="array" ref="N91">rho_call(E91,A91,0.9,B91,D91,C91)</f>
        <v>29.548793984790478</v>
      </c>
      <c r="O91" cm="1">
        <f t="array" ref="O91">rho_call(E91,A91,1,B91,D91,C91)</f>
        <v>32.975056485877694</v>
      </c>
      <c r="P91" cm="1">
        <f t="array" ref="P91">rho_call(E91,A91,2,B91,D91,C91)</f>
        <v>65.481405302968582</v>
      </c>
      <c r="Q91" cm="1">
        <f t="array" ref="Q91">rho_call(E91,A91,3,B91,D91,C91)</f>
        <v>94.889180864850744</v>
      </c>
      <c r="R91" cm="1">
        <f t="array" ref="R91">rho_call(E91,A91,4,B91,D91,C91)</f>
        <v>121.53682976239467</v>
      </c>
      <c r="S91" cm="1">
        <f t="array" ref="S91">rho_call(E91,A91,5,B91,D91,C91)</f>
        <v>145.74061937359039</v>
      </c>
    </row>
    <row r="92" spans="1:29" x14ac:dyDescent="0.3">
      <c r="A92">
        <v>100</v>
      </c>
      <c r="B92">
        <f t="shared" si="4"/>
        <v>0.01</v>
      </c>
      <c r="C92">
        <v>0.2</v>
      </c>
      <c r="D92">
        <v>2.5000000000000001E-2</v>
      </c>
      <c r="E92" s="5">
        <v>100</v>
      </c>
      <c r="F92" cm="1">
        <f t="array" ref="F92">rho_call(E92,A92,0.1,B92,D92,C92)</f>
        <v>4.7745615896881741</v>
      </c>
      <c r="G92" cm="1">
        <f t="array" ref="G92">rho_call(E92,A92,0.2,B92,D92,C92)</f>
        <v>9.3574597798305952</v>
      </c>
      <c r="H92" cm="1">
        <f t="array" ref="H92">rho_call(E92,A92,0.3,B92,D92,C92)</f>
        <v>13.813076890990503</v>
      </c>
      <c r="I92" cm="1">
        <f t="array" ref="I92">rho_call(E92,A92,0.4,B92,D92,C92)</f>
        <v>18.164602673684985</v>
      </c>
      <c r="J92" cm="1">
        <f t="array" ref="J92">rho_call(E92,A92,0.5,B92,D92,C92)</f>
        <v>22.42554698974585</v>
      </c>
      <c r="K92" cm="1">
        <f t="array" ref="K92">rho_call(E92,A92,0.6,B92,D92,C92)</f>
        <v>26.605095852007466</v>
      </c>
      <c r="L92" cm="1">
        <f t="array" ref="L92">rho_call(E92,A92,0.7,B92,D92,C92)</f>
        <v>30.710044125946045</v>
      </c>
      <c r="M92" cm="1">
        <f t="array" ref="M92">rho_call(E92,A92,0.8,B92,D92,C92)</f>
        <v>34.745695814504138</v>
      </c>
      <c r="N92" cm="1">
        <f t="array" ref="N92">rho_call(E92,A92,0.9,B92,D92,C92)</f>
        <v>38.71634959003061</v>
      </c>
      <c r="O92" cm="1">
        <f t="array" ref="O92">rho_call(E92,A92,1,B92,D92,C92)</f>
        <v>42.625587403763994</v>
      </c>
      <c r="P92" cm="1">
        <f t="array" ref="P92">rho_call(E92,A92,2,B92,D92,C92)</f>
        <v>78.860027978597216</v>
      </c>
      <c r="Q92" cm="1">
        <f t="array" ref="Q92">rho_call(E92,A92,3,B92,D92,C92)</f>
        <v>110.89381238715949</v>
      </c>
      <c r="R92" cm="1">
        <f t="array" ref="R92">rho_call(E92,A92,4,B92,D92,C92)</f>
        <v>139.57170998971654</v>
      </c>
      <c r="S92" cm="1">
        <f t="array" ref="S92">rho_call(E92,A92,5,B92,D92,C92)</f>
        <v>165.41087953990137</v>
      </c>
    </row>
    <row r="93" spans="1:29" x14ac:dyDescent="0.3">
      <c r="A93">
        <v>100</v>
      </c>
      <c r="B93">
        <f t="shared" si="4"/>
        <v>0.01</v>
      </c>
      <c r="C93">
        <v>0.2</v>
      </c>
      <c r="D93">
        <v>2.5000000000000001E-2</v>
      </c>
      <c r="E93" s="5">
        <v>105</v>
      </c>
      <c r="F93" cm="1">
        <f t="array" ref="F93">rho_call(E93,A93,0.1,B93,D93,C93)</f>
        <v>7.6227265899163505</v>
      </c>
      <c r="G93" cm="1">
        <f t="array" ref="G93">rho_call(E93,A93,0.2,B93,D93,C93)</f>
        <v>13.569467990382485</v>
      </c>
      <c r="H93" cm="1">
        <f t="array" ref="H93">rho_call(E93,A93,0.3,B93,D93,C93)</f>
        <v>19.042524943986621</v>
      </c>
      <c r="I93" cm="1">
        <f t="array" ref="I93">rho_call(E93,A93,0.4,B93,D93,C93)</f>
        <v>24.237153189656581</v>
      </c>
      <c r="J93" cm="1">
        <f t="array" ref="J93">rho_call(E93,A93,0.5,B93,D93,C93)</f>
        <v>29.231128718334531</v>
      </c>
      <c r="K93" cm="1">
        <f t="array" ref="K93">rho_call(E93,A93,0.6,B93,D93,C93)</f>
        <v>34.065921634114602</v>
      </c>
      <c r="L93" cm="1">
        <f t="array" ref="L93">rho_call(E93,A93,0.7,B93,D93,C93)</f>
        <v>38.767259361878786</v>
      </c>
      <c r="M93" cm="1">
        <f t="array" ref="M93">rho_call(E93,A93,0.8,B93,D93,C93)</f>
        <v>43.352677591425177</v>
      </c>
      <c r="N93" cm="1">
        <f t="array" ref="N93">rho_call(E93,A93,0.9,B93,D93,C93)</f>
        <v>47.834922952155594</v>
      </c>
      <c r="O93" cm="1">
        <f t="array" ref="O93">rho_call(E93,A93,1,B93,D93,C93)</f>
        <v>52.223704763570225</v>
      </c>
      <c r="P93" cm="1">
        <f t="array" ref="P93">rho_call(E93,A93,2,B93,D93,C93)</f>
        <v>92.160649880288943</v>
      </c>
      <c r="Q93" cm="1">
        <f t="array" ref="Q93">rho_call(E93,A93,3,B93,D93,C93)</f>
        <v>126.802989808834</v>
      </c>
      <c r="R93" cm="1">
        <f t="array" ref="R93">rho_call(E93,A93,4,B93,D93,C93)</f>
        <v>157.49781701704299</v>
      </c>
      <c r="S93" cm="1">
        <f t="array" ref="S93">rho_call(E93,A93,5,B93,D93,C93)</f>
        <v>184.96170998069042</v>
      </c>
    </row>
    <row r="94" spans="1:29" x14ac:dyDescent="0.3">
      <c r="A94">
        <v>100</v>
      </c>
      <c r="B94">
        <f t="shared" si="4"/>
        <v>0.01</v>
      </c>
      <c r="C94">
        <v>0.2</v>
      </c>
      <c r="D94">
        <v>2.5000000000000001E-2</v>
      </c>
      <c r="E94" s="5">
        <v>110</v>
      </c>
      <c r="F94" cm="1">
        <f t="array" ref="F94">rho_call(E94,A94,0.1,B94,D94,C94)</f>
        <v>9.2577378854668098</v>
      </c>
      <c r="G94" cm="1">
        <f t="array" ref="G94">rho_call(E94,A94,0.2,B94,D94,C94)</f>
        <v>16.731732518089093</v>
      </c>
      <c r="H94" cm="1">
        <f t="array" ref="H94">rho_call(E94,A94,0.3,B94,D94,C94)</f>
        <v>23.347730023922345</v>
      </c>
      <c r="I94" cm="1">
        <f t="array" ref="I94">rho_call(E94,A94,0.4,B94,D94,C94)</f>
        <v>29.474960467675167</v>
      </c>
      <c r="J94" cm="1">
        <f t="array" ref="J94">rho_call(E94,A94,0.5,B94,D94,C94)</f>
        <v>35.268678063176687</v>
      </c>
      <c r="K94" cm="1">
        <f t="array" ref="K94">rho_call(E94,A94,0.6,B94,D94,C94)</f>
        <v>40.810541953568915</v>
      </c>
      <c r="L94" cm="1">
        <f t="array" ref="L94">rho_call(E94,A94,0.7,B94,D94,C94)</f>
        <v>46.149869472846298</v>
      </c>
      <c r="M94" cm="1">
        <f t="array" ref="M94">rho_call(E94,A94,0.8,B94,D94,C94)</f>
        <v>51.31931061627386</v>
      </c>
      <c r="N94" cm="1">
        <f t="array" ref="N94">rho_call(E94,A94,0.9,B94,D94,C94)</f>
        <v>56.341935995726814</v>
      </c>
      <c r="O94" cm="1">
        <f t="array" ref="O94">rho_call(E94,A94,1,B94,D94,C94)</f>
        <v>61.234857288970119</v>
      </c>
      <c r="P94" cm="1">
        <f t="array" ref="P94">rho_call(E94,A94,2,B94,D94,C94)</f>
        <v>105.00902939865654</v>
      </c>
      <c r="Q94" cm="1">
        <f t="array" ref="Q94">rho_call(E94,A94,3,B94,D94,C94)</f>
        <v>142.3184192033666</v>
      </c>
      <c r="R94" cm="1">
        <f t="array" ref="R94">rho_call(E94,A94,4,B94,D94,C94)</f>
        <v>175.06387045800776</v>
      </c>
      <c r="S94" cm="1">
        <f t="array" ref="S94">rho_call(E94,A94,5,B94,D94,C94)</f>
        <v>204.17481014898081</v>
      </c>
    </row>
    <row r="95" spans="1:29" x14ac:dyDescent="0.3">
      <c r="A95">
        <v>100</v>
      </c>
      <c r="B95">
        <f t="shared" si="4"/>
        <v>0.01</v>
      </c>
      <c r="C95">
        <v>0.2</v>
      </c>
      <c r="D95">
        <v>2.5000000000000001E-2</v>
      </c>
      <c r="E95" s="5">
        <v>115</v>
      </c>
      <c r="F95" cm="1">
        <f t="array" ref="F95">rho_call(E95,A95,0.1,B95,D95,C95)</f>
        <v>9.8341522908235426</v>
      </c>
      <c r="G95" cm="1">
        <f t="array" ref="G95">rho_call(E95,A95,0.2,B95,D95,C95)</f>
        <v>18.58556086512478</v>
      </c>
      <c r="H95" cm="1">
        <f t="array" ref="H95">rho_call(E95,A95,0.3,B95,D95,C95)</f>
        <v>26.350794044405639</v>
      </c>
      <c r="I95" cm="1">
        <f t="array" ref="I95">rho_call(E95,A95,0.4,B95,D95,C95)</f>
        <v>33.463712042172574</v>
      </c>
      <c r="J95" cm="1">
        <f t="array" ref="J95">rho_call(E95,A95,0.5,B95,D95,C95)</f>
        <v>40.116392403525992</v>
      </c>
      <c r="K95" cm="1">
        <f t="array" ref="K95">rho_call(E95,A95,0.6,B95,D95,C95)</f>
        <v>46.421144567791927</v>
      </c>
      <c r="L95" cm="1">
        <f t="array" ref="L95">rho_call(E95,A95,0.7,B95,D95,C95)</f>
        <v>52.448831867365897</v>
      </c>
      <c r="M95" cm="1">
        <f t="array" ref="M95">rho_call(E95,A95,0.8,B95,D95,C95)</f>
        <v>58.247226457291376</v>
      </c>
      <c r="N95" cm="1">
        <f t="array" ref="N95">rho_call(E95,A95,0.9,B95,D95,C95)</f>
        <v>63.850278207770565</v>
      </c>
      <c r="O95" cm="1">
        <f t="array" ref="O95">rho_call(E95,A95,1,B95,D95,C95)</f>
        <v>69.283147897716219</v>
      </c>
      <c r="P95" cm="1">
        <f t="array" ref="P95">rho_call(E95,A95,2,B95,D95,C95)</f>
        <v>117.11586031612848</v>
      </c>
      <c r="Q95" cm="1">
        <f t="array" ref="Q95">rho_call(E95,A95,3,B95,D95,C95)</f>
        <v>157.20239568734314</v>
      </c>
      <c r="R95" cm="1">
        <f t="array" ref="R95">rho_call(E95,A95,4,B95,D95,C95)</f>
        <v>192.06664046017445</v>
      </c>
      <c r="S95" cm="1">
        <f t="array" ref="S95">rho_call(E95,A95,5,B95,D95,C95)</f>
        <v>222.87208530914629</v>
      </c>
    </row>
    <row r="96" spans="1:29" x14ac:dyDescent="0.3">
      <c r="A96">
        <v>100</v>
      </c>
      <c r="B96">
        <f t="shared" si="4"/>
        <v>0.01</v>
      </c>
      <c r="C96">
        <v>0.2</v>
      </c>
      <c r="D96">
        <v>2.5000000000000001E-2</v>
      </c>
      <c r="E96" s="5">
        <v>120</v>
      </c>
      <c r="F96" cm="1">
        <f t="array" ref="F96">rho_call(E96,A96,0.1,B96,D96,C96)</f>
        <v>9.9665658653332425</v>
      </c>
      <c r="G96" cm="1">
        <f t="array" ref="G96">rho_call(E96,A96,0.2,B96,D96,C96)</f>
        <v>19.46126129163865</v>
      </c>
      <c r="H96" cm="1">
        <f t="array" ref="H96">rho_call(E96,A96,0.3,B96,D96,C96)</f>
        <v>28.163945577138815</v>
      </c>
      <c r="I96" cm="1">
        <f t="array" ref="I96">rho_call(E96,A96,0.4,B96,D96,C96)</f>
        <v>36.18919022875118</v>
      </c>
      <c r="J96" cm="1">
        <f t="array" ref="J96">rho_call(E96,A96,0.5,B96,D96,C96)</f>
        <v>43.685250261735433</v>
      </c>
      <c r="K96" cm="1">
        <f t="array" ref="K96">rho_call(E96,A96,0.6,B96,D96,C96)</f>
        <v>50.762781920897147</v>
      </c>
      <c r="L96" cm="1">
        <f t="array" ref="L96">rho_call(E96,A96,0.7,B96,D96,C96)</f>
        <v>57.500194315361021</v>
      </c>
      <c r="M96" cm="1">
        <f t="array" ref="M96">rho_call(E96,A96,0.8,B96,D96,C96)</f>
        <v>63.9538618694856</v>
      </c>
      <c r="N96" cm="1">
        <f t="array" ref="N96">rho_call(E96,A96,0.9,B96,D96,C96)</f>
        <v>70.165419915772958</v>
      </c>
      <c r="O96" cm="1">
        <f t="array" ref="O96">rho_call(E96,A96,1,B96,D96,C96)</f>
        <v>76.166469259500985</v>
      </c>
      <c r="P96" cm="1">
        <f t="array" ref="P96">rho_call(E96,A96,2,B96,D96,C96)</f>
        <v>128.28042100913783</v>
      </c>
      <c r="Q96" cm="1">
        <f t="array" ref="Q96">rho_call(E96,A96,3,B96,D96,C96)</f>
        <v>171.27778366127481</v>
      </c>
      <c r="R96" cm="1">
        <f t="array" ref="R96">rho_call(E96,A96,4,B96,D96,C96)</f>
        <v>208.34950561939618</v>
      </c>
      <c r="S96" cm="1">
        <f t="array" ref="S96">rho_call(E96,A96,5,B96,D96,C96)</f>
        <v>240.91359166103169</v>
      </c>
    </row>
    <row r="97" spans="1:19" x14ac:dyDescent="0.3">
      <c r="A97">
        <v>100</v>
      </c>
      <c r="B97">
        <f t="shared" si="4"/>
        <v>0.01</v>
      </c>
      <c r="C97">
        <v>0.2</v>
      </c>
      <c r="D97">
        <v>2.5000000000000001E-2</v>
      </c>
      <c r="E97" s="5">
        <v>125</v>
      </c>
      <c r="F97" cm="1">
        <f t="array" ref="F97">rho_call(E97,A97,0.1,B97,D97,C97)</f>
        <v>9.9874329431352589</v>
      </c>
      <c r="G97" cm="1">
        <f t="array" ref="G97">rho_call(E97,A97,0.2,B97,D97,C97)</f>
        <v>19.803672880489721</v>
      </c>
      <c r="H97" cm="1">
        <f t="array" ref="H97">rho_call(E97,A97,0.3,B97,D97,C97)</f>
        <v>29.12890110186401</v>
      </c>
      <c r="I97" cm="1">
        <f t="array" ref="I97">rho_call(E97,A97,0.4,B97,D97,C97)</f>
        <v>37.883275258475507</v>
      </c>
      <c r="J97" cm="1">
        <f t="array" ref="J97">rho_call(E97,A97,0.5,B97,D97,C97)</f>
        <v>46.120988106452764</v>
      </c>
      <c r="K97" cm="1">
        <f t="array" ref="K97">rho_call(E97,A97,0.6,B97,D97,C97)</f>
        <v>53.917013579207527</v>
      </c>
      <c r="L97" cm="1">
        <f t="array" ref="L97">rho_call(E97,A97,0.7,B97,D97,C97)</f>
        <v>61.337850036487922</v>
      </c>
      <c r="M97" cm="1">
        <f t="array" ref="M97">rho_call(E97,A97,0.8,B97,D97,C97)</f>
        <v>68.437376442263428</v>
      </c>
      <c r="N97" cm="1">
        <f t="array" ref="N97">rho_call(E97,A97,0.9,B97,D97,C97)</f>
        <v>75.258411416821446</v>
      </c>
      <c r="O97" cm="1">
        <f t="array" ref="O97">rho_call(E97,A97,1,B97,D97,C97)</f>
        <v>81.835068044457927</v>
      </c>
      <c r="P97" cm="1">
        <f t="array" ref="P97">rho_call(E97,A97,2,B97,D97,C97)</f>
        <v>138.38430791935519</v>
      </c>
      <c r="Q97" cm="1">
        <f t="array" ref="Q97">rho_call(E97,A97,3,B97,D97,C97)</f>
        <v>184.42369050009776</v>
      </c>
      <c r="R97" cm="1">
        <f t="array" ref="R97">rho_call(E97,A97,4,B97,D97,C97)</f>
        <v>223.79876739424134</v>
      </c>
      <c r="S97" cm="1">
        <f t="array" ref="S97">rho_call(E97,A97,5,B97,D97,C97)</f>
        <v>258.19421321835392</v>
      </c>
    </row>
    <row r="98" spans="1:19" x14ac:dyDescent="0.3">
      <c r="A98">
        <v>100</v>
      </c>
      <c r="B98">
        <f t="shared" si="4"/>
        <v>0.01</v>
      </c>
      <c r="C98">
        <v>0.2</v>
      </c>
      <c r="D98">
        <v>2.5000000000000001E-2</v>
      </c>
      <c r="E98" s="5">
        <v>130</v>
      </c>
      <c r="F98" cm="1">
        <f t="array" ref="F98">rho_call(E98,A98,0.1,B98,D98,C98)</f>
        <v>9.9897923004034208</v>
      </c>
      <c r="G98" cm="1">
        <f t="array" ref="G98">rho_call(E98,A98,0.2,B98,D98,C98)</f>
        <v>19.917097147190233</v>
      </c>
      <c r="H98" cm="1">
        <f t="array" ref="H98">rho_call(E98,A98,0.3,B98,D98,C98)</f>
        <v>29.588693160429241</v>
      </c>
      <c r="I98" cm="1">
        <f t="array" ref="I98">rho_call(E98,A98,0.4,B98,D98,C98)</f>
        <v>38.852497908128228</v>
      </c>
      <c r="J98" cm="1">
        <f t="array" ref="J98">rho_call(E98,A98,0.5,B98,D98,C98)</f>
        <v>47.676739069976144</v>
      </c>
      <c r="K98" cm="1">
        <f t="array" ref="K98">rho_call(E98,A98,0.6,B98,D98,C98)</f>
        <v>56.085475495412531</v>
      </c>
      <c r="L98" cm="1">
        <f t="array" ref="L98">rho_call(E98,A98,0.7,B98,D98,C98)</f>
        <v>64.118704140422423</v>
      </c>
      <c r="M98" cm="1">
        <f t="array" ref="M98">rho_call(E98,A98,0.8,B98,D98,C98)</f>
        <v>71.817166019090791</v>
      </c>
      <c r="N98" cm="1">
        <f t="array" ref="N98">rho_call(E98,A98,0.9,B98,D98,C98)</f>
        <v>79.217550510907145</v>
      </c>
      <c r="O98" cm="1">
        <f t="array" ref="O98">rho_call(E98,A98,1,B98,D98,C98)</f>
        <v>86.351503569536462</v>
      </c>
      <c r="P98" cm="1">
        <f t="array" ref="P98">rho_call(E98,A98,2,B98,D98,C98)</f>
        <v>147.37928368597957</v>
      </c>
      <c r="Q98" cm="1">
        <f t="array" ref="Q98">rho_call(E98,A98,3,B98,D98,C98)</f>
        <v>196.56858174780226</v>
      </c>
      <c r="R98" cm="1">
        <f t="array" ref="R98">rho_call(E98,A98,4,B98,D98,C98)</f>
        <v>238.33868025585306</v>
      </c>
      <c r="S98" cm="1">
        <f t="array" ref="S98">rho_call(E98,A98,5,B98,D98,C98)</f>
        <v>274.63966069216684</v>
      </c>
    </row>
    <row r="99" spans="1:19" x14ac:dyDescent="0.3">
      <c r="A99">
        <v>100</v>
      </c>
      <c r="B99">
        <f t="shared" si="4"/>
        <v>0.01</v>
      </c>
      <c r="C99">
        <v>0.2</v>
      </c>
      <c r="D99">
        <v>2.5000000000000001E-2</v>
      </c>
      <c r="E99" s="5">
        <v>135</v>
      </c>
      <c r="F99" cm="1">
        <f t="array" ref="F99">rho_call(E99,A99,0.1,B99,D99,C99)</f>
        <v>9.9899913337416653</v>
      </c>
      <c r="G99" cm="1">
        <f t="array" ref="G99">rho_call(E99,A99,0.2,B99,D99,C99)</f>
        <v>19.94956963120681</v>
      </c>
      <c r="H99" cm="1">
        <f t="array" ref="H99">rho_call(E99,A99,0.3,B99,D99,C99)</f>
        <v>29.787501227074735</v>
      </c>
      <c r="I99" cm="1">
        <f t="array" ref="I99">rho_call(E99,A99,0.4,B99,D99,C99)</f>
        <v>39.368085522469144</v>
      </c>
      <c r="J99" cm="1">
        <f t="array" ref="J99">rho_call(E99,A99,0.5,B99,D99,C99)</f>
        <v>48.61426034955236</v>
      </c>
      <c r="K99" cm="1">
        <f t="array" ref="K99">rho_call(E99,A99,0.6,B99,D99,C99)</f>
        <v>57.50573612502717</v>
      </c>
      <c r="L99" cm="1">
        <f t="array" ref="L99">rho_call(E99,A99,0.7,B99,D99,C99)</f>
        <v>66.051860763395865</v>
      </c>
      <c r="M99" cm="1">
        <f t="array" ref="M99">rho_call(E99,A99,0.8,B99,D99,C99)</f>
        <v>74.27414348806056</v>
      </c>
      <c r="N99" cm="1">
        <f t="array" ref="N99">rho_call(E99,A99,0.9,B99,D99,C99)</f>
        <v>82.197642280277563</v>
      </c>
      <c r="O99" cm="1">
        <f t="array" ref="O99">rho_call(E99,A99,1,B99,D99,C99)</f>
        <v>89.847133366777385</v>
      </c>
      <c r="P99" cm="1">
        <f t="array" ref="P99">rho_call(E99,A99,2,B99,D99,C99)</f>
        <v>155.27258188420234</v>
      </c>
      <c r="Q99" cm="1">
        <f t="array" ref="Q99">rho_call(E99,A99,3,B99,D99,C99)</f>
        <v>207.68221331270308</v>
      </c>
      <c r="R99" cm="1">
        <f t="array" ref="R99">rho_call(E99,A99,4,B99,D99,C99)</f>
        <v>251.92592102942012</v>
      </c>
      <c r="S99" cm="1">
        <f t="array" ref="S99">rho_call(E99,A99,5,B99,D99,C99)</f>
        <v>290.20222222590479</v>
      </c>
    </row>
    <row r="100" spans="1:19" x14ac:dyDescent="0.3">
      <c r="A100">
        <v>100</v>
      </c>
      <c r="B100">
        <f t="shared" si="4"/>
        <v>0.01</v>
      </c>
      <c r="C100">
        <v>0.2</v>
      </c>
      <c r="D100">
        <v>2.5000000000000001E-2</v>
      </c>
      <c r="E100" s="5">
        <v>140</v>
      </c>
      <c r="F100" cm="1">
        <f t="array" ref="F100">rho_call(E100,A100,0.1,B100,D100,C100)</f>
        <v>9.9900042971467329</v>
      </c>
      <c r="G100" cm="1">
        <f t="array" ref="G100">rho_call(E100,A100,0.2,B100,D100,C100)</f>
        <v>19.957745042313086</v>
      </c>
      <c r="H100" cm="1">
        <f t="array" ref="H100">rho_call(E100,A100,0.3,B100,D100,C100)</f>
        <v>29.866418936432076</v>
      </c>
      <c r="I100" cm="1">
        <f t="array" ref="I100">rho_call(E100,A100,0.4,B100,D100,C100)</f>
        <v>39.625343789972035</v>
      </c>
      <c r="J100" cm="1">
        <f t="array" ref="J100">rho_call(E100,A100,0.5,B100,D100,C100)</f>
        <v>49.15104006889235</v>
      </c>
      <c r="K100" cm="1">
        <f t="array" ref="K100">rho_call(E100,A100,0.6,B100,D100,C100)</f>
        <v>58.397150911107737</v>
      </c>
      <c r="L100" cm="1">
        <f t="array" ref="L100">rho_call(E100,A100,0.7,B100,D100,C100)</f>
        <v>67.347573149819382</v>
      </c>
      <c r="M100" cm="1">
        <f t="array" ref="M100">rho_call(E100,A100,0.8,B100,D100,C100)</f>
        <v>76.004189766190791</v>
      </c>
      <c r="N100" cm="1">
        <f t="array" ref="N100">rho_call(E100,A100,0.9,B100,D100,C100)</f>
        <v>84.378125626298669</v>
      </c>
      <c r="O100" cm="1">
        <f t="array" ref="O100">rho_call(E100,A100,1,B100,D100,C100)</f>
        <v>92.484609087935368</v>
      </c>
      <c r="P100" cm="1">
        <f t="array" ref="P100">rho_call(E100,A100,2,B100,D100,C100)</f>
        <v>162.11208143802705</v>
      </c>
      <c r="Q100" cm="1">
        <f t="array" ref="Q100">rho_call(E100,A100,3,B100,D100,C100)</f>
        <v>217.76737298926861</v>
      </c>
      <c r="R100" cm="1">
        <f t="array" ref="R100">rho_call(E100,A100,4,B100,D100,C100)</f>
        <v>264.54400921017037</v>
      </c>
      <c r="S100" cm="1">
        <f t="array" ref="S100">rho_call(E100,A100,5,B100,D100,C100)</f>
        <v>304.85656268748386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6D4D1-9593-428A-867F-9514C2411286}">
  <sheetPr codeName="Foglio6"/>
  <dimension ref="A1:AC100"/>
  <sheetViews>
    <sheetView topLeftCell="J58" workbookViewId="0">
      <selection activeCell="AD84" sqref="AD84"/>
    </sheetView>
  </sheetViews>
  <sheetFormatPr defaultRowHeight="14.4" x14ac:dyDescent="0.3"/>
  <cols>
    <col min="6" max="19" width="12.6640625" bestFit="1" customWidth="1"/>
  </cols>
  <sheetData>
    <row r="1" spans="1:29" s="9" customFormat="1" x14ac:dyDescent="0.3">
      <c r="A1" s="8" t="s">
        <v>27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x14ac:dyDescent="0.3">
      <c r="A2" t="s">
        <v>13</v>
      </c>
      <c r="B2" t="s">
        <v>14</v>
      </c>
      <c r="C2" t="s">
        <v>15</v>
      </c>
      <c r="D2" t="s">
        <v>26</v>
      </c>
      <c r="F2" s="7">
        <v>0.1</v>
      </c>
      <c r="G2" s="7">
        <v>0.2</v>
      </c>
      <c r="H2" s="7">
        <v>0.3</v>
      </c>
      <c r="I2" s="7">
        <v>0.4</v>
      </c>
      <c r="J2" s="7">
        <v>0.5</v>
      </c>
      <c r="K2" s="7">
        <v>0.6</v>
      </c>
      <c r="L2" s="7">
        <v>0.7</v>
      </c>
      <c r="M2" s="7">
        <v>0.8</v>
      </c>
      <c r="N2" s="7">
        <v>0.9</v>
      </c>
      <c r="O2" s="7">
        <v>1</v>
      </c>
      <c r="P2" s="7">
        <v>2</v>
      </c>
      <c r="Q2" s="7">
        <v>3</v>
      </c>
      <c r="R2" s="7">
        <v>4</v>
      </c>
      <c r="S2" s="7">
        <v>5</v>
      </c>
    </row>
    <row r="3" spans="1:29" x14ac:dyDescent="0.3">
      <c r="A3">
        <v>100</v>
      </c>
      <c r="B3">
        <f>1/100</f>
        <v>0.01</v>
      </c>
      <c r="C3">
        <v>0.2</v>
      </c>
      <c r="D3">
        <v>7.0000000000000007E-2</v>
      </c>
      <c r="E3" s="5">
        <v>60</v>
      </c>
      <c r="F3" cm="1">
        <f t="array" ref="F3">delta_call(E3,A3,0.1,B3,D3,C3)</f>
        <v>1.9608556839489535E-16</v>
      </c>
      <c r="G3" cm="1">
        <f t="array" ref="G3">delta_call(E3,A3,0.2,B3,D3,C3)</f>
        <v>3.257060781158151E-9</v>
      </c>
      <c r="H3" cm="1">
        <f t="array" ref="H3">delta_call(E3,A3,0.3,B3,D3,C3)</f>
        <v>8.8987292525424073E-7</v>
      </c>
      <c r="I3" cm="1">
        <f t="array" ref="I3">delta_call(E3,A3,0.4,B3,D3,C3)</f>
        <v>1.5142940085197296E-5</v>
      </c>
      <c r="J3" cm="1">
        <f t="array" ref="J3">delta_call(E3,A3,0.5,B3,D3,C3)</f>
        <v>8.4191020844182684E-5</v>
      </c>
      <c r="K3" cm="1">
        <f t="array" ref="K3">delta_call(E3,A3,0.6,B3,D3,C3)</f>
        <v>2.6649924358005929E-4</v>
      </c>
      <c r="L3" cm="1">
        <f t="array" ref="L3">delta_call(E3,A3,0.7,B3,D3,C3)</f>
        <v>6.1009259587114833E-4</v>
      </c>
      <c r="M3" cm="1">
        <f t="array" ref="M3">delta_call(E3,A3,0.8,B3,D3,C3)</f>
        <v>1.1391134563941369E-3</v>
      </c>
      <c r="N3" cm="1">
        <f t="array" ref="N3">delta_call(E3,A3,0.9,B3,D3,C3)</f>
        <v>1.8550214355654087E-3</v>
      </c>
      <c r="O3" cm="1">
        <f t="array" ref="O3">delta_call(E3,A3,1,B3,D3,C3)</f>
        <v>2.7435094303351793E-3</v>
      </c>
      <c r="P3" cm="1">
        <f t="array" ref="P3">delta_call(E3,A3,2,B3,D3,C3)</f>
        <v>1.5960619208823246E-2</v>
      </c>
      <c r="Q3" cm="1">
        <f t="array" ref="Q3">delta_call(E3,A3,3,B3,D3,C3)</f>
        <v>2.7803556584964386E-2</v>
      </c>
      <c r="R3" cm="1">
        <f t="array" ref="R3">delta_call(E3,A3,4,B3,D3,C3)</f>
        <v>3.5344210007866542E-2</v>
      </c>
      <c r="S3" cm="1">
        <f t="array" ref="S3">delta_call(E3,A3,5,B3,D3,C3)</f>
        <v>3.9447677446501107E-2</v>
      </c>
    </row>
    <row r="4" spans="1:29" x14ac:dyDescent="0.3">
      <c r="A4">
        <v>100</v>
      </c>
      <c r="B4">
        <f t="shared" ref="B4:B19" si="0">1/100</f>
        <v>0.01</v>
      </c>
      <c r="C4">
        <v>0.2</v>
      </c>
      <c r="D4">
        <v>7.0000000000000007E-2</v>
      </c>
      <c r="E4" s="5">
        <v>65</v>
      </c>
      <c r="F4" cm="1">
        <f t="array" ref="F4">delta_call(E4,A4,0.1,B4,D4,C4)</f>
        <v>3.0882202202113942E-12</v>
      </c>
      <c r="G4" cm="1">
        <f t="array" ref="G4">delta_call(E4,A4,0.2,B4,D4,C4)</f>
        <v>4.5890385251482446E-7</v>
      </c>
      <c r="H4" cm="1">
        <f t="array" ref="H4">delta_call(E4,A4,0.3,B4,D4,C4)</f>
        <v>2.5943905677246078E-5</v>
      </c>
      <c r="I4" cm="1">
        <f t="array" ref="I4">delta_call(E4,A4,0.4,B4,D4,C4)</f>
        <v>2.0042289175810948E-4</v>
      </c>
      <c r="J4" cm="1">
        <f t="array" ref="J4">delta_call(E4,A4,0.5,B4,D4,C4)</f>
        <v>6.9282302776329304E-4</v>
      </c>
      <c r="K4" cm="1">
        <f t="array" ref="K4">delta_call(E4,A4,0.6,B4,D4,C4)</f>
        <v>1.5959974207575083E-3</v>
      </c>
      <c r="L4" cm="1">
        <f t="array" ref="L4">delta_call(E4,A4,0.7,B4,D4,C4)</f>
        <v>2.909503753225563E-3</v>
      </c>
      <c r="M4" cm="1">
        <f t="array" ref="M4">delta_call(E4,A4,0.8,B4,D4,C4)</f>
        <v>4.5766796961434104E-3</v>
      </c>
      <c r="N4" cm="1">
        <f t="array" ref="N4">delta_call(E4,A4,0.9,B4,D4,C4)</f>
        <v>6.5197569086291284E-3</v>
      </c>
      <c r="O4" cm="1">
        <f t="array" ref="O4">delta_call(E4,A4,1,B4,D4,C4)</f>
        <v>8.660483786849053E-3</v>
      </c>
      <c r="P4" cm="1">
        <f t="array" ref="P4">delta_call(E4,A4,2,B4,D4,C4)</f>
        <v>3.0834169111223921E-2</v>
      </c>
      <c r="Q4" cm="1">
        <f t="array" ref="Q4">delta_call(E4,A4,3,B4,D4,C4)</f>
        <v>4.5328202596534251E-2</v>
      </c>
      <c r="R4" cm="1">
        <f t="array" ref="R4">delta_call(E4,A4,4,B4,D4,C4)</f>
        <v>5.2786614353984192E-2</v>
      </c>
      <c r="S4" cm="1">
        <f t="array" ref="S4">delta_call(E4,A4,5,B4,D4,C4)</f>
        <v>5.5811269216130499E-2</v>
      </c>
    </row>
    <row r="5" spans="1:29" x14ac:dyDescent="0.3">
      <c r="A5">
        <v>100</v>
      </c>
      <c r="B5">
        <f t="shared" si="0"/>
        <v>0.01</v>
      </c>
      <c r="C5">
        <v>0.2</v>
      </c>
      <c r="D5">
        <v>7.0000000000000007E-2</v>
      </c>
      <c r="E5" s="5">
        <v>70</v>
      </c>
      <c r="F5" cm="1">
        <f t="array" ref="F5">delta_call(E5,A5,0.1,B5,D5,C5)</f>
        <v>5.8526322510886828E-9</v>
      </c>
      <c r="G5" cm="1">
        <f t="array" ref="G5">delta_call(E5,A5,0.2,B5,D5,C5)</f>
        <v>2.2474779400242488E-5</v>
      </c>
      <c r="H5" cm="1">
        <f t="array" ref="H5">delta_call(E5,A5,0.3,B5,D5,C5)</f>
        <v>3.7405067625088972E-4</v>
      </c>
      <c r="I5" cm="1">
        <f t="array" ref="I5">delta_call(E5,A5,0.4,B5,D5,C5)</f>
        <v>1.5638339874384369E-3</v>
      </c>
      <c r="J5" cm="1">
        <f t="array" ref="J5">delta_call(E5,A5,0.5,B5,D5,C5)</f>
        <v>3.7336955779232227E-3</v>
      </c>
      <c r="K5" cm="1">
        <f t="array" ref="K5">delta_call(E5,A5,0.6,B5,D5,C5)</f>
        <v>6.7124097337604117E-3</v>
      </c>
      <c r="L5" cm="1">
        <f t="array" ref="L5">delta_call(E5,A5,0.7,B5,D5,C5)</f>
        <v>1.0241746347444227E-2</v>
      </c>
      <c r="M5" cm="1">
        <f t="array" ref="M5">delta_call(E5,A5,0.8,B5,D5,C5)</f>
        <v>1.4087805723636739E-2</v>
      </c>
      <c r="N5" cm="1">
        <f t="array" ref="N5">delta_call(E5,A5,0.9,B5,D5,C5)</f>
        <v>1.8070820219701404E-2</v>
      </c>
      <c r="O5" cm="1">
        <f t="array" ref="O5">delta_call(E5,A5,1,B5,D5,C5)</f>
        <v>2.2063043252679826E-2</v>
      </c>
      <c r="P5" cm="1">
        <f t="array" ref="P5">delta_call(E5,A5,2,B5,D5,C5)</f>
        <v>5.3299323814196935E-2</v>
      </c>
      <c r="Q5" cm="1">
        <f t="array" ref="Q5">delta_call(E5,A5,3,B5,D5,C5)</f>
        <v>6.8416803721765757E-2</v>
      </c>
      <c r="R5" cm="1">
        <f t="array" ref="R5">delta_call(E5,A5,4,B5,D5,C5)</f>
        <v>7.4242691374169514E-2</v>
      </c>
      <c r="S5" cm="1">
        <f t="array" ref="S5">delta_call(E5,A5,5,B5,D5,C5)</f>
        <v>7.5126400705838578E-2</v>
      </c>
    </row>
    <row r="6" spans="1:29" x14ac:dyDescent="0.3">
      <c r="A6">
        <v>100</v>
      </c>
      <c r="B6">
        <f t="shared" si="0"/>
        <v>0.01</v>
      </c>
      <c r="C6">
        <v>0.2</v>
      </c>
      <c r="D6">
        <v>7.0000000000000007E-2</v>
      </c>
      <c r="E6" s="5">
        <v>75</v>
      </c>
      <c r="F6" cm="1">
        <f t="array" ref="F6">delta_call(E6,A6,0.1,B6,D6,C6)</f>
        <v>1.9811225663179295E-6</v>
      </c>
      <c r="G6" cm="1">
        <f t="array" ref="G6">delta_call(E6,A6,0.2,B6,D6,C6)</f>
        <v>4.6690165860169166E-4</v>
      </c>
      <c r="H6" cm="1">
        <f t="array" ref="H6">delta_call(E6,A6,0.3,B6,D6,C6)</f>
        <v>3.0476112860951935E-3</v>
      </c>
      <c r="I6" cm="1">
        <f t="array" ref="I6">delta_call(E6,A6,0.4,B6,D6,C6)</f>
        <v>7.9534021755031763E-3</v>
      </c>
      <c r="J6" cm="1">
        <f t="array" ref="J6">delta_call(E6,A6,0.5,B6,D6,C6)</f>
        <v>1.428233253442157E-2</v>
      </c>
      <c r="K6" cm="1">
        <f t="array" ref="K6">delta_call(E6,A6,0.6,B6,D6,C6)</f>
        <v>2.1205679197962828E-2</v>
      </c>
      <c r="L6" cm="1">
        <f t="array" ref="L6">delta_call(E6,A6,0.7,B6,D6,C6)</f>
        <v>2.8193781691959966E-2</v>
      </c>
      <c r="M6" cm="1">
        <f t="array" ref="M6">delta_call(E6,A6,0.8,B6,D6,C6)</f>
        <v>3.4949502619724189E-2</v>
      </c>
      <c r="N6" cm="1">
        <f t="array" ref="N6">delta_call(E6,A6,0.9,B6,D6,C6)</f>
        <v>4.132129975365214E-2</v>
      </c>
      <c r="O6" cm="1">
        <f t="array" ref="O6">delta_call(E6,A6,1,B6,D6,C6)</f>
        <v>4.7242585535057315E-2</v>
      </c>
      <c r="P6" cm="1">
        <f t="array" ref="P6">delta_call(E6,A6,2,B6,D6,C6)</f>
        <v>8.4161385136238873E-2</v>
      </c>
      <c r="Q6" cm="1">
        <f t="array" ref="Q6">delta_call(E6,A6,3,B6,D6,C6)</f>
        <v>9.6963990213943974E-2</v>
      </c>
      <c r="R6" cm="1">
        <f t="array" ref="R6">delta_call(E6,A6,4,B6,D6,C6)</f>
        <v>9.9405445011892565E-2</v>
      </c>
      <c r="S6" cm="1">
        <f t="array" ref="S6">delta_call(E6,A6,5,B6,D6,C6)</f>
        <v>9.7069811572635417E-2</v>
      </c>
    </row>
    <row r="7" spans="1:29" x14ac:dyDescent="0.3">
      <c r="A7">
        <v>100</v>
      </c>
      <c r="B7">
        <f t="shared" si="0"/>
        <v>0.01</v>
      </c>
      <c r="C7">
        <v>0.2</v>
      </c>
      <c r="D7">
        <v>7.0000000000000007E-2</v>
      </c>
      <c r="E7" s="5">
        <v>80</v>
      </c>
      <c r="F7" cm="1">
        <f t="array" ref="F7">delta_call(E7,A7,0.1,B7,D7,C7)</f>
        <v>1.6327163925172378E-4</v>
      </c>
      <c r="G7" cm="1">
        <f t="array" ref="G7">delta_call(E7,A7,0.2,B7,D7,C7)</f>
        <v>4.8115256977174625E-3</v>
      </c>
      <c r="H7" cm="1">
        <f t="array" ref="H7">delta_call(E7,A7,0.3,B7,D7,C7)</f>
        <v>1.5583563125001972E-2</v>
      </c>
      <c r="I7" cm="1">
        <f t="array" ref="I7">delta_call(E7,A7,0.4,B7,D7,C7)</f>
        <v>2.8529060168868869E-2</v>
      </c>
      <c r="J7" cm="1">
        <f t="array" ref="J7">delta_call(E7,A7,0.5,B7,D7,C7)</f>
        <v>4.130984231478714E-2</v>
      </c>
      <c r="K7" cm="1">
        <f t="array" ref="K7">delta_call(E7,A7,0.6,B7,D7,C7)</f>
        <v>5.3046642334983969E-2</v>
      </c>
      <c r="L7" cm="1">
        <f t="array" ref="L7">delta_call(E7,A7,0.7,B7,D7,C7)</f>
        <v>6.3505360426728497E-2</v>
      </c>
      <c r="M7" cm="1">
        <f t="array" ref="M7">delta_call(E7,A7,0.8,B7,D7,C7)</f>
        <v>7.2703909710642181E-2</v>
      </c>
      <c r="N7" cm="1">
        <f t="array" ref="N7">delta_call(E7,A7,0.9,B7,D7,C7)</f>
        <v>8.0749009632073349E-2</v>
      </c>
      <c r="O7" cm="1">
        <f t="array" ref="O7">delta_call(E7,A7,1,B7,D7,C7)</f>
        <v>8.7770329137090361E-2</v>
      </c>
      <c r="P7" cm="1">
        <f t="array" ref="P7">delta_call(E7,A7,2,B7,D7,C7)</f>
        <v>0.12337124324216384</v>
      </c>
      <c r="Q7" cm="1">
        <f t="array" ref="Q7">delta_call(E7,A7,3,B7,D7,C7)</f>
        <v>0.13046172661335881</v>
      </c>
      <c r="R7" cm="1">
        <f t="array" ref="R7">delta_call(E7,A7,4,B7,D7,C7)</f>
        <v>0.12777806135677403</v>
      </c>
      <c r="S7" cm="1">
        <f t="array" ref="S7">delta_call(E7,A7,5,B7,D7,C7)</f>
        <v>0.12122676458229997</v>
      </c>
    </row>
    <row r="8" spans="1:29" x14ac:dyDescent="0.3">
      <c r="A8">
        <v>100</v>
      </c>
      <c r="B8">
        <f t="shared" si="0"/>
        <v>0.01</v>
      </c>
      <c r="C8">
        <v>0.2</v>
      </c>
      <c r="D8">
        <v>7.0000000000000007E-2</v>
      </c>
      <c r="E8" s="5">
        <v>85</v>
      </c>
      <c r="F8" cm="1">
        <f t="array" ref="F8">delta_call(E8,A8,0.1,B8,D8,C8)</f>
        <v>4.203492453197546E-3</v>
      </c>
      <c r="G8" cm="1">
        <f t="array" ref="G8">delta_call(E8,A8,0.2,B8,D8,C8)</f>
        <v>2.7901927756982647E-2</v>
      </c>
      <c r="H8" cm="1">
        <f t="array" ref="H8">delta_call(E8,A8,0.3,B8,D8,C8)</f>
        <v>5.4410523749259899E-2</v>
      </c>
      <c r="I8" cm="1">
        <f t="array" ref="I8">delta_call(E8,A8,0.4,B8,D8,C8)</f>
        <v>7.6892311231767208E-2</v>
      </c>
      <c r="J8" cm="1">
        <f t="array" ref="J8">delta_call(E8,A8,0.5,B8,D8,C8)</f>
        <v>9.5035427178553941E-2</v>
      </c>
      <c r="K8" cm="1">
        <f t="array" ref="K8">delta_call(E8,A8,0.6,B8,D8,C8)</f>
        <v>0.10959854250974697</v>
      </c>
      <c r="L8" cm="1">
        <f t="array" ref="L8">delta_call(E8,A8,0.7,B8,D8,C8)</f>
        <v>0.12134749848961204</v>
      </c>
      <c r="M8" cm="1">
        <f t="array" ref="M8">delta_call(E8,A8,0.8,B8,D8,C8)</f>
        <v>0.1308922958054001</v>
      </c>
      <c r="N8" cm="1">
        <f t="array" ref="N8">delta_call(E8,A8,0.9,B8,D8,C8)</f>
        <v>0.13869543337151144</v>
      </c>
      <c r="O8" cm="1">
        <f t="array" ref="O8">delta_call(E8,A8,1,B8,D8,C8)</f>
        <v>0.14510556794644494</v>
      </c>
      <c r="P8" cm="1">
        <f t="array" ref="P8">delta_call(E8,A8,2,B8,D8,C8)</f>
        <v>0.17004870159744256</v>
      </c>
      <c r="Q8" cm="1">
        <f t="array" ref="Q8">delta_call(E8,A8,3,B8,D8,C8)</f>
        <v>0.16809521111842013</v>
      </c>
      <c r="R8" cm="1">
        <f t="array" ref="R8">delta_call(E8,A8,4,B8,D8,C8)</f>
        <v>0.15874157975465233</v>
      </c>
      <c r="S8" cm="1">
        <f t="array" ref="S8">delta_call(E8,A8,5,B8,D8,C8)</f>
        <v>0.14713382357536847</v>
      </c>
    </row>
    <row r="9" spans="1:29" x14ac:dyDescent="0.3">
      <c r="A9">
        <v>100</v>
      </c>
      <c r="B9">
        <f t="shared" si="0"/>
        <v>0.01</v>
      </c>
      <c r="C9">
        <v>0.2</v>
      </c>
      <c r="D9">
        <v>7.0000000000000007E-2</v>
      </c>
      <c r="E9" s="5">
        <v>90</v>
      </c>
      <c r="F9" cm="1">
        <f t="array" ref="F9">delta_call(E9,A9,0.1,B9,D9,C9)</f>
        <v>4.1599660479489674E-2</v>
      </c>
      <c r="G9" cm="1">
        <f t="array" ref="G9">delta_call(E9,A9,0.2,B9,D9,C9)</f>
        <v>0.10107946011110019</v>
      </c>
      <c r="H9" cm="1">
        <f t="array" ref="H9">delta_call(E9,A9,0.3,B9,D9,C9)</f>
        <v>0.13905500371204449</v>
      </c>
      <c r="I9" cm="1">
        <f t="array" ref="I9">delta_call(E9,A9,0.4,B9,D9,C9)</f>
        <v>0.16401156735510164</v>
      </c>
      <c r="J9" cm="1">
        <f t="array" ref="J9">delta_call(E9,A9,0.5,B9,D9,C9)</f>
        <v>0.18123660537654465</v>
      </c>
      <c r="K9" cm="1">
        <f t="array" ref="K9">delta_call(E9,A9,0.6,B9,D9,C9)</f>
        <v>0.19355135109339403</v>
      </c>
      <c r="L9" cm="1">
        <f t="array" ref="L9">delta_call(E9,A9,0.7,B9,D9,C9)</f>
        <v>0.20255833203834359</v>
      </c>
      <c r="M9" cm="1">
        <f t="array" ref="M9">delta_call(E9,A9,0.8,B9,D9,C9)</f>
        <v>0.20923137654877122</v>
      </c>
      <c r="N9" cm="1">
        <f t="array" ref="N9">delta_call(E9,A9,0.9,B9,D9,C9)</f>
        <v>0.21419664866464569</v>
      </c>
      <c r="O9" cm="1">
        <f t="array" ref="O9">delta_call(E9,A9,1,B9,D9,C9)</f>
        <v>0.21787568225048523</v>
      </c>
      <c r="P9" cm="1">
        <f t="array" ref="P9">delta_call(E9,A9,2,B9,D9,C9)</f>
        <v>0.22266154102381089</v>
      </c>
      <c r="Q9" cm="1">
        <f t="array" ref="Q9">delta_call(E9,A9,3,B9,D9,C9)</f>
        <v>0.2088594757532225</v>
      </c>
      <c r="R9" cm="1">
        <f t="array" ref="R9">delta_call(E9,A9,4,B9,D9,C9)</f>
        <v>0.19161898392647322</v>
      </c>
      <c r="S9" cm="1">
        <f t="array" ref="S9">delta_call(E9,A9,5,B9,D9,C9)</f>
        <v>0.17431477736142106</v>
      </c>
    </row>
    <row r="10" spans="1:29" x14ac:dyDescent="0.3">
      <c r="A10">
        <v>100</v>
      </c>
      <c r="B10">
        <f t="shared" si="0"/>
        <v>0.01</v>
      </c>
      <c r="C10">
        <v>0.2</v>
      </c>
      <c r="D10">
        <v>7.0000000000000007E-2</v>
      </c>
      <c r="E10" s="5">
        <v>95</v>
      </c>
      <c r="F10" cm="1">
        <f t="array" ref="F10">delta_call(E10,A10,0.1,B10,D10,C10)</f>
        <v>0.18965507546692534</v>
      </c>
      <c r="G10" cm="1">
        <f t="array" ref="G10">delta_call(E10,A10,0.2,B10,D10,C10)</f>
        <v>0.2501642270721085</v>
      </c>
      <c r="H10" cm="1">
        <f t="array" ref="H10">delta_call(E10,A10,0.3,B10,D10,C10)</f>
        <v>0.27585016910854004</v>
      </c>
      <c r="I10" cm="1">
        <f t="array" ref="I10">delta_call(E10,A10,0.4,B10,D10,C10)</f>
        <v>0.289152251103314</v>
      </c>
      <c r="J10" cm="1">
        <f t="array" ref="J10">delta_call(E10,A10,0.5,B10,D10,C10)</f>
        <v>0.2965264399097996</v>
      </c>
      <c r="K10" cm="1">
        <f t="array" ref="K10">delta_call(E10,A10,0.6,B10,D10,C10)</f>
        <v>0.30058445304328058</v>
      </c>
      <c r="L10" cm="1">
        <f t="array" ref="L10">delta_call(E10,A10,0.7,B10,D10,C10)</f>
        <v>0.30260030167610813</v>
      </c>
      <c r="M10" cm="1">
        <f t="array" ref="M10">delta_call(E10,A10,0.8,B10,D10,C10)</f>
        <v>0.30327453741051519</v>
      </c>
      <c r="N10" cm="1">
        <f t="array" ref="N10">delta_call(E10,A10,0.9,B10,D10,C10)</f>
        <v>0.30302599184106999</v>
      </c>
      <c r="O10" cm="1">
        <f t="array" ref="O10">delta_call(E10,A10,1,B10,D10,C10)</f>
        <v>0.30212104055154826</v>
      </c>
      <c r="P10" cm="1">
        <f t="array" ref="P10">delta_call(E10,A10,2,B10,D10,C10)</f>
        <v>0.27928579654662583</v>
      </c>
      <c r="Q10" cm="1">
        <f t="array" ref="Q10">delta_call(E10,A10,3,B10,D10,C10)</f>
        <v>0.25167279742883419</v>
      </c>
      <c r="R10" cm="1">
        <f t="array" ref="R10">delta_call(E10,A10,4,B10,D10,C10)</f>
        <v>0.225728971715385</v>
      </c>
      <c r="S10" cm="1">
        <f t="array" ref="S10">delta_call(E10,A10,5,B10,D10,C10)</f>
        <v>0.202308233296631</v>
      </c>
    </row>
    <row r="11" spans="1:29" x14ac:dyDescent="0.3">
      <c r="A11">
        <v>100</v>
      </c>
      <c r="B11">
        <f t="shared" si="0"/>
        <v>0.01</v>
      </c>
      <c r="C11">
        <v>0.2</v>
      </c>
      <c r="D11">
        <v>7.0000000000000007E-2</v>
      </c>
      <c r="E11" s="5">
        <v>100</v>
      </c>
      <c r="F11" cm="1">
        <f t="array" ref="F11">delta_call(E11,A11,0.1,B11,D11,C11)</f>
        <v>0.47147359232644859</v>
      </c>
      <c r="G11" cm="1">
        <f t="array" ref="G11">delta_call(E11,A11,0.2,B11,D11,C11)</f>
        <v>0.45790922290570824</v>
      </c>
      <c r="H11" cm="1">
        <f t="array" ref="H11">delta_call(E11,A11,0.3,B11,D11,C11)</f>
        <v>0.44690115026058003</v>
      </c>
      <c r="I11" cm="1">
        <f t="array" ref="I11">delta_call(E11,A11,0.4,B11,D11,C11)</f>
        <v>0.43725542715950638</v>
      </c>
      <c r="J11" cm="1">
        <f t="array" ref="J11">delta_call(E11,A11,0.5,B11,D11,C11)</f>
        <v>0.42850530771109535</v>
      </c>
      <c r="K11" cm="1">
        <f t="array" ref="K11">delta_call(E11,A11,0.6,B11,D11,C11)</f>
        <v>0.42040922131631192</v>
      </c>
      <c r="L11" cm="1">
        <f t="array" ref="L11">delta_call(E11,A11,0.7,B11,D11,C11)</f>
        <v>0.41282232911457445</v>
      </c>
      <c r="M11" cm="1">
        <f t="array" ref="M11">delta_call(E11,A11,0.8,B11,D11,C11)</f>
        <v>0.40564936467902102</v>
      </c>
      <c r="N11" cm="1">
        <f t="array" ref="N11">delta_call(E11,A11,0.9,B11,D11,C11)</f>
        <v>0.39882351367698005</v>
      </c>
      <c r="O11" cm="1">
        <f t="array" ref="O11">delta_call(E11,A11,1,B11,D11,C11)</f>
        <v>0.3922956467044133</v>
      </c>
      <c r="P11" cm="1">
        <f t="array" ref="P11">delta_call(E11,A11,2,B11,D11,C11)</f>
        <v>0.33787495271201956</v>
      </c>
      <c r="Q11" cm="1">
        <f t="array" ref="Q11">delta_call(E11,A11,3,B11,D11,C11)</f>
        <v>0.29547193599453581</v>
      </c>
      <c r="R11" cm="1">
        <f t="array" ref="R11">delta_call(E11,A11,4,B11,D11,C11)</f>
        <v>0.26042664535004689</v>
      </c>
      <c r="S11" cm="1">
        <f t="array" ref="S11">delta_call(E11,A11,5,B11,D11,C11)</f>
        <v>0.2306869911399255</v>
      </c>
    </row>
    <row r="12" spans="1:29" x14ac:dyDescent="0.3">
      <c r="A12">
        <v>100</v>
      </c>
      <c r="B12">
        <f t="shared" si="0"/>
        <v>0.01</v>
      </c>
      <c r="C12">
        <v>0.2</v>
      </c>
      <c r="D12">
        <v>7.0000000000000007E-2</v>
      </c>
      <c r="E12" s="5">
        <v>105</v>
      </c>
      <c r="F12" cm="1">
        <f t="array" ref="F12">delta_call(E12,A12,0.1,B12,D12,C12)</f>
        <v>0.75528229087894938</v>
      </c>
      <c r="G12" cm="1">
        <f t="array" ref="G12">delta_call(E12,A12,0.2,B12,D12,C12)</f>
        <v>0.66642664420620323</v>
      </c>
      <c r="H12" cm="1">
        <f t="array" ref="H12">delta_call(E12,A12,0.3,B12,D12,C12)</f>
        <v>0.61838340457990726</v>
      </c>
      <c r="I12" cm="1">
        <f t="array" ref="I12">delta_call(E12,A12,0.4,B12,D12,C12)</f>
        <v>0.58564104669789885</v>
      </c>
      <c r="J12" cm="1">
        <f t="array" ref="J12">delta_call(E12,A12,0.5,B12,D12,C12)</f>
        <v>0.56068655357655783</v>
      </c>
      <c r="K12" cm="1">
        <f t="array" ref="K12">delta_call(E12,A12,0.6,B12,D12,C12)</f>
        <v>0.54038762451502154</v>
      </c>
      <c r="L12" cm="1">
        <f t="array" ref="L12">delta_call(E12,A12,0.7,B12,D12,C12)</f>
        <v>0.5231657822584701</v>
      </c>
      <c r="M12" cm="1">
        <f t="array" ref="M12">delta_call(E12,A12,0.8,B12,D12,C12)</f>
        <v>0.50812305342405695</v>
      </c>
      <c r="N12" cm="1">
        <f t="array" ref="N12">delta_call(E12,A12,0.9,B12,D12,C12)</f>
        <v>0.4947033819406384</v>
      </c>
      <c r="O12" cm="1">
        <f t="array" ref="O12">delta_call(E12,A12,1,B12,D12,C12)</f>
        <v>0.4825400928675293</v>
      </c>
      <c r="P12" cm="1">
        <f t="array" ref="P12">delta_call(E12,A12,2,B12,D12,C12)</f>
        <v>0.39648691210522236</v>
      </c>
      <c r="Q12" cm="1">
        <f t="array" ref="Q12">delta_call(E12,A12,3,B12,D12,C12)</f>
        <v>0.33928245822515962</v>
      </c>
      <c r="R12" cm="1">
        <f t="array" ref="R12">delta_call(E12,A12,4,B12,D12,C12)</f>
        <v>0.29513108826238116</v>
      </c>
      <c r="S12" cm="1">
        <f t="array" ref="S12">delta_call(E12,A12,5,B12,D12,C12)</f>
        <v>0.25907018041212038</v>
      </c>
    </row>
    <row r="13" spans="1:29" x14ac:dyDescent="0.3">
      <c r="A13">
        <v>100</v>
      </c>
      <c r="B13">
        <f t="shared" si="0"/>
        <v>0.01</v>
      </c>
      <c r="C13">
        <v>0.2</v>
      </c>
      <c r="D13">
        <v>7.0000000000000007E-2</v>
      </c>
      <c r="E13" s="5">
        <v>110</v>
      </c>
      <c r="F13" cm="1">
        <f t="array" ref="F13">delta_call(E13,A13,0.1,B13,D13,C13)</f>
        <v>0.91913750309549358</v>
      </c>
      <c r="G13" cm="1">
        <f t="array" ref="G13">delta_call(E13,A13,0.2,B13,D13,C13)</f>
        <v>0.82389119007714773</v>
      </c>
      <c r="H13" cm="1">
        <f t="array" ref="H13">delta_call(E13,A13,0.3,B13,D13,C13)</f>
        <v>0.76038939812915751</v>
      </c>
      <c r="I13" cm="1">
        <f t="array" ref="I13">delta_call(E13,A13,0.4,B13,D13,C13)</f>
        <v>0.71438557852382922</v>
      </c>
      <c r="J13" cm="1">
        <f t="array" ref="J13">delta_call(E13,A13,0.5,B13,D13,C13)</f>
        <v>0.67864508591699158</v>
      </c>
      <c r="K13" cm="1">
        <f t="array" ref="K13">delta_call(E13,A13,0.6,B13,D13,C13)</f>
        <v>0.64949181381196208</v>
      </c>
      <c r="L13" cm="1">
        <f t="array" ref="L13">delta_call(E13,A13,0.7,B13,D13,C13)</f>
        <v>0.62487068733844864</v>
      </c>
      <c r="M13" cm="1">
        <f t="array" ref="M13">delta_call(E13,A13,0.8,B13,D13,C13)</f>
        <v>0.60353628923573965</v>
      </c>
      <c r="N13" cm="1">
        <f t="array" ref="N13">delta_call(E13,A13,0.9,B13,D13,C13)</f>
        <v>0.58468452107925639</v>
      </c>
      <c r="O13" cm="1">
        <f t="array" ref="O13">delta_call(E13,A13,1,B13,D13,C13)</f>
        <v>0.56776957499417258</v>
      </c>
      <c r="P13" cm="1">
        <f t="array" ref="P13">delta_call(E13,A13,2,B13,D13,C13)</f>
        <v>0.4534434059359152</v>
      </c>
      <c r="Q13" cm="1">
        <f t="array" ref="Q13">delta_call(E13,A13,3,B13,D13,C13)</f>
        <v>0.38226350060588793</v>
      </c>
      <c r="R13" cm="1">
        <f t="array" ref="R13">delta_call(E13,A13,4,B13,D13,C13)</f>
        <v>0.32934137014314413</v>
      </c>
      <c r="S13" cm="1">
        <f t="array" ref="S13">delta_call(E13,A13,5,B13,D13,C13)</f>
        <v>0.28712951349467131</v>
      </c>
    </row>
    <row r="14" spans="1:29" x14ac:dyDescent="0.3">
      <c r="A14">
        <v>100</v>
      </c>
      <c r="B14">
        <f t="shared" si="0"/>
        <v>0.01</v>
      </c>
      <c r="C14">
        <v>0.2</v>
      </c>
      <c r="D14">
        <v>7.0000000000000007E-2</v>
      </c>
      <c r="E14" s="5">
        <v>115</v>
      </c>
      <c r="F14" cm="1">
        <f t="array" ref="F14">delta_call(E14,A14,0.1,B14,D14,C14)</f>
        <v>0.97722227015989305</v>
      </c>
      <c r="G14" cm="1">
        <f t="array" ref="G14">delta_call(E14,A14,0.2,B14,D14,C14)</f>
        <v>0.91671946822144479</v>
      </c>
      <c r="H14" cm="1">
        <f t="array" ref="H14">delta_call(E14,A14,0.3,B14,D14,C14)</f>
        <v>0.8600027207481763</v>
      </c>
      <c r="I14" cm="1">
        <f t="array" ref="I14">delta_call(E14,A14,0.4,B14,D14,C14)</f>
        <v>0.81298249010354873</v>
      </c>
      <c r="J14" cm="1">
        <f t="array" ref="J14">delta_call(E14,A14,0.5,B14,D14,C14)</f>
        <v>0.77389333248074943</v>
      </c>
      <c r="K14" cm="1">
        <f t="array" ref="K14">delta_call(E14,A14,0.6,B14,D14,C14)</f>
        <v>0.74076591829429328</v>
      </c>
      <c r="L14" cm="1">
        <f t="array" ref="L14">delta_call(E14,A14,0.7,B14,D14,C14)</f>
        <v>0.71213911913302397</v>
      </c>
      <c r="M14" cm="1">
        <f t="array" ref="M14">delta_call(E14,A14,0.8,B14,D14,C14)</f>
        <v>0.68698010167945389</v>
      </c>
      <c r="N14" cm="1">
        <f t="array" ref="N14">delta_call(E14,A14,0.9,B14,D14,C14)</f>
        <v>0.664553358366203</v>
      </c>
      <c r="O14" cm="1">
        <f t="array" ref="O14">delta_call(E14,A14,1,B14,D14,C14)</f>
        <v>0.64432448120112495</v>
      </c>
      <c r="P14" cm="1">
        <f t="array" ref="P14">delta_call(E14,A14,2,B14,D14,C14)</f>
        <v>0.50741801951823051</v>
      </c>
      <c r="Q14" cm="1">
        <f t="array" ref="Q14">delta_call(E14,A14,3,B14,D14,C14)</f>
        <v>0.42373003406204618</v>
      </c>
      <c r="R14" cm="1">
        <f t="array" ref="R14">delta_call(E14,A14,4,B14,D14,C14)</f>
        <v>0.36264322797365273</v>
      </c>
      <c r="S14" cm="1">
        <f t="array" ref="S14">delta_call(E14,A14,5,B14,D14,C14)</f>
        <v>0.31459105914199037</v>
      </c>
    </row>
    <row r="15" spans="1:29" x14ac:dyDescent="0.3">
      <c r="A15">
        <v>100</v>
      </c>
      <c r="B15">
        <f t="shared" si="0"/>
        <v>0.01</v>
      </c>
      <c r="C15">
        <v>0.2</v>
      </c>
      <c r="D15">
        <v>7.0000000000000007E-2</v>
      </c>
      <c r="E15" s="5">
        <v>120</v>
      </c>
      <c r="F15" cm="1">
        <f t="array" ref="F15">delta_call(E15,A15,0.1,B15,D15,C15)</f>
        <v>0.99063637674218641</v>
      </c>
      <c r="G15" cm="1">
        <f t="array" ref="G15">delta_call(E15,A15,0.2,B15,D15,C15)</f>
        <v>0.96080488214312743</v>
      </c>
      <c r="H15" cm="1">
        <f t="array" ref="H15">delta_call(E15,A15,0.3,B15,D15,C15)</f>
        <v>0.92047077045959214</v>
      </c>
      <c r="I15" cm="1">
        <f t="array" ref="I15">delta_call(E15,A15,0.4,B15,D15,C15)</f>
        <v>0.88071754168527938</v>
      </c>
      <c r="J15" cm="1">
        <f t="array" ref="J15">delta_call(E15,A15,0.5,B15,D15,C15)</f>
        <v>0.84439460287452384</v>
      </c>
      <c r="K15" cm="1">
        <f t="array" ref="K15">delta_call(E15,A15,0.6,B15,D15,C15)</f>
        <v>0.81177952118119401</v>
      </c>
      <c r="L15" cm="1">
        <f t="array" ref="L15">delta_call(E15,A15,0.7,B15,D15,C15)</f>
        <v>0.78250274369049233</v>
      </c>
      <c r="M15" cm="1">
        <f t="array" ref="M15">delta_call(E15,A15,0.8,B15,D15,C15)</f>
        <v>0.7560874720584464</v>
      </c>
      <c r="N15" cm="1">
        <f t="array" ref="N15">delta_call(E15,A15,0.9,B15,D15,C15)</f>
        <v>0.73209475510595112</v>
      </c>
      <c r="O15" cm="1">
        <f t="array" ref="O15">delta_call(E15,A15,1,B15,D15,C15)</f>
        <v>0.7101541699545828</v>
      </c>
      <c r="P15" cm="1">
        <f t="array" ref="P15">delta_call(E15,A15,2,B15,D15,C15)</f>
        <v>0.55746275885136831</v>
      </c>
      <c r="Q15" cm="1">
        <f t="array" ref="Q15">delta_call(E15,A15,3,B15,D15,C15)</f>
        <v>0.46315741935078025</v>
      </c>
      <c r="R15" cm="1">
        <f t="array" ref="R15">delta_call(E15,A15,4,B15,D15,C15)</f>
        <v>0.39470880175119832</v>
      </c>
      <c r="S15" cm="1">
        <f t="array" ref="S15">delta_call(E15,A15,5,B15,D15,C15)</f>
        <v>0.3412338181418843</v>
      </c>
    </row>
    <row r="16" spans="1:29" x14ac:dyDescent="0.3">
      <c r="A16">
        <v>100</v>
      </c>
      <c r="B16">
        <f t="shared" si="0"/>
        <v>0.01</v>
      </c>
      <c r="C16">
        <v>0.2</v>
      </c>
      <c r="D16">
        <v>7.0000000000000007E-2</v>
      </c>
      <c r="E16" s="5">
        <v>125</v>
      </c>
      <c r="F16" cm="1">
        <f t="array" ref="F16">delta_call(E16,A16,0.1,B16,D16,C16)</f>
        <v>0.99276114106786628</v>
      </c>
      <c r="G16" cm="1">
        <f t="array" ref="G16">delta_call(E16,A16,0.2,B16,D16,C16)</f>
        <v>0.97813197450691935</v>
      </c>
      <c r="H16" cm="1">
        <f t="array" ref="H16">delta_call(E16,A16,0.3,B16,D16,C16)</f>
        <v>0.95281857499920719</v>
      </c>
      <c r="I16" cm="1">
        <f t="array" ref="I16">delta_call(E16,A16,0.4,B16,D16,C16)</f>
        <v>0.92303852329983072</v>
      </c>
      <c r="J16" cm="1">
        <f t="array" ref="J16">delta_call(E16,A16,0.5,B16,D16,C16)</f>
        <v>0.89276175697426152</v>
      </c>
      <c r="K16" cm="1">
        <f t="array" ref="K16">delta_call(E16,A16,0.6,B16,D16,C16)</f>
        <v>0.8636398886734109</v>
      </c>
      <c r="L16" cm="1">
        <f t="array" ref="L16">delta_call(E16,A16,0.7,B16,D16,C16)</f>
        <v>0.83623819584841907</v>
      </c>
      <c r="M16" cm="1">
        <f t="array" ref="M16">delta_call(E16,A16,0.8,B16,D16,C16)</f>
        <v>0.81066564243287631</v>
      </c>
      <c r="N16" cm="1">
        <f t="array" ref="N16">delta_call(E16,A16,0.9,B16,D16,C16)</f>
        <v>0.7868488687694124</v>
      </c>
      <c r="O16" cm="1">
        <f t="array" ref="O16">delta_call(E16,A16,1,B16,D16,C16)</f>
        <v>0.76464920238105538</v>
      </c>
      <c r="P16" cm="1">
        <f t="array" ref="P16">delta_call(E16,A16,2,B16,D16,C16)</f>
        <v>0.60298936836152306</v>
      </c>
      <c r="Q16" cm="1">
        <f t="array" ref="Q16">delta_call(E16,A16,3,B16,D16,C16)</f>
        <v>0.50017338302774028</v>
      </c>
      <c r="R16" cm="1">
        <f t="array" ref="R16">delta_call(E16,A16,4,B16,D16,C16)</f>
        <v>0.42529160307535063</v>
      </c>
      <c r="S16" cm="1">
        <f t="array" ref="S16">delta_call(E16,A16,5,B16,D16,C16)</f>
        <v>0.36688618033252862</v>
      </c>
    </row>
    <row r="17" spans="1:29" x14ac:dyDescent="0.3">
      <c r="A17">
        <v>100</v>
      </c>
      <c r="B17">
        <f t="shared" si="0"/>
        <v>0.01</v>
      </c>
      <c r="C17">
        <v>0.2</v>
      </c>
      <c r="D17">
        <v>7.0000000000000007E-2</v>
      </c>
      <c r="E17" s="5">
        <v>130</v>
      </c>
      <c r="F17" cm="1">
        <f t="array" ref="F17">delta_call(E17,A17,0.1,B17,D17,C17)</f>
        <v>0.99300256746239302</v>
      </c>
      <c r="G17" cm="1">
        <f t="array" ref="G17">delta_call(E17,A17,0.2,B17,D17,C17)</f>
        <v>0.98390012553142192</v>
      </c>
      <c r="H17" cm="1">
        <f t="array" ref="H17">delta_call(E17,A17,0.3,B17,D17,C17)</f>
        <v>0.96830881292717552</v>
      </c>
      <c r="I17" cm="1">
        <f t="array" ref="I17">delta_call(E17,A17,0.4,B17,D17,C17)</f>
        <v>0.94737211933622945</v>
      </c>
      <c r="J17" cm="1">
        <f t="array" ref="J17">delta_call(E17,A17,0.5,B17,D17,C17)</f>
        <v>0.92380908307040954</v>
      </c>
      <c r="K17" cm="1">
        <f t="array" ref="K17">delta_call(E17,A17,0.6,B17,D17,C17)</f>
        <v>0.89947091421305447</v>
      </c>
      <c r="L17" cm="1">
        <f t="array" ref="L17">delta_call(E17,A17,0.7,B17,D17,C17)</f>
        <v>0.87537086529863106</v>
      </c>
      <c r="M17" cm="1">
        <f t="array" ref="M17">delta_call(E17,A17,0.8,B17,D17,C17)</f>
        <v>0.85201389213836642</v>
      </c>
      <c r="N17" cm="1">
        <f t="array" ref="N17">delta_call(E17,A17,0.9,B17,D17,C17)</f>
        <v>0.82962605306002646</v>
      </c>
      <c r="O17" cm="1">
        <f t="array" ref="O17">delta_call(E17,A17,1,B17,D17,C17)</f>
        <v>0.80828521782152674</v>
      </c>
      <c r="P17" cm="1">
        <f t="array" ref="P17">delta_call(E17,A17,2,B17,D17,C17)</f>
        <v>0.64372241620525195</v>
      </c>
      <c r="Q17" cm="1">
        <f t="array" ref="Q17">delta_call(E17,A17,3,B17,D17,C17)</f>
        <v>0.53454206582412345</v>
      </c>
      <c r="R17" cm="1">
        <f t="array" ref="R17">delta_call(E17,A17,4,B17,D17,C17)</f>
        <v>0.45421853794342582</v>
      </c>
      <c r="S17" cm="1">
        <f t="array" ref="S17">delta_call(E17,A17,5,B17,D17,C17)</f>
        <v>0.39142111932427437</v>
      </c>
    </row>
    <row r="18" spans="1:29" x14ac:dyDescent="0.3">
      <c r="A18">
        <v>100</v>
      </c>
      <c r="B18">
        <f t="shared" si="0"/>
        <v>0.01</v>
      </c>
      <c r="C18">
        <v>0.2</v>
      </c>
      <c r="D18">
        <v>7.0000000000000007E-2</v>
      </c>
      <c r="E18" s="5">
        <v>135</v>
      </c>
      <c r="F18" cm="1">
        <f t="array" ref="F18">delta_call(E18,A18,0.1,B18,D18,C18)</f>
        <v>0.99302303118713287</v>
      </c>
      <c r="G18" cm="1">
        <f t="array" ref="G18">delta_call(E18,A18,0.2,B18,D18,C18)</f>
        <v>0.98555940972742384</v>
      </c>
      <c r="H18" cm="1">
        <f t="array" ref="H18">delta_call(E18,A18,0.3,B18,D18,C18)</f>
        <v>0.97503872414654391</v>
      </c>
      <c r="I18" cm="1">
        <f t="array" ref="I18">delta_call(E18,A18,0.4,B18,D18,C18)</f>
        <v>0.96037879248869307</v>
      </c>
      <c r="J18" cm="1">
        <f t="array" ref="J18">delta_call(E18,A18,0.5,B18,D18,C18)</f>
        <v>0.94260864429889557</v>
      </c>
      <c r="K18" cm="1">
        <f t="array" ref="K18">delta_call(E18,A18,0.6,B18,D18,C18)</f>
        <v>0.92305173541704943</v>
      </c>
      <c r="L18" cm="1">
        <f t="array" ref="L18">delta_call(E18,A18,0.7,B18,D18,C18)</f>
        <v>0.90270544875236292</v>
      </c>
      <c r="M18" cm="1">
        <f t="array" ref="M18">delta_call(E18,A18,0.8,B18,D18,C18)</f>
        <v>0.88221711779606782</v>
      </c>
      <c r="N18" cm="1">
        <f t="array" ref="N18">delta_call(E18,A18,0.9,B18,D18,C18)</f>
        <v>0.86197991873177682</v>
      </c>
      <c r="O18" cm="1">
        <f t="array" ref="O18">delta_call(E18,A18,1,B18,D18,C18)</f>
        <v>0.84222117839862476</v>
      </c>
      <c r="P18" cm="1">
        <f t="array" ref="P18">delta_call(E18,A18,2,B18,D18,C18)</f>
        <v>0.67963878211671425</v>
      </c>
      <c r="Q18" cm="1">
        <f t="array" ref="Q18">delta_call(E18,A18,3,B18,D18,C18)</f>
        <v>0.56614393211119729</v>
      </c>
      <c r="R18" cm="1">
        <f t="array" ref="R18">delta_call(E18,A18,4,B18,D18,C18)</f>
        <v>0.48138040501710327</v>
      </c>
      <c r="S18" cm="1">
        <f t="array" ref="S18">delta_call(E18,A18,5,B18,D18,C18)</f>
        <v>0.41475077111194786</v>
      </c>
    </row>
    <row r="19" spans="1:29" x14ac:dyDescent="0.3">
      <c r="A19">
        <v>100</v>
      </c>
      <c r="B19">
        <f t="shared" si="0"/>
        <v>0.01</v>
      </c>
      <c r="C19">
        <v>0.2</v>
      </c>
      <c r="D19">
        <v>7.0000000000000007E-2</v>
      </c>
      <c r="E19" s="5">
        <v>140</v>
      </c>
      <c r="F19" cm="1">
        <f t="array" ref="F19">delta_call(E19,A19,0.1,B19,D19,C19)</f>
        <v>0.99302437017153999</v>
      </c>
      <c r="G19" cm="1">
        <f t="array" ref="G19">delta_call(E19,A19,0.2,B19,D19,C19)</f>
        <v>0.9859790874222516</v>
      </c>
      <c r="H19" cm="1">
        <f t="array" ref="H19">delta_call(E19,A19,0.3,B19,D19,C19)</f>
        <v>0.97772254586506047</v>
      </c>
      <c r="I19" cm="1">
        <f t="array" ref="I19">delta_call(E19,A19,0.4,B19,D19,C19)</f>
        <v>0.96689865771706718</v>
      </c>
      <c r="J19" cm="1">
        <f t="array" ref="J19">delta_call(E19,A19,0.5,B19,D19,C19)</f>
        <v>0.95342221857973553</v>
      </c>
      <c r="K19" cm="1">
        <f t="array" ref="K19">delta_call(E19,A19,0.6,B19,D19,C19)</f>
        <v>0.93792060764385077</v>
      </c>
      <c r="L19" cm="1">
        <f t="array" ref="L19">delta_call(E19,A19,0.7,B19,D19,C19)</f>
        <v>0.92111155298167391</v>
      </c>
      <c r="M19" cm="1">
        <f t="array" ref="M19">delta_call(E19,A19,0.8,B19,D19,C19)</f>
        <v>0.90358286683733269</v>
      </c>
      <c r="N19" cm="1">
        <f t="array" ref="N19">delta_call(E19,A19,0.9,B19,D19,C19)</f>
        <v>0.88576243906602126</v>
      </c>
      <c r="O19" cm="1">
        <f t="array" ref="O19">delta_call(E19,A19,1,B19,D19,C19)</f>
        <v>0.86794479330362395</v>
      </c>
      <c r="P19" cm="1">
        <f t="array" ref="P19">delta_call(E19,A19,2,B19,D19,C19)</f>
        <v>0.71090448250504423</v>
      </c>
      <c r="Q19" cm="1">
        <f t="array" ref="Q19">delta_call(E19,A19,3,B19,D19,C19)</f>
        <v>0.59495436988670336</v>
      </c>
      <c r="R19" cm="1">
        <f t="array" ref="R19">delta_call(E19,A19,4,B19,D19,C19)</f>
        <v>0.50672191220213902</v>
      </c>
      <c r="S19" cm="1">
        <f t="array" ref="S19">delta_call(E19,A19,5,B19,D19,C19)</f>
        <v>0.43682086101538187</v>
      </c>
    </row>
    <row r="22" spans="1:29" x14ac:dyDescent="0.3">
      <c r="A22" s="1" t="s">
        <v>28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t="s">
        <v>13</v>
      </c>
      <c r="B23" t="s">
        <v>14</v>
      </c>
      <c r="C23" t="s">
        <v>15</v>
      </c>
      <c r="D23" t="s">
        <v>26</v>
      </c>
      <c r="F23" s="7">
        <v>0.1</v>
      </c>
      <c r="G23" s="7">
        <v>0.2</v>
      </c>
      <c r="H23" s="7">
        <v>0.3</v>
      </c>
      <c r="I23" s="7">
        <v>0.4</v>
      </c>
      <c r="J23" s="7">
        <v>0.5</v>
      </c>
      <c r="K23" s="7">
        <v>0.6</v>
      </c>
      <c r="L23" s="7">
        <v>0.7</v>
      </c>
      <c r="M23" s="7">
        <v>0.8</v>
      </c>
      <c r="N23" s="7">
        <v>0.9</v>
      </c>
      <c r="O23" s="7">
        <v>1</v>
      </c>
      <c r="P23" s="7">
        <v>2</v>
      </c>
      <c r="Q23" s="7">
        <v>3</v>
      </c>
      <c r="R23" s="7">
        <v>4</v>
      </c>
      <c r="S23" s="7">
        <v>5</v>
      </c>
    </row>
    <row r="24" spans="1:29" x14ac:dyDescent="0.3">
      <c r="A24">
        <v>100</v>
      </c>
      <c r="B24">
        <f>1/100</f>
        <v>0.01</v>
      </c>
      <c r="C24">
        <v>0.2</v>
      </c>
      <c r="D24">
        <v>7.0000000000000007E-2</v>
      </c>
      <c r="E24" s="5">
        <v>60</v>
      </c>
      <c r="F24" cm="1">
        <f t="array" ref="F24">theta_call(E24,A24,0.1,B24,D24,C24)</f>
        <v>-3.0022603158624176E-14</v>
      </c>
      <c r="G24" cm="1">
        <f t="array" ref="G24">theta_call(E24,A24,0.2,B24,D24,C24)</f>
        <v>-2.4887168539287262E-7</v>
      </c>
      <c r="H24" cm="1">
        <f t="array" ref="H24">theta_call(E24,A24,0.3,B24,D24,C24)</f>
        <v>-4.5206628721331535E-5</v>
      </c>
      <c r="I24" cm="1">
        <f t="array" ref="I24">theta_call(E24,A24,0.4,B24,D24,C24)</f>
        <v>-5.7497735861117326E-4</v>
      </c>
      <c r="J24" cm="1">
        <f t="array" ref="J24">theta_call(E24,A24,0.5,B24,D24,C24)</f>
        <v>-2.5469976687150981E-3</v>
      </c>
      <c r="K24" cm="1">
        <f t="array" ref="K24">theta_call(E24,A24,0.6,B24,D24,C24)</f>
        <v>-6.6875320438903535E-3</v>
      </c>
      <c r="L24" cm="1">
        <f t="array" ref="L24">theta_call(E24,A24,0.7,B24,D24,C24)</f>
        <v>-1.3055280985200488E-2</v>
      </c>
      <c r="M24" cm="1">
        <f t="array" ref="M24">theta_call(E24,A24,0.8,B24,D24,C24)</f>
        <v>-2.1209489049230895E-2</v>
      </c>
      <c r="N24" cm="1">
        <f t="array" ref="N24">theta_call(E24,A24,0.9,B24,D24,C24)</f>
        <v>-3.0516631641289232E-2</v>
      </c>
      <c r="O24" cm="1">
        <f t="array" ref="O24">theta_call(E24,A24,1,B24,D24,C24)</f>
        <v>-4.0358788398330979E-2</v>
      </c>
      <c r="P24" cm="1">
        <f t="array" ref="P24">theta_call(E24,A24,2,B24,D24,C24)</f>
        <v>-0.10804606638798925</v>
      </c>
      <c r="Q24" cm="1">
        <f t="array" ref="Q24">theta_call(E24,A24,3,B24,D24,C24)</f>
        <v>-0.1121884017986304</v>
      </c>
      <c r="R24" cm="1">
        <f t="array" ref="R24">theta_call(E24,A24,4,B24,D24,C24)</f>
        <v>-9.288613127358783E-2</v>
      </c>
      <c r="S24" cm="1">
        <f t="array" ref="S24">theta_call(E24,A24,5,B24,D24,C24)</f>
        <v>-6.9524650760805162E-2</v>
      </c>
    </row>
    <row r="25" spans="1:29" x14ac:dyDescent="0.3">
      <c r="A25">
        <v>100</v>
      </c>
      <c r="B25">
        <f t="shared" ref="B25:B40" si="1">1/100</f>
        <v>0.01</v>
      </c>
      <c r="C25">
        <v>0.2</v>
      </c>
      <c r="D25">
        <v>7.0000000000000007E-2</v>
      </c>
      <c r="E25" s="5">
        <v>65</v>
      </c>
      <c r="F25" cm="1">
        <f t="array" ref="F25">theta_call(E25,A25,0.1,B25,D25,C25)</f>
        <v>-4.3320049824787597E-10</v>
      </c>
      <c r="G25" cm="1">
        <f t="array" ref="G25">theta_call(E25,A25,0.2,B25,D25,C25)</f>
        <v>-3.2192184728108338E-5</v>
      </c>
      <c r="H25" cm="1">
        <f t="array" ref="H25">theta_call(E25,A25,0.3,B25,D25,C25)</f>
        <v>-1.211857034076924E-3</v>
      </c>
      <c r="I25" cm="1">
        <f t="array" ref="I25">theta_call(E25,A25,0.4,B25,D25,C25)</f>
        <v>-7.005025674763056E-3</v>
      </c>
      <c r="J25" cm="1">
        <f t="array" ref="J25">theta_call(E25,A25,0.5,B25,D25,C25)</f>
        <v>-1.9308161436483947E-2</v>
      </c>
      <c r="K25" cm="1">
        <f t="array" ref="K25">theta_call(E25,A25,0.6,B25,D25,C25)</f>
        <v>-3.6912342258265188E-2</v>
      </c>
      <c r="L25" cm="1">
        <f t="array" ref="L25">theta_call(E25,A25,0.7,B25,D25,C25)</f>
        <v>-5.7397236294228292E-2</v>
      </c>
      <c r="M25" cm="1">
        <f t="array" ref="M25">theta_call(E25,A25,0.8,B25,D25,C25)</f>
        <v>-7.8563297989577674E-2</v>
      </c>
      <c r="N25" cm="1">
        <f t="array" ref="N25">theta_call(E25,A25,0.9,B25,D25,C25)</f>
        <v>-9.8871775767291267E-2</v>
      </c>
      <c r="O25" cm="1">
        <f t="array" ref="O25">theta_call(E25,A25,1,B25,D25,C25)</f>
        <v>-0.11741012879411633</v>
      </c>
      <c r="P25" cm="1">
        <f t="array" ref="P25">theta_call(E25,A25,2,B25,D25,C25)</f>
        <v>-0.19057318837365822</v>
      </c>
      <c r="Q25" cm="1">
        <f t="array" ref="Q25">theta_call(E25,A25,3,B25,D25,C25)</f>
        <v>-0.1638255377076967</v>
      </c>
      <c r="R25" cm="1">
        <f t="array" ref="R25">theta_call(E25,A25,4,B25,D25,C25)</f>
        <v>-0.1205524131528804</v>
      </c>
      <c r="S25" cm="1">
        <f t="array" ref="S25">theta_call(E25,A25,5,B25,D25,C25)</f>
        <v>-8.1514135319366354E-2</v>
      </c>
    </row>
    <row r="26" spans="1:29" x14ac:dyDescent="0.3">
      <c r="A26">
        <v>100</v>
      </c>
      <c r="B26">
        <f t="shared" si="1"/>
        <v>0.01</v>
      </c>
      <c r="C26">
        <v>0.2</v>
      </c>
      <c r="D26">
        <v>7.0000000000000007E-2</v>
      </c>
      <c r="E26" s="5">
        <v>70</v>
      </c>
      <c r="F26" cm="1">
        <f t="array" ref="F26">theta_call(E26,A26,0.1,B26,D26,C26)</f>
        <v>-7.3569591406058785E-7</v>
      </c>
      <c r="G26" cm="1">
        <f t="array" ref="G26">theta_call(E26,A26,0.2,B26,D26,C26)</f>
        <v>-1.4177757096347035E-3</v>
      </c>
      <c r="H26" cm="1">
        <f t="array" ref="H26">theta_call(E26,A26,0.3,B26,D26,C26)</f>
        <v>-1.5751376479826849E-2</v>
      </c>
      <c r="I26" cm="1">
        <f t="array" ref="I26">theta_call(E26,A26,0.4,B26,D26,C26)</f>
        <v>-4.9363552235808454E-2</v>
      </c>
      <c r="J26" cm="1">
        <f t="array" ref="J26">theta_call(E26,A26,0.5,B26,D26,C26)</f>
        <v>-9.4093261204088605E-2</v>
      </c>
      <c r="K26" cm="1">
        <f t="array" ref="K26">theta_call(E26,A26,0.6,B26,D26,C26)</f>
        <v>-0.14050160403803519</v>
      </c>
      <c r="L26" cm="1">
        <f t="array" ref="L26">theta_call(E26,A26,0.7,B26,D26,C26)</f>
        <v>-0.18294478636389294</v>
      </c>
      <c r="M26" cm="1">
        <f t="array" ref="M26">theta_call(E26,A26,0.8,B26,D26,C26)</f>
        <v>-0.219012641025501</v>
      </c>
      <c r="N26" cm="1">
        <f t="array" ref="N26">theta_call(E26,A26,0.9,B26,D26,C26)</f>
        <v>-0.24816921244485252</v>
      </c>
      <c r="O26" cm="1">
        <f t="array" ref="O26">theta_call(E26,A26,1,B26,D26,C26)</f>
        <v>-0.27079053655021912</v>
      </c>
      <c r="P26" cm="1">
        <f t="array" ref="P26">theta_call(E26,A26,2,B26,D26,C26)</f>
        <v>-0.29471250244226843</v>
      </c>
      <c r="Q26" cm="1">
        <f t="array" ref="Q26">theta_call(E26,A26,3,B26,D26,C26)</f>
        <v>-0.21562871510674592</v>
      </c>
      <c r="R26" cm="1">
        <f t="array" ref="R26">theta_call(E26,A26,4,B26,D26,C26)</f>
        <v>-0.14163549318656082</v>
      </c>
      <c r="S26" cm="1">
        <f t="array" ref="S26">theta_call(E26,A26,5,B26,D26,C26)</f>
        <v>-8.509849800574909E-2</v>
      </c>
    </row>
    <row r="27" spans="1:29" x14ac:dyDescent="0.3">
      <c r="A27">
        <v>100</v>
      </c>
      <c r="B27">
        <f t="shared" si="1"/>
        <v>0.01</v>
      </c>
      <c r="C27">
        <v>0.2</v>
      </c>
      <c r="D27">
        <v>7.0000000000000007E-2</v>
      </c>
      <c r="E27" s="5">
        <v>75</v>
      </c>
      <c r="F27" cm="1">
        <f t="array" ref="F27">theta_call(E27,A27,0.1,B27,D27,C27)</f>
        <v>-2.1716621262563672E-4</v>
      </c>
      <c r="G27" cm="1">
        <f t="array" ref="G27">theta_call(E27,A27,0.2,B27,D27,C27)</f>
        <v>-2.5836069322636872E-2</v>
      </c>
      <c r="H27" cm="1">
        <f t="array" ref="H27">theta_call(E27,A27,0.3,B27,D27,C27)</f>
        <v>-0.11303045945511106</v>
      </c>
      <c r="I27" cm="1">
        <f t="array" ref="I27">theta_call(E27,A27,0.4,B27,D27,C27)</f>
        <v>-0.22174213519895841</v>
      </c>
      <c r="J27" cm="1">
        <f t="array" ref="J27">theta_call(E27,A27,0.5,B27,D27,C27)</f>
        <v>-0.31853075200710301</v>
      </c>
      <c r="K27" cm="1">
        <f t="array" ref="K27">theta_call(E27,A27,0.6,B27,D27,C27)</f>
        <v>-0.39332636036995861</v>
      </c>
      <c r="L27" cm="1">
        <f t="array" ref="L27">theta_call(E27,A27,0.7,B27,D27,C27)</f>
        <v>-0.44661639946674286</v>
      </c>
      <c r="M27" cm="1">
        <f t="array" ref="M27">theta_call(E27,A27,0.8,B27,D27,C27)</f>
        <v>-0.48200558256714643</v>
      </c>
      <c r="N27" cm="1">
        <f t="array" ref="N27">theta_call(E27,A27,0.9,B27,D27,C27)</f>
        <v>-0.50340884327197044</v>
      </c>
      <c r="O27" cm="1">
        <f t="array" ref="O27">theta_call(E27,A27,1,B27,D27,C27)</f>
        <v>-0.51420102421796965</v>
      </c>
      <c r="P27" cm="1">
        <f t="array" ref="P27">theta_call(E27,A27,2,B27,D27,C27)</f>
        <v>-0.40617122810515954</v>
      </c>
      <c r="Q27" cm="1">
        <f t="array" ref="Q27">theta_call(E27,A27,3,B27,D27,C27)</f>
        <v>-0.25729674735349406</v>
      </c>
      <c r="R27" cm="1">
        <f t="array" ref="R27">theta_call(E27,A27,4,B27,D27,C27)</f>
        <v>-0.14951909497735061</v>
      </c>
      <c r="S27" cm="1">
        <f t="array" ref="S27">theta_call(E27,A27,5,B27,D27,C27)</f>
        <v>-7.5931503790695243E-2</v>
      </c>
    </row>
    <row r="28" spans="1:29" x14ac:dyDescent="0.3">
      <c r="A28">
        <v>100</v>
      </c>
      <c r="B28">
        <f t="shared" si="1"/>
        <v>0.01</v>
      </c>
      <c r="C28">
        <v>0.2</v>
      </c>
      <c r="D28">
        <v>7.0000000000000007E-2</v>
      </c>
      <c r="E28" s="5">
        <v>80</v>
      </c>
      <c r="F28" cm="1">
        <f t="array" ref="F28">theta_call(E28,A28,0.1,B28,D28,C28)</f>
        <v>-1.506624838192349E-2</v>
      </c>
      <c r="G28" cm="1">
        <f t="array" ref="G28">theta_call(E28,A28,0.2,B28,D28,C28)</f>
        <v>-0.22639110394402395</v>
      </c>
      <c r="H28" cm="1">
        <f t="array" ref="H28">theta_call(E28,A28,0.3,B28,D28,C28)</f>
        <v>-0.49466046415162002</v>
      </c>
      <c r="I28" cm="1">
        <f t="array" ref="I28">theta_call(E28,A28,0.4,B28,D28,C28)</f>
        <v>-0.68374651151952692</v>
      </c>
      <c r="J28" cm="1">
        <f t="array" ref="J28">theta_call(E28,A28,0.5,B28,D28,C28)</f>
        <v>-0.79433936598559285</v>
      </c>
      <c r="K28" cm="1">
        <f t="array" ref="K28">theta_call(E28,A28,0.6,B28,D28,C28)</f>
        <v>-0.84995783962402283</v>
      </c>
      <c r="L28" cm="1">
        <f t="array" ref="L28">theta_call(E28,A28,0.7,B28,D28,C28)</f>
        <v>-0.87000952165428447</v>
      </c>
      <c r="M28" cm="1">
        <f t="array" ref="M28">theta_call(E28,A28,0.8,B28,D28,C28)</f>
        <v>-0.86759877069908808</v>
      </c>
      <c r="N28" cm="1">
        <f t="array" ref="N28">theta_call(E28,A28,0.9,B28,D28,C28)</f>
        <v>-0.85118325372382997</v>
      </c>
      <c r="O28" cm="1">
        <f t="array" ref="O28">theta_call(E28,A28,1,B28,D28,C28)</f>
        <v>-0.82618832372034656</v>
      </c>
      <c r="P28" cm="1">
        <f t="array" ref="P28">theta_call(E28,A28,2,B28,D28,C28)</f>
        <v>-0.50337002336163894</v>
      </c>
      <c r="Q28" cm="1">
        <f t="array" ref="Q28">theta_call(E28,A28,3,B28,D28,C28)</f>
        <v>-0.2772520100476249</v>
      </c>
      <c r="R28" cm="1">
        <f t="array" ref="R28">theta_call(E28,A28,4,B28,D28,C28)</f>
        <v>-0.13757638440817543</v>
      </c>
      <c r="S28" cm="1">
        <f t="array" ref="S28">theta_call(E28,A28,5,B28,D28,C28)</f>
        <v>-4.9923436954850575E-2</v>
      </c>
    </row>
    <row r="29" spans="1:29" x14ac:dyDescent="0.3">
      <c r="A29">
        <v>100</v>
      </c>
      <c r="B29">
        <f t="shared" si="1"/>
        <v>0.01</v>
      </c>
      <c r="C29">
        <v>0.2</v>
      </c>
      <c r="D29">
        <v>7.0000000000000007E-2</v>
      </c>
      <c r="E29" s="5">
        <v>85</v>
      </c>
      <c r="F29" cm="1">
        <f t="array" ref="F29">theta_call(E29,A29,0.1,B29,D29,C29)</f>
        <v>-0.31115522834829035</v>
      </c>
      <c r="G29" cm="1">
        <f t="array" ref="G29">theta_call(E29,A29,0.2,B29,D29,C29)</f>
        <v>-1.0717690606803219</v>
      </c>
      <c r="H29" cm="1">
        <f t="array" ref="H29">theta_call(E29,A29,0.3,B29,D29,C29)</f>
        <v>-1.4248750321736114</v>
      </c>
      <c r="I29" cm="1">
        <f t="array" ref="I29">theta_call(E29,A29,0.4,B29,D29,C29)</f>
        <v>-1.5306355153690088</v>
      </c>
      <c r="J29" cm="1">
        <f t="array" ref="J29">theta_call(E29,A29,0.5,B29,D29,C29)</f>
        <v>-1.5244842503411808</v>
      </c>
      <c r="K29" cm="1">
        <f t="array" ref="K29">theta_call(E29,A29,0.6,B29,D29,C29)</f>
        <v>-1.4690124189669946</v>
      </c>
      <c r="L29" cm="1">
        <f t="array" ref="L29">theta_call(E29,A29,0.7,B29,D29,C29)</f>
        <v>-1.3928303636232684</v>
      </c>
      <c r="M29" cm="1">
        <f t="array" ref="M29">theta_call(E29,A29,0.8,B29,D29,C29)</f>
        <v>-1.3094598872932273</v>
      </c>
      <c r="N29" cm="1">
        <f t="array" ref="N29">theta_call(E29,A29,0.9,B29,D29,C29)</f>
        <v>-1.2254445114678099</v>
      </c>
      <c r="O29" cm="1">
        <f t="array" ref="O29">theta_call(E29,A29,1,B29,D29,C29)</f>
        <v>-1.1439469246660821</v>
      </c>
      <c r="P29" cm="1">
        <f t="array" ref="P29">theta_call(E29,A29,2,B29,D29,C29)</f>
        <v>-0.56119977666660681</v>
      </c>
      <c r="Q29" cm="1">
        <f t="array" ref="Q29">theta_call(E29,A29,3,B29,D29,C29)</f>
        <v>-0.26416692262124419</v>
      </c>
      <c r="R29" cm="1">
        <f t="array" ref="R29">theta_call(E29,A29,4,B29,D29,C29)</f>
        <v>-9.9803743291167923E-2</v>
      </c>
      <c r="S29" cm="1">
        <f t="array" ref="S29">theta_call(E29,A29,5,B29,D29,C29)</f>
        <v>-3.5264063650960464E-3</v>
      </c>
    </row>
    <row r="30" spans="1:29" x14ac:dyDescent="0.3">
      <c r="A30">
        <v>100</v>
      </c>
      <c r="B30">
        <f t="shared" si="1"/>
        <v>0.01</v>
      </c>
      <c r="C30">
        <v>0.2</v>
      </c>
      <c r="D30">
        <v>7.0000000000000007E-2</v>
      </c>
      <c r="E30" s="5">
        <v>90</v>
      </c>
      <c r="F30" cm="1">
        <f t="array" ref="F30">theta_call(E30,A30,0.1,B30,D30,C30)</f>
        <v>-2.3029614387229378</v>
      </c>
      <c r="G30" cm="1">
        <f t="array" ref="G30">theta_call(E30,A30,0.2,B30,D30,C30)</f>
        <v>-2.9968661625511941</v>
      </c>
      <c r="H30" cm="1">
        <f t="array" ref="H30">theta_call(E30,A30,0.3,B30,D30,C30)</f>
        <v>-2.8591637441796447</v>
      </c>
      <c r="I30" cm="1">
        <f t="array" ref="I30">theta_call(E30,A30,0.4,B30,D30,C30)</f>
        <v>-2.5899986099198369</v>
      </c>
      <c r="J30" cm="1">
        <f t="array" ref="J30">theta_call(E30,A30,0.5,B30,D30,C30)</f>
        <v>-2.321079787629218</v>
      </c>
      <c r="K30" cm="1">
        <f t="array" ref="K30">theta_call(E30,A30,0.6,B30,D30,C30)</f>
        <v>-2.0790832940128201</v>
      </c>
      <c r="L30" cm="1">
        <f t="array" ref="L30">theta_call(E30,A30,0.7,B30,D30,C30)</f>
        <v>-1.8668775557059536</v>
      </c>
      <c r="M30" cm="1">
        <f t="array" ref="M30">theta_call(E30,A30,0.8,B30,D30,C30)</f>
        <v>-1.6816261809317601</v>
      </c>
      <c r="N30" cm="1">
        <f t="array" ref="N30">theta_call(E30,A30,0.9,B30,D30,C30)</f>
        <v>-1.5194808636716552</v>
      </c>
      <c r="O30" cm="1">
        <f t="array" ref="O30">theta_call(E30,A30,1,B30,D30,C30)</f>
        <v>-1.3768428555890011</v>
      </c>
      <c r="P30" cm="1">
        <f t="array" ref="P30">theta_call(E30,A30,2,B30,D30,C30)</f>
        <v>-0.55545985727848146</v>
      </c>
      <c r="Q30" cm="1">
        <f t="array" ref="Q30">theta_call(E30,A30,3,B30,D30,C30)</f>
        <v>-0.2082674196554144</v>
      </c>
      <c r="R30" cm="1">
        <f t="array" ref="R30">theta_call(E30,A30,4,B30,D30,C30)</f>
        <v>-3.1282121615843872E-2</v>
      </c>
      <c r="S30" cm="1">
        <f t="array" ref="S30">theta_call(E30,A30,5,B30,D30,C30)</f>
        <v>6.6081974890624728E-2</v>
      </c>
    </row>
    <row r="31" spans="1:29" x14ac:dyDescent="0.3">
      <c r="A31">
        <v>100</v>
      </c>
      <c r="B31">
        <f t="shared" si="1"/>
        <v>0.01</v>
      </c>
      <c r="C31">
        <v>0.2</v>
      </c>
      <c r="D31">
        <v>7.0000000000000007E-2</v>
      </c>
      <c r="E31" s="5">
        <v>95</v>
      </c>
      <c r="F31" cm="1">
        <f t="array" ref="F31">theta_call(E31,A31,0.1,B31,D31,C31)</f>
        <v>-7.0344110027168796</v>
      </c>
      <c r="G31" cm="1">
        <f t="array" ref="G31">theta_call(E31,A31,0.2,B31,D31,C31)</f>
        <v>-5.2710482796360036</v>
      </c>
      <c r="H31" cm="1">
        <f t="array" ref="H31">theta_call(E31,A31,0.3,B31,D31,C31)</f>
        <v>-4.1463179215100165</v>
      </c>
      <c r="I31" cm="1">
        <f t="array" ref="I31">theta_call(E31,A31,0.4,B31,D31,C31)</f>
        <v>-3.3913490239274582</v>
      </c>
      <c r="J31" cm="1">
        <f t="array" ref="J31">theta_call(E31,A31,0.5,B31,D31,C31)</f>
        <v>-2.846571300675925</v>
      </c>
      <c r="K31" cm="1">
        <f t="array" ref="K31">theta_call(E31,A31,0.6,B31,D31,C31)</f>
        <v>-2.4323985615830033</v>
      </c>
      <c r="L31" cm="1">
        <f t="array" ref="L31">theta_call(E31,A31,0.7,B31,D31,C31)</f>
        <v>-2.1054062333461361</v>
      </c>
      <c r="M31" cm="1">
        <f t="array" ref="M31">theta_call(E31,A31,0.8,B31,D31,C31)</f>
        <v>-1.8398544777613717</v>
      </c>
      <c r="N31" cm="1">
        <f t="array" ref="N31">theta_call(E31,A31,0.9,B31,D31,C31)</f>
        <v>-1.6194512889025519</v>
      </c>
      <c r="O31" cm="1">
        <f t="array" ref="O31">theta_call(E31,A31,1,B31,D31,C31)</f>
        <v>-1.433336370744775</v>
      </c>
      <c r="P31" cm="1">
        <f t="array" ref="P31">theta_call(E31,A31,2,B31,D31,C31)</f>
        <v>-0.46670400507512899</v>
      </c>
      <c r="Q31" cm="1">
        <f t="array" ref="Q31">theta_call(E31,A31,3,B31,D31,C31)</f>
        <v>-0.10223115341238875</v>
      </c>
      <c r="R31" cm="1">
        <f t="array" ref="R31">theta_call(E31,A31,4,B31,D31,C31)</f>
        <v>7.1553774251506441E-2</v>
      </c>
      <c r="S31" cm="1">
        <f t="array" ref="S31">theta_call(E31,A31,5,B31,D31,C31)</f>
        <v>0.1609099319944991</v>
      </c>
    </row>
    <row r="32" spans="1:29" x14ac:dyDescent="0.3">
      <c r="A32">
        <v>100</v>
      </c>
      <c r="B32">
        <f t="shared" si="1"/>
        <v>0.01</v>
      </c>
      <c r="C32">
        <v>0.2</v>
      </c>
      <c r="D32">
        <v>7.0000000000000007E-2</v>
      </c>
      <c r="E32" s="5">
        <v>100</v>
      </c>
      <c r="F32" cm="1">
        <f t="array" ref="F32">theta_call(E32,A32,0.1,B32,D32,C32)</f>
        <v>-9.6524373960857908</v>
      </c>
      <c r="G32" cm="1">
        <f t="array" ref="G32">theta_call(E32,A32,0.2,B32,D32,C32)</f>
        <v>-5.9859940732904855</v>
      </c>
      <c r="H32" cm="1">
        <f t="array" ref="H32">theta_call(E32,A32,0.3,B32,D32,C32)</f>
        <v>-4.3758526771260389</v>
      </c>
      <c r="I32" cm="1">
        <f t="array" ref="I32">theta_call(E32,A32,0.4,B32,D32,C32)</f>
        <v>-3.4257449997109206</v>
      </c>
      <c r="J32" cm="1">
        <f t="array" ref="J32">theta_call(E32,A32,0.5,B32,D32,C32)</f>
        <v>-2.7846978726410665</v>
      </c>
      <c r="K32" cm="1">
        <f t="array" ref="K32">theta_call(E32,A32,0.6,B32,D32,C32)</f>
        <v>-2.3173352268215073</v>
      </c>
      <c r="L32" cm="1">
        <f t="array" ref="L32">theta_call(E32,A32,0.7,B32,D32,C32)</f>
        <v>-1.9589127364445296</v>
      </c>
      <c r="M32" cm="1">
        <f t="array" ref="M32">theta_call(E32,A32,0.8,B32,D32,C32)</f>
        <v>-1.6740619891087012</v>
      </c>
      <c r="N32" cm="1">
        <f t="array" ref="N32">theta_call(E32,A32,0.9,B32,D32,C32)</f>
        <v>-1.4416155880395145</v>
      </c>
      <c r="O32" cm="1">
        <f t="array" ref="O32">theta_call(E32,A32,1,B32,D32,C32)</f>
        <v>-1.2480297123500512</v>
      </c>
      <c r="P32" cm="1">
        <f t="array" ref="P32">theta_call(E32,A32,2,B32,D32,C32)</f>
        <v>-0.28270653732118589</v>
      </c>
      <c r="Q32" cm="1">
        <f t="array" ref="Q32">theta_call(E32,A32,3,B32,D32,C32)</f>
        <v>5.8367395839372893E-2</v>
      </c>
      <c r="R32" cm="1">
        <f t="array" ref="R32">theta_call(E32,A32,4,B32,D32,C32)</f>
        <v>0.21082221350955321</v>
      </c>
      <c r="S32" cm="1">
        <f t="array" ref="S32">theta_call(E32,A32,5,B32,D32,C32)</f>
        <v>0.28214130881515742</v>
      </c>
    </row>
    <row r="33" spans="1:29" x14ac:dyDescent="0.3">
      <c r="A33">
        <v>100</v>
      </c>
      <c r="B33">
        <f t="shared" si="1"/>
        <v>0.01</v>
      </c>
      <c r="C33">
        <v>0.2</v>
      </c>
      <c r="D33">
        <v>7.0000000000000007E-2</v>
      </c>
      <c r="E33" s="5">
        <v>105</v>
      </c>
      <c r="F33" cm="1">
        <f t="array" ref="F33">theta_call(E33,A33,0.1,B33,D33,C33)</f>
        <v>-5.4264324466088141</v>
      </c>
      <c r="G33" cm="1">
        <f t="array" ref="G33">theta_call(E33,A33,0.2,B33,D33,C33)</f>
        <v>-4.0702856243746517</v>
      </c>
      <c r="H33" cm="1">
        <f t="array" ref="H33">theta_call(E33,A33,0.3,B33,D33,C33)</f>
        <v>-3.1244193991656148</v>
      </c>
      <c r="I33" cm="1">
        <f t="array" ref="I33">theta_call(E33,A33,0.4,B33,D33,C33)</f>
        <v>-2.4780989505760251</v>
      </c>
      <c r="J33" cm="1">
        <f t="array" ref="J33">theta_call(E33,A33,0.5,B33,D33,C33)</f>
        <v>-2.009288221059399</v>
      </c>
      <c r="K33" cm="1">
        <f t="array" ref="K33">theta_call(E33,A33,0.6,B33,D33,C33)</f>
        <v>-1.652653701275796</v>
      </c>
      <c r="L33" cm="1">
        <f t="array" ref="L33">theta_call(E33,A33,0.7,B33,D33,C33)</f>
        <v>-1.3715568594303118</v>
      </c>
      <c r="M33" cm="1">
        <f t="array" ref="M33">theta_call(E33,A33,0.8,B33,D33,C33)</f>
        <v>-1.1439649401393051</v>
      </c>
      <c r="N33" cm="1">
        <f t="array" ref="N33">theta_call(E33,A33,0.9,B33,D33,C33)</f>
        <v>-0.95580946472341788</v>
      </c>
      <c r="O33" cm="1">
        <f t="array" ref="O33">theta_call(E33,A33,1,B33,D33,C33)</f>
        <v>-0.79765776730093485</v>
      </c>
      <c r="P33" cm="1">
        <f t="array" ref="P33">theta_call(E33,A33,2,B33,D33,C33)</f>
        <v>6.6985199811098184E-4</v>
      </c>
      <c r="Q33" cm="1">
        <f t="array" ref="Q33">theta_call(E33,A33,3,B33,D33,C33)</f>
        <v>0.27501716905265239</v>
      </c>
      <c r="R33" cm="1">
        <f t="array" ref="R33">theta_call(E33,A33,4,B33,D33,C33)</f>
        <v>0.38724154178027992</v>
      </c>
      <c r="S33" cm="1">
        <f t="array" ref="S33">theta_call(E33,A33,5,B33,D33,C33)</f>
        <v>0.4301836043004359</v>
      </c>
    </row>
    <row r="34" spans="1:29" x14ac:dyDescent="0.3">
      <c r="A34">
        <v>100</v>
      </c>
      <c r="B34">
        <f t="shared" si="1"/>
        <v>0.01</v>
      </c>
      <c r="C34">
        <v>0.2</v>
      </c>
      <c r="D34">
        <v>7.0000000000000007E-2</v>
      </c>
      <c r="E34" s="5">
        <v>110</v>
      </c>
      <c r="F34" cm="1">
        <f t="array" ref="F34">theta_call(E34,A34,0.1,B34,D34,C34)</f>
        <v>1.3000754084660899</v>
      </c>
      <c r="G34" cm="1">
        <f t="array" ref="G34">theta_call(E34,A34,0.2,B34,D34,C34)</f>
        <v>-0.4789015604180662</v>
      </c>
      <c r="H34" cm="1">
        <f t="array" ref="H34">theta_call(E34,A34,0.3,B34,D34,C34)</f>
        <v>-0.76496965393053884</v>
      </c>
      <c r="I34" cm="1">
        <f t="array" ref="I34">theta_call(E34,A34,0.4,B34,D34,C34)</f>
        <v>-0.7366480513773821</v>
      </c>
      <c r="J34" cm="1">
        <f t="array" ref="J34">theta_call(E34,A34,0.5,B34,D34,C34)</f>
        <v>-0.6302626556300126</v>
      </c>
      <c r="K34" cm="1">
        <f t="array" ref="K34">theta_call(E34,A34,0.6,B34,D34,C34)</f>
        <v>-0.50887721924986629</v>
      </c>
      <c r="L34" cm="1">
        <f t="array" ref="L34">theta_call(E34,A34,0.7,B34,D34,C34)</f>
        <v>-0.39166326395085971</v>
      </c>
      <c r="M34" cm="1">
        <f t="array" ref="M34">theta_call(E34,A34,0.8,B34,D34,C34)</f>
        <v>-0.28432596608174876</v>
      </c>
      <c r="N34" cm="1">
        <f t="array" ref="N34">theta_call(E34,A34,0.9,B34,D34,C34)</f>
        <v>-0.18799144011540125</v>
      </c>
      <c r="O34" cm="1">
        <f t="array" ref="O34">theta_call(E34,A34,1,B34,D34,C34)</f>
        <v>-0.1021871130264671</v>
      </c>
      <c r="P34" cm="1">
        <f t="array" ref="P34">theta_call(E34,A34,2,B34,D34,C34)</f>
        <v>0.37998833856242697</v>
      </c>
      <c r="Q34" cm="1">
        <f t="array" ref="Q34">theta_call(E34,A34,3,B34,D34,C34)</f>
        <v>0.54653754894994622</v>
      </c>
      <c r="R34" cm="1">
        <f t="array" ref="R34">theta_call(E34,A34,4,B34,D34,C34)</f>
        <v>0.60027576768322666</v>
      </c>
      <c r="S34" cm="1">
        <f t="array" ref="S34">theta_call(E34,A34,5,B34,D34,C34)</f>
        <v>0.60475457486619422</v>
      </c>
    </row>
    <row r="35" spans="1:29" x14ac:dyDescent="0.3">
      <c r="A35">
        <v>100</v>
      </c>
      <c r="B35">
        <f t="shared" si="1"/>
        <v>0.01</v>
      </c>
      <c r="C35">
        <v>0.2</v>
      </c>
      <c r="D35">
        <v>7.0000000000000007E-2</v>
      </c>
      <c r="E35" s="5">
        <v>115</v>
      </c>
      <c r="F35" cm="1">
        <f t="array" ref="F35">theta_call(E35,A35,0.1,B35,D35,C35)</f>
        <v>5.445498497147522</v>
      </c>
      <c r="G35" cm="1">
        <f t="array" ref="G35">theta_call(E35,A35,0.2,B35,D35,C35)</f>
        <v>3.0429941186588092</v>
      </c>
      <c r="H35" cm="1">
        <f t="array" ref="H35">theta_call(E35,A35,0.3,B35,D35,C35)</f>
        <v>1.9109616151549984</v>
      </c>
      <c r="I35" cm="1">
        <f t="array" ref="I35">theta_call(E35,A35,0.4,B35,D35,C35)</f>
        <v>1.3678309975708682</v>
      </c>
      <c r="J35" cm="1">
        <f t="array" ref="J35">theta_call(E35,A35,0.5,B35,D35,C35)</f>
        <v>1.0891075584319001</v>
      </c>
      <c r="K35" cm="1">
        <f t="array" ref="K35">theta_call(E35,A35,0.6,B35,D35,C35)</f>
        <v>0.93983307658369508</v>
      </c>
      <c r="L35" cm="1">
        <f t="array" ref="L35">theta_call(E35,A35,0.7,B35,D35,C35)</f>
        <v>0.85876294217826654</v>
      </c>
      <c r="M35" cm="1">
        <f t="array" ref="M35">theta_call(E35,A35,0.8,B35,D35,C35)</f>
        <v>0.8156058881963002</v>
      </c>
      <c r="N35" cm="1">
        <f t="array" ref="N35">theta_call(E35,A35,0.9,B35,D35,C35)</f>
        <v>0.79430476313098897</v>
      </c>
      <c r="O35" cm="1">
        <f t="array" ref="O35">theta_call(E35,A35,1,B35,D35,C35)</f>
        <v>0.78587381292344904</v>
      </c>
      <c r="P35" cm="1">
        <f t="array" ref="P35">theta_call(E35,A35,2,B35,D35,C35)</f>
        <v>0.8456912695188139</v>
      </c>
      <c r="Q35" cm="1">
        <f t="array" ref="Q35">theta_call(E35,A35,3,B35,D35,C35)</f>
        <v>0.86953935064545673</v>
      </c>
      <c r="R35" cm="1">
        <f t="array" ref="R35">theta_call(E35,A35,4,B35,D35,C35)</f>
        <v>0.84833884462890374</v>
      </c>
      <c r="S35" cm="1">
        <f t="array" ref="S35">theta_call(E35,A35,5,B35,D35,C35)</f>
        <v>0.80499041245659986</v>
      </c>
    </row>
    <row r="36" spans="1:29" x14ac:dyDescent="0.3">
      <c r="A36">
        <v>100</v>
      </c>
      <c r="B36">
        <f t="shared" si="1"/>
        <v>0.01</v>
      </c>
      <c r="C36">
        <v>0.2</v>
      </c>
      <c r="D36">
        <v>7.0000000000000007E-2</v>
      </c>
      <c r="E36" s="5">
        <v>120</v>
      </c>
      <c r="F36" cm="1">
        <f t="array" ref="F36">theta_call(E36,A36,0.1,B36,D36,C36)</f>
        <v>7.0409081880682249</v>
      </c>
      <c r="G36" cm="1">
        <f t="array" ref="G36">theta_call(E36,A36,0.2,B36,D36,C36)</f>
        <v>5.5202791333129166</v>
      </c>
      <c r="H36" cm="1">
        <f t="array" ref="H36">theta_call(E36,A36,0.3,B36,D36,C36)</f>
        <v>4.2479141522561505</v>
      </c>
      <c r="I36" cm="1">
        <f t="array" ref="I36">theta_call(E36,A36,0.4,B36,D36,C36)</f>
        <v>3.411062542629252</v>
      </c>
      <c r="J36" cm="1">
        <f t="array" ref="J36">theta_call(E36,A36,0.5,B36,D36,C36)</f>
        <v>2.8625673246224252</v>
      </c>
      <c r="K36" cm="1">
        <f t="array" ref="K36">theta_call(E36,A36,0.6,B36,D36,C36)</f>
        <v>2.4915620802051039</v>
      </c>
      <c r="L36" cm="1">
        <f t="array" ref="L36">theta_call(E36,A36,0.7,B36,D36,C36)</f>
        <v>2.2317520172035028</v>
      </c>
      <c r="M36" cm="1">
        <f t="array" ref="M36">theta_call(E36,A36,0.8,B36,D36,C36)</f>
        <v>2.0439068016873607</v>
      </c>
      <c r="N36" cm="1">
        <f t="array" ref="N36">theta_call(E36,A36,0.9,B36,D36,C36)</f>
        <v>1.9041723764514575</v>
      </c>
      <c r="O36" cm="1">
        <f t="array" ref="O36">theta_call(E36,A36,1,B36,D36,C36)</f>
        <v>1.7975503900693468</v>
      </c>
      <c r="P36" cm="1">
        <f t="array" ref="P36">theta_call(E36,A36,2,B36,D36,C36)</f>
        <v>1.3840077158326514</v>
      </c>
      <c r="Q36" cm="1">
        <f t="array" ref="Q36">theta_call(E36,A36,3,B36,D36,C36)</f>
        <v>1.2389767358501977</v>
      </c>
      <c r="R36" cm="1">
        <f t="array" ref="R36">theta_call(E36,A36,4,B36,D36,C36)</f>
        <v>1.1290244223776735</v>
      </c>
      <c r="S36" cm="1">
        <f t="array" ref="S36">theta_call(E36,A36,5,B36,D36,C36)</f>
        <v>1.0295620872435396</v>
      </c>
    </row>
    <row r="37" spans="1:29" x14ac:dyDescent="0.3">
      <c r="A37">
        <v>100</v>
      </c>
      <c r="B37">
        <f t="shared" si="1"/>
        <v>0.01</v>
      </c>
      <c r="C37">
        <v>0.2</v>
      </c>
      <c r="D37">
        <v>7.0000000000000007E-2</v>
      </c>
      <c r="E37" s="5">
        <v>125</v>
      </c>
      <c r="F37" cm="1">
        <f t="array" ref="F37">theta_call(E37,A37,0.1,B37,D37,C37)</f>
        <v>7.6472941990383996</v>
      </c>
      <c r="G37" cm="1">
        <f t="array" ref="G37">theta_call(E37,A37,0.2,B37,D37,C37)</f>
        <v>6.9576348461900031</v>
      </c>
      <c r="H37" cm="1">
        <f t="array" ref="H37">theta_call(E37,A37,0.3,B37,D37,C37)</f>
        <v>5.9775396105205107</v>
      </c>
      <c r="I37" cm="1">
        <f t="array" ref="I37">theta_call(E37,A37,0.4,B37,D37,C37)</f>
        <v>5.1324129053543022</v>
      </c>
      <c r="J37" cm="1">
        <f t="array" ref="J37">theta_call(E37,A37,0.5,B37,D37,C37)</f>
        <v>4.4777377480187024</v>
      </c>
      <c r="K37" cm="1">
        <f t="array" ref="K37">theta_call(E37,A37,0.6,B37,D37,C37)</f>
        <v>3.9787333299073837</v>
      </c>
      <c r="L37" cm="1">
        <f t="array" ref="L37">theta_call(E37,A37,0.7,B37,D37,C37)</f>
        <v>3.5949402365481826</v>
      </c>
      <c r="M37" cm="1">
        <f t="array" ref="M37">theta_call(E37,A37,0.8,B37,D37,C37)</f>
        <v>3.294916247108584</v>
      </c>
      <c r="N37" cm="1">
        <f t="array" ref="N37">theta_call(E37,A37,0.9,B37,D37,C37)</f>
        <v>3.0561624497993822</v>
      </c>
      <c r="O37" cm="1">
        <f t="array" ref="O37">theta_call(E37,A37,1,B37,D37,C37)</f>
        <v>2.8628312622863481</v>
      </c>
      <c r="P37" cm="1">
        <f t="array" ref="P37">theta_call(E37,A37,2,B37,D37,C37)</f>
        <v>1.9789075102904023</v>
      </c>
      <c r="Q37" cm="1">
        <f t="array" ref="Q37">theta_call(E37,A37,3,B37,D37,C37)</f>
        <v>1.6487088827496796</v>
      </c>
      <c r="R37" cm="1">
        <f t="array" ref="R37">theta_call(E37,A37,4,B37,D37,C37)</f>
        <v>1.4393360177044543</v>
      </c>
      <c r="S37" cm="1">
        <f t="array" ref="S37">theta_call(E37,A37,5,B37,D37,C37)</f>
        <v>1.2767900749043259</v>
      </c>
    </row>
    <row r="38" spans="1:29" x14ac:dyDescent="0.3">
      <c r="A38">
        <v>100</v>
      </c>
      <c r="B38">
        <f t="shared" si="1"/>
        <v>0.01</v>
      </c>
      <c r="C38">
        <v>0.2</v>
      </c>
      <c r="D38">
        <v>7.0000000000000007E-2</v>
      </c>
      <c r="E38" s="5">
        <v>130</v>
      </c>
      <c r="F38" cm="1">
        <f t="array" ref="F38">theta_call(E38,A38,0.1,B38,D38,C38)</f>
        <v>8.0314786955912769</v>
      </c>
      <c r="G38" cm="1">
        <f t="array" ref="G38">theta_call(E38,A38,0.2,B38,D38,C38)</f>
        <v>7.7539653432111191</v>
      </c>
      <c r="H38" cm="1">
        <f t="array" ref="H38">theta_call(E38,A38,0.3,B38,D38,C38)</f>
        <v>7.142817925624696</v>
      </c>
      <c r="I38" cm="1">
        <f t="array" ref="I38">theta_call(E38,A38,0.4,B38,D38,C38)</f>
        <v>6.4549738114617705</v>
      </c>
      <c r="J38" cm="1">
        <f t="array" ref="J38">theta_call(E38,A38,0.5,B38,D38,C38)</f>
        <v>5.8290703353832418</v>
      </c>
      <c r="K38" cm="1">
        <f t="array" ref="K38">theta_call(E38,A38,0.6,B38,D38,C38)</f>
        <v>5.2974330268770684</v>
      </c>
      <c r="L38" cm="1">
        <f t="array" ref="L38">theta_call(E38,A38,0.7,B38,D38,C38)</f>
        <v>4.8549836353989875</v>
      </c>
      <c r="M38" cm="1">
        <f t="array" ref="M38">theta_call(E38,A38,0.8,B38,D38,C38)</f>
        <v>4.4874613425937664</v>
      </c>
      <c r="N38" cm="1">
        <f t="array" ref="N38">theta_call(E38,A38,0.9,B38,D38,C38)</f>
        <v>4.1804579109998175</v>
      </c>
      <c r="O38" cm="1">
        <f t="array" ref="O38">theta_call(E38,A38,1,B38,D38,C38)</f>
        <v>3.9217797028267682</v>
      </c>
      <c r="P38" cm="1">
        <f t="array" ref="P38">theta_call(E38,A38,2,B38,D38,C38)</f>
        <v>2.6138225089814413</v>
      </c>
      <c r="Q38" cm="1">
        <f t="array" ref="Q38">theta_call(E38,A38,3,B38,D38,C38)</f>
        <v>2.0920154959169115</v>
      </c>
      <c r="R38" cm="1">
        <f t="array" ref="R38">theta_call(E38,A38,4,B38,D38,C38)</f>
        <v>1.7759005479093388</v>
      </c>
      <c r="S38" cm="1">
        <f t="array" ref="S38">theta_call(E38,A38,5,B38,D38,C38)</f>
        <v>1.5447509230195986</v>
      </c>
    </row>
    <row r="39" spans="1:29" x14ac:dyDescent="0.3">
      <c r="A39">
        <v>100</v>
      </c>
      <c r="B39">
        <f t="shared" si="1"/>
        <v>0.01</v>
      </c>
      <c r="C39">
        <v>0.2</v>
      </c>
      <c r="D39">
        <v>7.0000000000000007E-2</v>
      </c>
      <c r="E39" s="5">
        <v>135</v>
      </c>
      <c r="F39" cm="1">
        <f t="array" ref="F39">theta_call(E39,A39,0.1,B39,D39,C39)</f>
        <v>8.3827750097751821</v>
      </c>
      <c r="G39" cm="1">
        <f t="array" ref="G39">theta_call(E39,A39,0.2,B39,D39,C39)</f>
        <v>8.2549180904866866</v>
      </c>
      <c r="H39" cm="1">
        <f t="array" ref="H39">theta_call(E39,A39,0.3,B39,D39,C39)</f>
        <v>7.9139132498317339</v>
      </c>
      <c r="I39" cm="1">
        <f t="array" ref="I39">theta_call(E39,A39,0.4,B39,D39,C39)</f>
        <v>7.4239888528288303</v>
      </c>
      <c r="J39" cm="1">
        <f t="array" ref="J39">theta_call(E39,A39,0.5,B39,D39,C39)</f>
        <v>6.9013059546401756</v>
      </c>
      <c r="K39" cm="1">
        <f t="array" ref="K39">theta_call(E39,A39,0.6,B39,D39,C39)</f>
        <v>6.4069573660144226</v>
      </c>
      <c r="L39" cm="1">
        <f t="array" ref="L39">theta_call(E39,A39,0.7,B39,D39,C39)</f>
        <v>5.9625251982060536</v>
      </c>
      <c r="M39" cm="1">
        <f t="array" ref="M39">theta_call(E39,A39,0.8,B39,D39,C39)</f>
        <v>5.5712386930413338</v>
      </c>
      <c r="N39" cm="1">
        <f t="array" ref="N39">theta_call(E39,A39,0.9,B39,D39,C39)</f>
        <v>5.2291785175212908</v>
      </c>
      <c r="O39" cm="1">
        <f t="array" ref="O39">theta_call(E39,A39,1,B39,D39,C39)</f>
        <v>4.9302500208104334</v>
      </c>
      <c r="P39" cm="1">
        <f t="array" ref="P39">theta_call(E39,A39,2,B39,D39,C39)</f>
        <v>3.2729866026047594</v>
      </c>
      <c r="Q39" cm="1">
        <f t="array" ref="Q39">theta_call(E39,A39,3,B39,D39,C39)</f>
        <v>2.562033509212795</v>
      </c>
      <c r="R39" cm="1">
        <f t="array" ref="R39">theta_call(E39,A39,4,B39,D39,C39)</f>
        <v>2.135155042484302</v>
      </c>
      <c r="S39" cm="1">
        <f t="array" ref="S39">theta_call(E39,A39,5,B39,D39,C39)</f>
        <v>1.8313717587144969</v>
      </c>
    </row>
    <row r="40" spans="1:29" x14ac:dyDescent="0.3">
      <c r="A40">
        <v>100</v>
      </c>
      <c r="B40">
        <f t="shared" si="1"/>
        <v>0.01</v>
      </c>
      <c r="C40">
        <v>0.2</v>
      </c>
      <c r="D40">
        <v>7.0000000000000007E-2</v>
      </c>
      <c r="E40" s="5">
        <v>140</v>
      </c>
      <c r="F40" cm="1">
        <f t="array" ref="F40">theta_call(E40,A40,0.1,B40,D40,C40)</f>
        <v>8.7306209220409556</v>
      </c>
      <c r="G40" cm="1">
        <f t="array" ref="G40">theta_call(E40,A40,0.2,B40,D40,C40)</f>
        <v>8.6462477331401359</v>
      </c>
      <c r="H40" cm="1">
        <f t="array" ref="H40">theta_call(E40,A40,0.3,B40,D40,C40)</f>
        <v>8.456626229494244</v>
      </c>
      <c r="I40" cm="1">
        <f t="array" ref="I40">theta_call(E40,A40,0.4,B40,D40,C40)</f>
        <v>8.132934322844509</v>
      </c>
      <c r="J40" cm="1">
        <f t="array" ref="J40">theta_call(E40,A40,0.5,B40,D40,C40)</f>
        <v>7.7329953649973024</v>
      </c>
      <c r="K40" cm="1">
        <f t="array" ref="K40">theta_call(E40,A40,0.6,B40,D40,C40)</f>
        <v>7.3128044221294672</v>
      </c>
      <c r="L40" cm="1">
        <f t="array" ref="L40">theta_call(E40,A40,0.7,B40,D40,C40)</f>
        <v>6.9049193028400069</v>
      </c>
      <c r="M40" cm="1">
        <f t="array" ref="M40">theta_call(E40,A40,0.8,B40,D40,C40)</f>
        <v>6.5243714736823444</v>
      </c>
      <c r="N40" cm="1">
        <f t="array" ref="N40">theta_call(E40,A40,0.9,B40,D40,C40)</f>
        <v>6.1763144225607487</v>
      </c>
      <c r="O40" cm="1">
        <f t="array" ref="O40">theta_call(E40,A40,1,B40,D40,C40)</f>
        <v>5.8609518681071435</v>
      </c>
      <c r="P40" cm="1">
        <f t="array" ref="P40">theta_call(E40,A40,2,B40,D40,C40)</f>
        <v>3.9423519748359044</v>
      </c>
      <c r="Q40" cm="1">
        <f t="array" ref="Q40">theta_call(E40,A40,3,B40,D40,C40)</f>
        <v>3.0521010328505005</v>
      </c>
      <c r="R40" cm="1">
        <f t="array" ref="R40">theta_call(E40,A40,4,B40,D40,C40)</f>
        <v>2.5135017377445408</v>
      </c>
      <c r="S40" cm="1">
        <f t="array" ref="S40">theta_call(E40,A40,5,B40,D40,C40)</f>
        <v>2.134510867133034</v>
      </c>
    </row>
    <row r="42" spans="1:29" x14ac:dyDescent="0.3">
      <c r="A42" s="2" t="s">
        <v>29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3">
      <c r="A43" t="s">
        <v>13</v>
      </c>
      <c r="B43" t="s">
        <v>14</v>
      </c>
      <c r="C43" t="s">
        <v>15</v>
      </c>
      <c r="D43" t="s">
        <v>26</v>
      </c>
      <c r="F43" s="7">
        <v>0.1</v>
      </c>
      <c r="G43" s="7">
        <v>0.2</v>
      </c>
      <c r="H43" s="7">
        <v>0.3</v>
      </c>
      <c r="I43" s="7">
        <v>0.4</v>
      </c>
      <c r="J43" s="7">
        <v>0.5</v>
      </c>
      <c r="K43" s="7">
        <v>0.6</v>
      </c>
      <c r="L43" s="7">
        <v>0.7</v>
      </c>
      <c r="M43" s="7">
        <v>0.8</v>
      </c>
      <c r="N43" s="7">
        <v>0.9</v>
      </c>
      <c r="O43" s="7">
        <v>1</v>
      </c>
      <c r="P43" s="7">
        <v>2</v>
      </c>
      <c r="Q43" s="7">
        <v>3</v>
      </c>
      <c r="R43" s="7">
        <v>4</v>
      </c>
      <c r="S43" s="7">
        <v>5</v>
      </c>
    </row>
    <row r="44" spans="1:29" x14ac:dyDescent="0.3">
      <c r="A44">
        <v>100</v>
      </c>
      <c r="B44">
        <f>1/100</f>
        <v>0.01</v>
      </c>
      <c r="C44">
        <v>0.2</v>
      </c>
      <c r="D44">
        <v>7.0000000000000007E-2</v>
      </c>
      <c r="E44" s="5">
        <v>60</v>
      </c>
      <c r="F44" cm="1">
        <f t="array" ref="F44">gamma_new(E44,A44,0.1,B44,D44,C44)</f>
        <v>4.2679387854300681E-16</v>
      </c>
      <c r="G44" cm="1">
        <f t="array" ref="G44">gamma_new(E44,A44,0.2,B44,D44,C44)</f>
        <v>3.6196881217381263E-9</v>
      </c>
      <c r="H44" cm="1">
        <f t="array" ref="H44">gamma_new(E44,A44,0.3,B44,D44,C44)</f>
        <v>6.7247438398438575E-7</v>
      </c>
      <c r="I44" cm="1">
        <f t="array" ref="I44">gamma_new(E44,A44,0.4,B44,D44,C44)</f>
        <v>8.7453493646985242E-6</v>
      </c>
      <c r="J44" cm="1">
        <f t="array" ref="J44">gamma_new(E44,A44,0.5,B44,D44,C44)</f>
        <v>3.9600545526519086E-5</v>
      </c>
      <c r="K44" cm="1">
        <f t="array" ref="K44">gamma_new(E44,A44,0.6,B44,D44,C44)</f>
        <v>1.0626583764918123E-4</v>
      </c>
      <c r="L44" cm="1">
        <f t="array" ref="L44">gamma_new(E44,A44,0.7,B44,D44,C44)</f>
        <v>2.1197832872725409E-4</v>
      </c>
      <c r="M44" cm="1">
        <f t="array" ref="M44">gamma_new(E44,A44,0.8,B44,D44,C44)</f>
        <v>3.5184122103913012E-4</v>
      </c>
      <c r="N44" cm="1">
        <f t="array" ref="N44">gamma_new(E44,A44,0.9,B44,D44,C44)</f>
        <v>5.1714029685770977E-4</v>
      </c>
      <c r="O44" cm="1">
        <f t="array" ref="O44">gamma_new(E44,A44,1,B44,D44,C44)</f>
        <v>6.9858337011852124E-4</v>
      </c>
      <c r="P44" cm="1">
        <f t="array" ref="P44">gamma_new(E44,A44,2,B44,D44,C44)</f>
        <v>2.3062394864928979E-3</v>
      </c>
      <c r="Q44" cm="1">
        <f t="array" ref="Q44">gamma_new(E44,A44,3,B44,D44,C44)</f>
        <v>2.9639314708080288E-3</v>
      </c>
      <c r="R44" cm="1">
        <f t="array" ref="R44">gamma_new(E44,A44,4,B44,D44,C44)</f>
        <v>3.0786493735818318E-3</v>
      </c>
      <c r="S44" cm="1">
        <f t="array" ref="S44">gamma_new(E44,A44,5,B44,D44,C44)</f>
        <v>2.9624258341643499E-3</v>
      </c>
    </row>
    <row r="45" spans="1:29" x14ac:dyDescent="0.3">
      <c r="A45">
        <v>100</v>
      </c>
      <c r="B45">
        <f t="shared" ref="B45:B60" si="2">1/100</f>
        <v>0.01</v>
      </c>
      <c r="C45">
        <v>0.2</v>
      </c>
      <c r="D45">
        <v>7.0000000000000007E-2</v>
      </c>
      <c r="E45" s="5">
        <v>65</v>
      </c>
      <c r="F45" cm="1">
        <f t="array" ref="F45">gamma_new(E45,A45,0.1,B45,D45,C45)</f>
        <v>5.2693275565121041E-12</v>
      </c>
      <c r="G45" cm="1">
        <f t="array" ref="G45">gamma_new(E45,A45,0.2,B45,D45,C45)</f>
        <v>4.0219777151505284E-7</v>
      </c>
      <c r="H45" cm="1">
        <f t="array" ref="H45">gamma_new(E45,A45,0.3,B45,D45,C45)</f>
        <v>1.5542519371053968E-5</v>
      </c>
      <c r="I45" cm="1">
        <f t="array" ref="I45">gamma_new(E45,A45,0.4,B45,D45,C45)</f>
        <v>9.2185245646654018E-5</v>
      </c>
      <c r="J45" cm="1">
        <f t="array" ref="J45">gamma_new(E45,A45,0.5,B45,D45,C45)</f>
        <v>2.6062049878568315E-4</v>
      </c>
      <c r="K45" cm="1">
        <f t="array" ref="K45">gamma_new(E45,A45,0.6,B45,D45,C45)</f>
        <v>5.1087718208675742E-4</v>
      </c>
      <c r="L45" cm="1">
        <f t="array" ref="L45">gamma_new(E45,A45,0.7,B45,D45,C45)</f>
        <v>8.1432309425627449E-4</v>
      </c>
      <c r="M45" cm="1">
        <f t="array" ref="M45">gamma_new(E45,A45,0.8,B45,D45,C45)</f>
        <v>1.1423228024407578E-3</v>
      </c>
      <c r="N45" cm="1">
        <f t="array" ref="N45">gamma_new(E45,A45,0.9,B45,D45,C45)</f>
        <v>1.4730707439161081E-3</v>
      </c>
      <c r="O45" cm="1">
        <f t="array" ref="O45">gamma_new(E45,A45,1,B45,D45,C45)</f>
        <v>1.7921400461625768E-3</v>
      </c>
      <c r="P45" cm="1">
        <f t="array" ref="P45">gamma_new(E45,A45,2,B45,D45,C45)</f>
        <v>3.6938670006057299E-3</v>
      </c>
      <c r="Q45" cm="1">
        <f t="array" ref="Q45">gamma_new(E45,A45,3,B45,D45,C45)</f>
        <v>4.0574457819974596E-3</v>
      </c>
      <c r="R45" cm="1">
        <f t="array" ref="R45">gamma_new(E45,A45,4,B45,D45,C45)</f>
        <v>3.8962665087311295E-3</v>
      </c>
      <c r="S45" cm="1">
        <f t="array" ref="S45">gamma_new(E45,A45,5,B45,D45,C45)</f>
        <v>3.5766646853338355E-3</v>
      </c>
    </row>
    <row r="46" spans="1:29" x14ac:dyDescent="0.3">
      <c r="A46">
        <v>100</v>
      </c>
      <c r="B46">
        <f t="shared" si="2"/>
        <v>0.01</v>
      </c>
      <c r="C46">
        <v>0.2</v>
      </c>
      <c r="D46">
        <v>7.0000000000000007E-2</v>
      </c>
      <c r="E46" s="5">
        <v>70</v>
      </c>
      <c r="F46" cm="1">
        <f t="array" ref="F46">gamma_new(E46,A46,0.1,B46,D46,C46)</f>
        <v>7.7582797077441961E-9</v>
      </c>
      <c r="G46" cm="1">
        <f t="array" ref="G46">gamma_new(E46,A46,0.2,B46,D46,C46)</f>
        <v>1.5432801785960854E-5</v>
      </c>
      <c r="H46" cm="1">
        <f t="array" ref="H46">gamma_new(E46,A46,0.3,B46,D46,C46)</f>
        <v>1.7681733050734416E-4</v>
      </c>
      <c r="I46" cm="1">
        <f t="array" ref="I46">gamma_new(E46,A46,0.4,B46,D46,C46)</f>
        <v>5.7103664163671113E-4</v>
      </c>
      <c r="J46" cm="1">
        <f t="array" ref="J46">gamma_new(E46,A46,0.5,B46,D46,C46)</f>
        <v>1.1210129224815458E-3</v>
      </c>
      <c r="K46" cm="1">
        <f t="array" ref="K46">gamma_new(E46,A46,0.6,B46,D46,C46)</f>
        <v>1.7231306672672243E-3</v>
      </c>
      <c r="L46" cm="1">
        <f t="array" ref="L46">gamma_new(E46,A46,0.7,B46,D46,C46)</f>
        <v>2.3087113740841627E-3</v>
      </c>
      <c r="M46" cm="1">
        <f t="array" ref="M46">gamma_new(E46,A46,0.8,B46,D46,C46)</f>
        <v>2.8430868434200815E-3</v>
      </c>
      <c r="N46" cm="1">
        <f t="array" ref="N46">gamma_new(E46,A46,0.9,B46,D46,C46)</f>
        <v>3.3130252180627829E-3</v>
      </c>
      <c r="O46" cm="1">
        <f t="array" ref="O46">gamma_new(E46,A46,1,B46,D46,C46)</f>
        <v>3.7168323131382629E-3</v>
      </c>
      <c r="P46" cm="1">
        <f t="array" ref="P46">gamma_new(E46,A46,2,B46,D46,C46)</f>
        <v>5.31963416085743E-3</v>
      </c>
      <c r="Q46" cm="1">
        <f t="array" ref="Q46">gamma_new(E46,A46,3,B46,D46,C46)</f>
        <v>5.1743174121384478E-3</v>
      </c>
      <c r="R46" cm="1">
        <f t="array" ref="R46">gamma_new(E46,A46,4,B46,D46,C46)</f>
        <v>4.6757244710696807E-3</v>
      </c>
      <c r="S46" cm="1">
        <f t="array" ref="S46">gamma_new(E46,A46,5,B46,D46,C46)</f>
        <v>4.1384568504810818E-3</v>
      </c>
    </row>
    <row r="47" spans="1:29" x14ac:dyDescent="0.3">
      <c r="A47">
        <v>100</v>
      </c>
      <c r="B47">
        <f t="shared" si="2"/>
        <v>0.01</v>
      </c>
      <c r="C47">
        <v>0.2</v>
      </c>
      <c r="D47">
        <v>7.0000000000000007E-2</v>
      </c>
      <c r="E47" s="5">
        <v>75</v>
      </c>
      <c r="F47" cm="1">
        <f t="array" ref="F47">gamma_new(E47,A47,0.1,B47,D47,C47)</f>
        <v>2.0097502214900183E-6</v>
      </c>
      <c r="G47" cm="1">
        <f t="array" ref="G47">gamma_new(E47,A47,0.2,B47,D47,C47)</f>
        <v>2.4838942626650171E-4</v>
      </c>
      <c r="H47" cm="1">
        <f t="array" ref="H47">gamma_new(E47,A47,0.3,B47,D47,C47)</f>
        <v>1.1271551860803086E-3</v>
      </c>
      <c r="I47" cm="1">
        <f t="array" ref="I47">gamma_new(E47,A47,0.4,B47,D47,C47)</f>
        <v>2.2909105883034383E-3</v>
      </c>
      <c r="J47" cm="1">
        <f t="array" ref="J47">gamma_new(E47,A47,0.5,B47,D47,C47)</f>
        <v>3.4063239600968685E-3</v>
      </c>
      <c r="K47" cm="1">
        <f t="array" ref="K47">gamma_new(E47,A47,0.6,B47,D47,C47)</f>
        <v>4.350584956832439E-3</v>
      </c>
      <c r="L47" cm="1">
        <f t="array" ref="L47">gamma_new(E47,A47,0.7,B47,D47,C47)</f>
        <v>5.1066693137959756E-3</v>
      </c>
      <c r="M47" cm="1">
        <f t="array" ref="M47">gamma_new(E47,A47,0.8,B47,D47,C47)</f>
        <v>5.694586669467201E-3</v>
      </c>
      <c r="N47" cm="1">
        <f t="array" ref="N47">gamma_new(E47,A47,0.9,B47,D47,C47)</f>
        <v>6.1429602204950669E-3</v>
      </c>
      <c r="O47" cm="1">
        <f t="array" ref="O47">gamma_new(E47,A47,1,B47,D47,C47)</f>
        <v>6.4790395844056391E-3</v>
      </c>
      <c r="P47" cm="1">
        <f t="array" ref="P47">gamma_new(E47,A47,2,B47,D47,C47)</f>
        <v>7.0234516791269422E-3</v>
      </c>
      <c r="Q47" cm="1">
        <f t="array" ref="Q47">gamma_new(E47,A47,3,B47,D47,C47)</f>
        <v>6.2272880487321026E-3</v>
      </c>
      <c r="R47" cm="1">
        <f t="array" ref="R47">gamma_new(E47,A47,4,B47,D47,C47)</f>
        <v>5.3725854011182472E-3</v>
      </c>
      <c r="S47" cm="1">
        <f t="array" ref="S47">gamma_new(E47,A47,5,B47,D47,C47)</f>
        <v>4.6249385249855935E-3</v>
      </c>
    </row>
    <row r="48" spans="1:29" x14ac:dyDescent="0.3">
      <c r="A48">
        <v>100</v>
      </c>
      <c r="B48">
        <f t="shared" si="2"/>
        <v>0.01</v>
      </c>
      <c r="C48">
        <v>0.2</v>
      </c>
      <c r="D48">
        <v>7.0000000000000007E-2</v>
      </c>
      <c r="E48" s="5">
        <v>80</v>
      </c>
      <c r="F48" cm="1">
        <f t="array" ref="F48">gamma_new(E48,A48,0.1,B48,D48,C48)</f>
        <v>1.2384140264722014E-4</v>
      </c>
      <c r="G48" cm="1">
        <f t="array" ref="G48">gamma_new(E48,A48,0.2,B48,D48,C48)</f>
        <v>1.9498221194515128E-3</v>
      </c>
      <c r="H48" cm="1">
        <f t="array" ref="H48">gamma_new(E48,A48,0.3,B48,D48,C48)</f>
        <v>4.4520322938562925E-3</v>
      </c>
      <c r="I48" cm="1">
        <f t="array" ref="I48">gamma_new(E48,A48,0.4,B48,D48,C48)</f>
        <v>6.4185818505675873E-3</v>
      </c>
      <c r="J48" cm="1">
        <f t="array" ref="J48">gamma_new(E48,A48,0.5,B48,D48,C48)</f>
        <v>7.7665958215687335E-3</v>
      </c>
      <c r="K48" cm="1">
        <f t="array" ref="K48">gamma_new(E48,A48,0.6,B48,D48,C48)</f>
        <v>8.6463925740958968E-3</v>
      </c>
      <c r="L48" cm="1">
        <f t="array" ref="L48">gamma_new(E48,A48,0.7,B48,D48,C48)</f>
        <v>9.2005239671762145E-3</v>
      </c>
      <c r="M48" cm="1">
        <f t="array" ref="M48">gamma_new(E48,A48,0.8,B48,D48,C48)</f>
        <v>9.5318605329820401E-3</v>
      </c>
      <c r="N48" cm="1">
        <f t="array" ref="N48">gamma_new(E48,A48,0.9,B48,D48,C48)</f>
        <v>9.7103727288510942E-3</v>
      </c>
      <c r="O48" cm="1">
        <f t="array" ref="O48">gamma_new(E48,A48,1,B48,D48,C48)</f>
        <v>9.7832468339192485E-3</v>
      </c>
      <c r="P48" cm="1">
        <f t="array" ref="P48">gamma_new(E48,A48,2,B48,D48,C48)</f>
        <v>8.6305165103082396E-3</v>
      </c>
      <c r="Q48" cm="1">
        <f t="array" ref="Q48">gamma_new(E48,A48,3,B48,D48,C48)</f>
        <v>7.1442462264459574E-3</v>
      </c>
      <c r="R48" cm="1">
        <f t="array" ref="R48">gamma_new(E48,A48,4,B48,D48,C48)</f>
        <v>5.955612353256967E-3</v>
      </c>
      <c r="S48" cm="1">
        <f t="array" ref="S48">gamma_new(E48,A48,5,B48,D48,C48)</f>
        <v>5.0222744298579342E-3</v>
      </c>
    </row>
    <row r="49" spans="1:29" x14ac:dyDescent="0.3">
      <c r="A49">
        <v>100</v>
      </c>
      <c r="B49">
        <f t="shared" si="2"/>
        <v>0.01</v>
      </c>
      <c r="C49">
        <v>0.2</v>
      </c>
      <c r="D49">
        <v>7.0000000000000007E-2</v>
      </c>
      <c r="E49" s="5">
        <v>85</v>
      </c>
      <c r="F49" cm="1">
        <f t="array" ref="F49">gamma_new(E49,A49,0.1,B49,D49,C49)</f>
        <v>2.302111425903022E-3</v>
      </c>
      <c r="G49" cm="1">
        <f t="array" ref="G49">gamma_new(E49,A49,0.2,B49,D49,C49)</f>
        <v>8.4066938517936562E-3</v>
      </c>
      <c r="H49" cm="1">
        <f t="array" ref="H49">gamma_new(E49,A49,0.3,B49,D49,C49)</f>
        <v>1.1793565732419457E-2</v>
      </c>
      <c r="I49" cm="1">
        <f t="array" ref="I49">gamma_new(E49,A49,0.4,B49,D49,C49)</f>
        <v>1.3327669154187396E-2</v>
      </c>
      <c r="J49" cm="1">
        <f t="array" ref="J49">gamma_new(E49,A49,0.5,B49,D49,C49)</f>
        <v>1.393422440564362E-2</v>
      </c>
      <c r="K49" cm="1">
        <f t="array" ref="K49">gamma_new(E49,A49,0.6,B49,D49,C49)</f>
        <v>1.4072730248775023E-2</v>
      </c>
      <c r="L49" cm="1">
        <f t="array" ref="L49">gamma_new(E49,A49,0.7,B49,D49,C49)</f>
        <v>1.3968040527275556E-2</v>
      </c>
      <c r="M49" cm="1">
        <f t="array" ref="M49">gamma_new(E49,A49,0.8,B49,D49,C49)</f>
        <v>1.3735207951240671E-2</v>
      </c>
      <c r="N49" cm="1">
        <f t="array" ref="N49">gamma_new(E49,A49,0.9,B49,D49,C49)</f>
        <v>1.3435840588901465E-2</v>
      </c>
      <c r="O49" cm="1">
        <f t="array" ref="O49">gamma_new(E49,A49,1,B49,D49,C49)</f>
        <v>1.3104156129179877E-2</v>
      </c>
      <c r="P49" cm="1">
        <f t="array" ref="P49">gamma_new(E49,A49,2,B49,D49,C49)</f>
        <v>9.9884893664978647E-3</v>
      </c>
      <c r="Q49" cm="1">
        <f t="array" ref="Q49">gamma_new(E49,A49,3,B49,D49,C49)</f>
        <v>7.8752635517046546E-3</v>
      </c>
      <c r="R49" cm="1">
        <f t="array" ref="R49">gamma_new(E49,A49,4,B49,D49,C49)</f>
        <v>6.4070473566550396E-3</v>
      </c>
      <c r="S49" cm="1">
        <f t="array" ref="S49">gamma_new(E49,A49,5,B49,D49,C49)</f>
        <v>5.3245835922199067E-3</v>
      </c>
    </row>
    <row r="50" spans="1:29" x14ac:dyDescent="0.3">
      <c r="A50">
        <v>100</v>
      </c>
      <c r="B50">
        <f t="shared" si="2"/>
        <v>0.01</v>
      </c>
      <c r="C50">
        <v>0.2</v>
      </c>
      <c r="D50">
        <v>7.0000000000000007E-2</v>
      </c>
      <c r="E50" s="5">
        <v>90</v>
      </c>
      <c r="F50" cm="1">
        <f t="array" ref="F50">gamma_new(E50,A50,0.1,B50,D50,C50)</f>
        <v>1.5607822583925013E-2</v>
      </c>
      <c r="G50" cm="1">
        <f t="array" ref="G50">gamma_new(E50,A50,0.2,B50,D50,C50)</f>
        <v>2.1889367950163083E-2</v>
      </c>
      <c r="H50" cm="1">
        <f t="array" ref="H50">gamma_new(E50,A50,0.3,B50,D50,C50)</f>
        <v>2.2321178736631416E-2</v>
      </c>
      <c r="I50" cm="1">
        <f t="array" ref="I50">gamma_new(E50,A50,0.4,B50,D50,C50)</f>
        <v>2.1505928526586327E-2</v>
      </c>
      <c r="J50" cm="1">
        <f t="array" ref="J50">gamma_new(E50,A50,0.5,B50,D50,C50)</f>
        <v>2.0432711183304184E-2</v>
      </c>
      <c r="K50" cm="1">
        <f t="array" ref="K50">gamma_new(E50,A50,0.6,B50,D50,C50)</f>
        <v>1.936040150180671E-2</v>
      </c>
      <c r="L50" cm="1">
        <f t="array" ref="L50">gamma_new(E50,A50,0.7,B50,D50,C50)</f>
        <v>1.8360336071185923E-2</v>
      </c>
      <c r="M50" cm="1">
        <f t="array" ref="M50">gamma_new(E50,A50,0.8,B50,D50,C50)</f>
        <v>1.7447661881514944E-2</v>
      </c>
      <c r="N50" cm="1">
        <f t="array" ref="N50">gamma_new(E50,A50,0.9,B50,D50,C50)</f>
        <v>1.6619661478359672E-2</v>
      </c>
      <c r="O50" cm="1">
        <f t="array" ref="O50">gamma_new(E50,A50,1,B50,D50,C50)</f>
        <v>1.5868309291364915E-2</v>
      </c>
      <c r="P50" cm="1">
        <f t="array" ref="P50">gamma_new(E50,A50,2,B50,D50,C50)</f>
        <v>1.0991592285048309E-2</v>
      </c>
      <c r="Q50" cm="1">
        <f t="array" ref="Q50">gamma_new(E50,A50,3,B50,D50,C50)</f>
        <v>8.3940643841520016E-3</v>
      </c>
      <c r="R50" cm="1">
        <f t="array" ref="R50">gamma_new(E50,A50,4,B50,D50,C50)</f>
        <v>6.7210686830174084E-3</v>
      </c>
      <c r="S50" cm="1">
        <f t="array" ref="S50">gamma_new(E50,A50,5,B50,D50,C50)</f>
        <v>5.5323540955927201E-3</v>
      </c>
    </row>
    <row r="51" spans="1:29" x14ac:dyDescent="0.3">
      <c r="A51">
        <v>100</v>
      </c>
      <c r="B51">
        <f t="shared" si="2"/>
        <v>0.01</v>
      </c>
      <c r="C51">
        <v>0.2</v>
      </c>
      <c r="D51">
        <v>7.0000000000000007E-2</v>
      </c>
      <c r="E51" s="5">
        <v>95</v>
      </c>
      <c r="F51" cm="1">
        <f t="array" ref="F51">gamma_new(E51,A51,0.1,B51,D51,C51)</f>
        <v>4.4992767857629887E-2</v>
      </c>
      <c r="G51" cm="1">
        <f t="array" ref="G51">gamma_new(E51,A51,0.2,B51,D51,C51)</f>
        <v>3.7164938387645417E-2</v>
      </c>
      <c r="H51" cm="1">
        <f t="array" ref="H51">gamma_new(E51,A51,0.3,B51,D51,C51)</f>
        <v>3.1767564628171402E-2</v>
      </c>
      <c r="I51" cm="1">
        <f t="array" ref="I51">gamma_new(E51,A51,0.4,B51,D51,C51)</f>
        <v>2.8022591499557974E-2</v>
      </c>
      <c r="J51" cm="1">
        <f t="array" ref="J51">gamma_new(E51,A51,0.5,B51,D51,C51)</f>
        <v>2.5251435643547215E-2</v>
      </c>
      <c r="K51" cm="1">
        <f t="array" ref="K51">gamma_new(E51,A51,0.6,B51,D51,C51)</f>
        <v>2.3096584314381011E-2</v>
      </c>
      <c r="L51" cm="1">
        <f t="array" ref="L51">gamma_new(E51,A51,0.7,B51,D51,C51)</f>
        <v>2.1358285942706459E-2</v>
      </c>
      <c r="M51" cm="1">
        <f t="array" ref="M51">gamma_new(E51,A51,0.8,B51,D51,C51)</f>
        <v>1.991646628050367E-2</v>
      </c>
      <c r="N51" cm="1">
        <f t="array" ref="N51">gamma_new(E51,A51,0.9,B51,D51,C51)</f>
        <v>1.8694381701077394E-2</v>
      </c>
      <c r="O51" cm="1">
        <f t="array" ref="O51">gamma_new(E51,A51,1,B51,D51,C51)</f>
        <v>1.7640492092845749E-2</v>
      </c>
      <c r="P51" cm="1">
        <f t="array" ref="P51">gamma_new(E51,A51,2,B51,D51,C51)</f>
        <v>1.1589124545151291E-2</v>
      </c>
      <c r="Q51" cm="1">
        <f t="array" ref="Q51">gamma_new(E51,A51,3,B51,D51,C51)</f>
        <v>8.6955884239945398E-3</v>
      </c>
      <c r="R51" cm="1">
        <f t="array" ref="R51">gamma_new(E51,A51,4,B51,D51,C51)</f>
        <v>6.9013387205826473E-3</v>
      </c>
      <c r="S51" cm="1">
        <f t="array" ref="S51">gamma_new(E51,A51,5,B51,D51,C51)</f>
        <v>5.6507484809206233E-3</v>
      </c>
    </row>
    <row r="52" spans="1:29" x14ac:dyDescent="0.3">
      <c r="A52">
        <v>100</v>
      </c>
      <c r="B52">
        <f t="shared" si="2"/>
        <v>0.01</v>
      </c>
      <c r="C52">
        <v>0.2</v>
      </c>
      <c r="D52">
        <v>7.0000000000000007E-2</v>
      </c>
      <c r="E52" s="5">
        <v>100</v>
      </c>
      <c r="F52" cm="1">
        <f t="array" ref="F52">gamma_new(E52,A52,0.1,B52,D52,C52)</f>
        <v>6.2513155257926015E-2</v>
      </c>
      <c r="G52" cm="1">
        <f t="array" ref="G52">gamma_new(E52,A52,0.2,B52,D52,C52)</f>
        <v>4.3807429594398664E-2</v>
      </c>
      <c r="H52" cm="1">
        <f t="array" ref="H52">gamma_new(E52,A52,0.3,B52,D52,C52)</f>
        <v>3.5448143227552409E-2</v>
      </c>
      <c r="I52" cm="1">
        <f t="array" ref="I52">gamma_new(E52,A52,0.4,B52,D52,C52)</f>
        <v>3.0423941206729244E-2</v>
      </c>
      <c r="J52" cm="1">
        <f t="array" ref="J52">gamma_new(E52,A52,0.5,B52,D52,C52)</f>
        <v>2.696819105740602E-2</v>
      </c>
      <c r="K52" cm="1">
        <f t="array" ref="K52">gamma_new(E52,A52,0.6,B52,D52,C52)</f>
        <v>2.4397905394008778E-2</v>
      </c>
      <c r="L52" cm="1">
        <f t="array" ref="L52">gamma_new(E52,A52,0.7,B52,D52,C52)</f>
        <v>2.2385690643864493E-2</v>
      </c>
      <c r="M52" cm="1">
        <f t="array" ref="M52">gamma_new(E52,A52,0.8,B52,D52,C52)</f>
        <v>2.0752282650525176E-2</v>
      </c>
      <c r="N52" cm="1">
        <f t="array" ref="N52">gamma_new(E52,A52,0.9,B52,D52,C52)</f>
        <v>1.9390140787380963E-2</v>
      </c>
      <c r="O52" cm="1">
        <f t="array" ref="O52">gamma_new(E52,A52,1,B52,D52,C52)</f>
        <v>1.8230289559104405E-2</v>
      </c>
      <c r="P52" cm="1">
        <f t="array" ref="P52">gamma_new(E52,A52,2,B52,D52,C52)</f>
        <v>1.1781268818149299E-2</v>
      </c>
      <c r="Q52" cm="1">
        <f t="array" ref="Q52">gamma_new(E52,A52,3,B52,D52,C52)</f>
        <v>8.7914383039923109E-3</v>
      </c>
      <c r="R52" cm="1">
        <f t="array" ref="R52">gamma_new(E52,A52,4,B52,D52,C52)</f>
        <v>6.958314612621766E-3</v>
      </c>
      <c r="S52" cm="1">
        <f t="array" ref="S52">gamma_new(E52,A52,5,B52,D52,C52)</f>
        <v>5.6880388122316078E-3</v>
      </c>
    </row>
    <row r="53" spans="1:29" x14ac:dyDescent="0.3">
      <c r="A53">
        <v>100</v>
      </c>
      <c r="B53">
        <f t="shared" si="2"/>
        <v>0.01</v>
      </c>
      <c r="C53">
        <v>0.2</v>
      </c>
      <c r="D53">
        <v>7.0000000000000007E-2</v>
      </c>
      <c r="E53" s="5">
        <v>105</v>
      </c>
      <c r="F53" cm="1">
        <f t="array" ref="F53">gamma_new(E53,A53,0.1,B53,D53,C53)</f>
        <v>4.6424020281358183E-2</v>
      </c>
      <c r="G53" cm="1">
        <f t="array" ref="G53">gamma_new(E53,A53,0.2,B53,D53,C53)</f>
        <v>3.7751432460949322E-2</v>
      </c>
      <c r="H53" cm="1">
        <f t="array" ref="H53">gamma_new(E53,A53,0.3,B53,D53,C53)</f>
        <v>3.2100904353106884E-2</v>
      </c>
      <c r="I53" cm="1">
        <f t="array" ref="I53">gamma_new(E53,A53,0.4,B53,D53,C53)</f>
        <v>2.8242836053903507E-2</v>
      </c>
      <c r="J53" cm="1">
        <f t="array" ref="J53">gamma_new(E53,A53,0.5,B53,D53,C53)</f>
        <v>2.5410082892112999E-2</v>
      </c>
      <c r="K53" cm="1">
        <f t="array" ref="K53">gamma_new(E53,A53,0.6,B53,D53,C53)</f>
        <v>2.3217445290620801E-2</v>
      </c>
      <c r="L53" cm="1">
        <f t="array" ref="L53">gamma_new(E53,A53,0.7,B53,D53,C53)</f>
        <v>2.1454048538697659E-2</v>
      </c>
      <c r="M53" cm="1">
        <f t="array" ref="M53">gamma_new(E53,A53,0.8,B53,D53,C53)</f>
        <v>1.9994580183624645E-2</v>
      </c>
      <c r="N53" cm="1">
        <f t="array" ref="N53">gamma_new(E53,A53,0.9,B53,D53,C53)</f>
        <v>1.8759541559787377E-2</v>
      </c>
      <c r="O53" cm="1">
        <f t="array" ref="O53">gamma_new(E53,A53,1,B53,D53,C53)</f>
        <v>1.7695820304890413E-2</v>
      </c>
      <c r="P53" cm="1">
        <f t="array" ref="P53">gamma_new(E53,A53,2,B53,D53,C53)</f>
        <v>1.160728457009059E-2</v>
      </c>
      <c r="Q53" cm="1">
        <f t="array" ref="Q53">gamma_new(E53,A53,3,B53,D53,C53)</f>
        <v>8.7046699779777491E-3</v>
      </c>
      <c r="R53" cm="1">
        <f t="array" ref="R53">gamma_new(E53,A53,4,B53,D53,C53)</f>
        <v>6.9067437632219231E-3</v>
      </c>
      <c r="S53" cm="1">
        <f t="array" ref="S53">gamma_new(E53,A53,5,B53,D53,C53)</f>
        <v>5.6542886804575865E-3</v>
      </c>
    </row>
    <row r="54" spans="1:29" x14ac:dyDescent="0.3">
      <c r="A54">
        <v>100</v>
      </c>
      <c r="B54">
        <f t="shared" si="2"/>
        <v>0.01</v>
      </c>
      <c r="C54">
        <v>0.2</v>
      </c>
      <c r="D54">
        <v>7.0000000000000007E-2</v>
      </c>
      <c r="E54" s="5">
        <v>110</v>
      </c>
      <c r="F54" cm="1">
        <f t="array" ref="F54">gamma_new(E54,A54,0.1,B54,D54,C54)</f>
        <v>2.0082990678966975E-2</v>
      </c>
      <c r="G54" cm="1">
        <f t="array" ref="G54">gamma_new(E54,A54,0.2,B54,D54,C54)</f>
        <v>2.4829973444941301E-2</v>
      </c>
      <c r="H54" cm="1">
        <f t="array" ref="H54">gamma_new(E54,A54,0.3,B54,D54,C54)</f>
        <v>2.427797616663005E-2</v>
      </c>
      <c r="I54" cm="1">
        <f t="array" ref="I54">gamma_new(E54,A54,0.4,B54,D54,C54)</f>
        <v>2.2904969344517023E-2</v>
      </c>
      <c r="J54" cm="1">
        <f t="array" ref="J54">gamma_new(E54,A54,0.5,B54,D54,C54)</f>
        <v>2.148934655256023E-2</v>
      </c>
      <c r="K54" cm="1">
        <f t="array" ref="K54">gamma_new(E54,A54,0.6,B54,D54,C54)</f>
        <v>2.0191195666672001E-2</v>
      </c>
      <c r="L54" cm="1">
        <f t="array" ref="L54">gamma_new(E54,A54,0.7,B54,D54,C54)</f>
        <v>1.9033624318792599E-2</v>
      </c>
      <c r="M54" cm="1">
        <f t="array" ref="M54">gamma_new(E54,A54,0.8,B54,D54,C54)</f>
        <v>1.8006238357719404E-2</v>
      </c>
      <c r="N54" cm="1">
        <f t="array" ref="N54">gamma_new(E54,A54,0.9,B54,D54,C54)</f>
        <v>1.709177992035037E-2</v>
      </c>
      <c r="O54" cm="1">
        <f t="array" ref="O54">gamma_new(E54,A54,1,B54,D54,C54)</f>
        <v>1.6273436120060717E-2</v>
      </c>
      <c r="P54" cm="1">
        <f t="array" ref="P54">gamma_new(E54,A54,2,B54,D54,C54)</f>
        <v>1.1131018740087591E-2</v>
      </c>
      <c r="Q54" cm="1">
        <f t="array" ref="Q54">gamma_new(E54,A54,3,B54,D54,C54)</f>
        <v>8.4648999929187972E-3</v>
      </c>
      <c r="R54" cm="1">
        <f t="array" ref="R54">gamma_new(E54,A54,4,B54,D54,C54)</f>
        <v>6.7635621514169457E-3</v>
      </c>
      <c r="S54" cm="1">
        <f t="array" ref="S54">gamma_new(E54,A54,5,B54,D54,C54)</f>
        <v>5.5603187739908955E-3</v>
      </c>
    </row>
    <row r="55" spans="1:29" x14ac:dyDescent="0.3">
      <c r="A55">
        <v>100</v>
      </c>
      <c r="B55">
        <f t="shared" si="2"/>
        <v>0.01</v>
      </c>
      <c r="C55">
        <v>0.2</v>
      </c>
      <c r="D55">
        <v>7.0000000000000007E-2</v>
      </c>
      <c r="E55" s="5">
        <v>115</v>
      </c>
      <c r="F55" cm="1">
        <f t="array" ref="F55">gamma_new(E55,A55,0.1,B55,D55,C55)</f>
        <v>5.4395805420861679E-3</v>
      </c>
      <c r="G55" cm="1">
        <f t="array" ref="G55">gamma_new(E55,A55,0.2,B55,D55,C55)</f>
        <v>1.2922447235248338E-2</v>
      </c>
      <c r="H55" cm="1">
        <f t="array" ref="H55">gamma_new(E55,A55,0.3,B55,D55,C55)</f>
        <v>1.5708142136849786E-2</v>
      </c>
      <c r="I55" cm="1">
        <f t="array" ref="I55">gamma_new(E55,A55,0.4,B55,D55,C55)</f>
        <v>1.6523953763617861E-2</v>
      </c>
      <c r="J55" cm="1">
        <f t="array" ref="J55">gamma_new(E55,A55,0.5,B55,D55,C55)</f>
        <v>1.6548956510190557E-2</v>
      </c>
      <c r="K55" cm="1">
        <f t="array" ref="K55">gamma_new(E55,A55,0.6,B55,D55,C55)</f>
        <v>1.6241203507567383E-2</v>
      </c>
      <c r="L55" cm="1">
        <f t="array" ref="L55">gamma_new(E55,A55,0.7,B55,D55,C55)</f>
        <v>1.5793701484403816E-2</v>
      </c>
      <c r="M55" cm="1">
        <f t="array" ref="M55">gamma_new(E55,A55,0.8,B55,D55,C55)</f>
        <v>1.5293790012926486E-2</v>
      </c>
      <c r="N55" cm="1">
        <f t="array" ref="N55">gamma_new(E55,A55,0.9,B55,D55,C55)</f>
        <v>1.4782846678321339E-2</v>
      </c>
      <c r="O55" cm="1">
        <f t="array" ref="O55">gamma_new(E55,A55,1,B55,D55,C55)</f>
        <v>1.4280814106099994E-2</v>
      </c>
      <c r="P55" cm="1">
        <f t="array" ref="P55">gamma_new(E55,A55,2,B55,D55,C55)</f>
        <v>1.0427297515573447E-2</v>
      </c>
      <c r="Q55" cm="1">
        <f t="array" ref="Q55">gamma_new(E55,A55,3,B55,D55,C55)</f>
        <v>8.1042544050937814E-3</v>
      </c>
      <c r="R55" cm="1">
        <f t="array" ref="R55">gamma_new(E55,A55,4,B55,D55,C55)</f>
        <v>6.5462699554583795E-3</v>
      </c>
      <c r="S55" cm="1">
        <f t="array" ref="S55">gamma_new(E55,A55,5,B55,D55,C55)</f>
        <v>5.4169450610075465E-3</v>
      </c>
    </row>
    <row r="56" spans="1:29" x14ac:dyDescent="0.3">
      <c r="A56">
        <v>100</v>
      </c>
      <c r="B56">
        <f t="shared" si="2"/>
        <v>0.01</v>
      </c>
      <c r="C56">
        <v>0.2</v>
      </c>
      <c r="D56">
        <v>7.0000000000000007E-2</v>
      </c>
      <c r="E56" s="5">
        <v>120</v>
      </c>
      <c r="F56" cm="1">
        <f t="array" ref="F56">gamma_new(E56,A56,0.1,B56,D56,C56)</f>
        <v>9.8042734087178877E-4</v>
      </c>
      <c r="G56" cm="1">
        <f t="array" ref="G56">gamma_new(E56,A56,0.2,B56,D56,C56)</f>
        <v>5.4861764130630045E-3</v>
      </c>
      <c r="H56" cm="1">
        <f t="array" ref="H56">gamma_new(E56,A56,0.3,B56,D56,C56)</f>
        <v>8.8730887027250738E-3</v>
      </c>
      <c r="I56" cm="1">
        <f t="array" ref="I56">gamma_new(E56,A56,0.4,B56,D56,C56)</f>
        <v>1.0766547769485683E-2</v>
      </c>
      <c r="J56" cm="1">
        <f t="array" ref="J56">gamma_new(E56,A56,0.5,B56,D56,C56)</f>
        <v>1.1747369118475711E-2</v>
      </c>
      <c r="K56" cm="1">
        <f t="array" ref="K56">gamma_new(E56,A56,0.6,B56,D56,C56)</f>
        <v>1.2206557706779995E-2</v>
      </c>
      <c r="L56" cm="1">
        <f t="array" ref="L56">gamma_new(E56,A56,0.7,B56,D56,C56)</f>
        <v>1.2364506370021929E-2</v>
      </c>
      <c r="M56" cm="1">
        <f t="array" ref="M56">gamma_new(E56,A56,0.8,B56,D56,C56)</f>
        <v>1.2345150057004253E-2</v>
      </c>
      <c r="N56" cm="1">
        <f t="array" ref="N56">gamma_new(E56,A56,0.9,B56,D56,C56)</f>
        <v>1.2220099427496318E-2</v>
      </c>
      <c r="O56" cm="1">
        <f t="array" ref="O56">gamma_new(E56,A56,1,B56,D56,C56)</f>
        <v>1.2032003959958647E-2</v>
      </c>
      <c r="P56" cm="1">
        <f t="array" ref="P56">gamma_new(E56,A56,2,B56,D56,C56)</f>
        <v>9.5711531447017079E-3</v>
      </c>
      <c r="Q56" cm="1">
        <f t="array" ref="Q56">gamma_new(E56,A56,3,B56,D56,C56)</f>
        <v>7.6543455776363397E-3</v>
      </c>
      <c r="R56" cm="1">
        <f t="array" ref="R56">gamma_new(E56,A56,4,B56,D56,C56)</f>
        <v>6.2717705408266546E-3</v>
      </c>
      <c r="S56" cm="1">
        <f t="array" ref="S56">gamma_new(E56,A56,5,B56,D56,C56)</f>
        <v>5.234454523121824E-3</v>
      </c>
    </row>
    <row r="57" spans="1:29" x14ac:dyDescent="0.3">
      <c r="A57">
        <v>100</v>
      </c>
      <c r="B57">
        <f t="shared" si="2"/>
        <v>0.01</v>
      </c>
      <c r="C57">
        <v>0.2</v>
      </c>
      <c r="D57">
        <v>7.0000000000000007E-2</v>
      </c>
      <c r="E57" s="5">
        <v>125</v>
      </c>
      <c r="F57" cm="1">
        <f t="array" ref="F57">gamma_new(E57,A57,0.1,B57,D57,C57)</f>
        <v>1.2384140264721992E-4</v>
      </c>
      <c r="G57" cm="1">
        <f t="array" ref="G57">gamma_new(E57,A57,0.2,B57,D57,C57)</f>
        <v>1.9498221194515107E-3</v>
      </c>
      <c r="H57" cm="1">
        <f t="array" ref="H57">gamma_new(E57,A57,0.3,B57,D57,C57)</f>
        <v>4.452032293856289E-3</v>
      </c>
      <c r="I57" cm="1">
        <f t="array" ref="I57">gamma_new(E57,A57,0.4,B57,D57,C57)</f>
        <v>6.4185818505675838E-3</v>
      </c>
      <c r="J57" cm="1">
        <f t="array" ref="J57">gamma_new(E57,A57,0.5,B57,D57,C57)</f>
        <v>7.7665958215687256E-3</v>
      </c>
      <c r="K57" cm="1">
        <f t="array" ref="K57">gamma_new(E57,A57,0.6,B57,D57,C57)</f>
        <v>8.6463925740958882E-3</v>
      </c>
      <c r="L57" cm="1">
        <f t="array" ref="L57">gamma_new(E57,A57,0.7,B57,D57,C57)</f>
        <v>9.200523967176211E-3</v>
      </c>
      <c r="M57" cm="1">
        <f t="array" ref="M57">gamma_new(E57,A57,0.8,B57,D57,C57)</f>
        <v>9.5318605329820401E-3</v>
      </c>
      <c r="N57" cm="1">
        <f t="array" ref="N57">gamma_new(E57,A57,0.9,B57,D57,C57)</f>
        <v>9.7103727288510942E-3</v>
      </c>
      <c r="O57" cm="1">
        <f t="array" ref="O57">gamma_new(E57,A57,1,B57,D57,C57)</f>
        <v>9.7832468339192399E-3</v>
      </c>
      <c r="P57" cm="1">
        <f t="array" ref="P57">gamma_new(E57,A57,2,B57,D57,C57)</f>
        <v>8.6305165103082379E-3</v>
      </c>
      <c r="Q57" cm="1">
        <f t="array" ref="Q57">gamma_new(E57,A57,3,B57,D57,C57)</f>
        <v>7.1442462264459557E-3</v>
      </c>
      <c r="R57" cm="1">
        <f t="array" ref="R57">gamma_new(E57,A57,4,B57,D57,C57)</f>
        <v>5.9556123532569661E-3</v>
      </c>
      <c r="S57" cm="1">
        <f t="array" ref="S57">gamma_new(E57,A57,5,B57,D57,C57)</f>
        <v>5.0222744298579342E-3</v>
      </c>
    </row>
    <row r="58" spans="1:29" x14ac:dyDescent="0.3">
      <c r="A58">
        <v>100</v>
      </c>
      <c r="B58">
        <f t="shared" si="2"/>
        <v>0.01</v>
      </c>
      <c r="C58">
        <v>0.2</v>
      </c>
      <c r="D58">
        <v>7.0000000000000007E-2</v>
      </c>
      <c r="E58" s="5">
        <v>130</v>
      </c>
      <c r="F58" cm="1">
        <f t="array" ref="F58">gamma_new(E58,A58,0.1,B58,D58,C58)</f>
        <v>1.1458781611444341E-5</v>
      </c>
      <c r="G58" cm="1">
        <f t="array" ref="G58">gamma_new(E58,A58,0.2,B58,D58,C58)</f>
        <v>5.9310458718955545E-4</v>
      </c>
      <c r="H58" cm="1">
        <f t="array" ref="H58">gamma_new(E58,A58,0.3,B58,D58,C58)</f>
        <v>2.0136431048894347E-3</v>
      </c>
      <c r="I58" cm="1">
        <f t="array" ref="I58">gamma_new(E58,A58,0.4,B58,D58,C58)</f>
        <v>3.5400323339443867E-3</v>
      </c>
      <c r="J58" cm="1">
        <f t="array" ref="J58">gamma_new(E58,A58,0.5,B58,D58,C58)</f>
        <v>4.8248656061929207E-3</v>
      </c>
      <c r="K58" cm="1">
        <f t="array" ref="K58">gamma_new(E58,A58,0.6,B58,D58,C58)</f>
        <v>5.8149642185921805E-3</v>
      </c>
      <c r="L58" cm="1">
        <f t="array" ref="L58">gamma_new(E58,A58,0.7,B58,D58,C58)</f>
        <v>6.5484303899484599E-3</v>
      </c>
      <c r="M58" cm="1">
        <f t="array" ref="M58">gamma_new(E58,A58,0.8,B58,D58,C58)</f>
        <v>7.0788343852036788E-3</v>
      </c>
      <c r="N58" cm="1">
        <f t="array" ref="N58">gamma_new(E58,A58,0.9,B58,D58,C58)</f>
        <v>7.4537924936839634E-3</v>
      </c>
      <c r="O58" cm="1">
        <f t="array" ref="O58">gamma_new(E58,A58,1,B58,D58,C58)</f>
        <v>7.7109922928829105E-3</v>
      </c>
      <c r="P58" cm="1">
        <f t="array" ref="P58">gamma_new(E58,A58,2,B58,D58,C58)</f>
        <v>7.6621458876330083E-3</v>
      </c>
      <c r="Q58" cm="1">
        <f t="array" ref="Q58">gamma_new(E58,A58,3,B58,D58,C58)</f>
        <v>6.5993146161330112E-3</v>
      </c>
      <c r="R58" cm="1">
        <f t="array" ref="R58">gamma_new(E58,A58,4,B58,D58,C58)</f>
        <v>5.611555163964525E-3</v>
      </c>
      <c r="S58" cm="1">
        <f t="array" ref="S58">gamma_new(E58,A58,5,B58,D58,C58)</f>
        <v>4.7887910914812572E-3</v>
      </c>
    </row>
    <row r="59" spans="1:29" x14ac:dyDescent="0.3">
      <c r="A59">
        <v>100</v>
      </c>
      <c r="B59">
        <f t="shared" si="2"/>
        <v>0.01</v>
      </c>
      <c r="C59">
        <v>0.2</v>
      </c>
      <c r="D59">
        <v>7.0000000000000007E-2</v>
      </c>
      <c r="E59" s="5">
        <v>135</v>
      </c>
      <c r="F59" cm="1">
        <f t="array" ref="F59">gamma_new(E59,A59,0.1,B59,D59,C59)</f>
        <v>8.0677254456438015E-7</v>
      </c>
      <c r="G59" cm="1">
        <f t="array" ref="G59">gamma_new(E59,A59,0.2,B59,D59,C59)</f>
        <v>1.5737567898751063E-4</v>
      </c>
      <c r="H59" cm="1">
        <f t="array" ref="H59">gamma_new(E59,A59,0.3,B59,D59,C59)</f>
        <v>8.3148302731358189E-4</v>
      </c>
      <c r="I59" cm="1">
        <f t="array" ref="I59">gamma_new(E59,A59,0.4,B59,D59,C59)</f>
        <v>1.8235194323921559E-3</v>
      </c>
      <c r="J59" cm="1">
        <f t="array" ref="J59">gamma_new(E59,A59,0.5,B59,D59,C59)</f>
        <v>2.8379697003143656E-3</v>
      </c>
      <c r="K59" cm="1">
        <f t="array" ref="K59">gamma_new(E59,A59,0.6,B59,D59,C59)</f>
        <v>3.7366506070808736E-3</v>
      </c>
      <c r="L59" cm="1">
        <f t="array" ref="L59">gamma_new(E59,A59,0.7,B59,D59,C59)</f>
        <v>4.4823983909751718E-3</v>
      </c>
      <c r="M59" cm="1">
        <f t="array" ref="M59">gamma_new(E59,A59,0.8,B59,D59,C59)</f>
        <v>5.0805804797400917E-3</v>
      </c>
      <c r="N59" cm="1">
        <f t="array" ref="N59">gamma_new(E59,A59,0.9,B59,D59,C59)</f>
        <v>5.5505275337142078E-3</v>
      </c>
      <c r="O59" cm="1">
        <f t="array" ref="O59">gamma_new(E59,A59,1,B59,D59,C59)</f>
        <v>5.9138667630485404E-3</v>
      </c>
      <c r="P59" cm="1">
        <f t="array" ref="P59">gamma_new(E59,A59,2,B59,D59,C59)</f>
        <v>6.7101317917249506E-3</v>
      </c>
      <c r="Q59" cm="1">
        <f t="array" ref="Q59">gamma_new(E59,A59,3,B59,D59,C59)</f>
        <v>6.0406812854010995E-3</v>
      </c>
      <c r="R59" cm="1">
        <f t="array" ref="R59">gamma_new(E59,A59,4,B59,D59,C59)</f>
        <v>5.2513812993357284E-3</v>
      </c>
      <c r="S59" cm="1">
        <f t="array" ref="S59">gamma_new(E59,A59,5,B59,D59,C59)</f>
        <v>4.5412785892055274E-3</v>
      </c>
    </row>
    <row r="60" spans="1:29" x14ac:dyDescent="0.3">
      <c r="A60">
        <v>100</v>
      </c>
      <c r="B60">
        <f t="shared" si="2"/>
        <v>0.01</v>
      </c>
      <c r="C60">
        <v>0.2</v>
      </c>
      <c r="D60">
        <v>7.0000000000000007E-2</v>
      </c>
      <c r="E60" s="5">
        <v>140</v>
      </c>
      <c r="F60" cm="1">
        <f t="array" ref="F60">gamma_new(E60,A60,0.1,B60,D60,C60)</f>
        <v>4.4665072688808549E-8</v>
      </c>
      <c r="G60" cm="1">
        <f t="array" ref="G60">gamma_new(E60,A60,0.2,B60,D60,C60)</f>
        <v>3.7029349627160442E-5</v>
      </c>
      <c r="H60" cm="1">
        <f t="array" ref="H60">gamma_new(E60,A60,0.3,B60,D60,C60)</f>
        <v>3.1690252548175363E-4</v>
      </c>
      <c r="I60" cm="1">
        <f t="array" ref="I60">gamma_new(E60,A60,0.4,B60,D60,C60)</f>
        <v>8.8453420030946744E-4</v>
      </c>
      <c r="J60" cm="1">
        <f t="array" ref="J60">gamma_new(E60,A60,0.5,B60,D60,C60)</f>
        <v>1.5909302564253802E-3</v>
      </c>
      <c r="K60" cm="1">
        <f t="array" ref="K60">gamma_new(E60,A60,0.6,B60,D60,C60)</f>
        <v>2.3068462348767682E-3</v>
      </c>
      <c r="L60" cm="1">
        <f t="array" ref="L60">gamma_new(E60,A60,0.7,B60,D60,C60)</f>
        <v>2.9646267003904823E-3</v>
      </c>
      <c r="M60" cm="1">
        <f t="array" ref="M60">gamma_new(E60,A60,0.8,B60,D60,C60)</f>
        <v>3.5384694640554402E-3</v>
      </c>
      <c r="N60" cm="1">
        <f t="array" ref="N60">gamma_new(E60,A60,0.9,B60,D60,C60)</f>
        <v>4.0243125084557909E-3</v>
      </c>
      <c r="O60" cm="1">
        <f t="array" ref="O60">gamma_new(E60,A60,1,B60,D60,C60)</f>
        <v>4.427853356659601E-3</v>
      </c>
      <c r="P60" cm="1">
        <f t="array" ref="P60">gamma_new(E60,A60,2,B60,D60,C60)</f>
        <v>5.806198735439836E-3</v>
      </c>
      <c r="Q60" cm="1">
        <f t="array" ref="Q60">gamma_new(E60,A60,3,B60,D60,C60)</f>
        <v>5.4852086666713927E-3</v>
      </c>
      <c r="R60" cm="1">
        <f t="array" ref="R60">gamma_new(E60,A60,4,B60,D60,C60)</f>
        <v>4.8848808678607246E-3</v>
      </c>
      <c r="S60" cm="1">
        <f t="array" ref="S60">gamma_new(E60,A60,5,B60,D60,C60)</f>
        <v>4.2859044400357189E-3</v>
      </c>
    </row>
    <row r="61" spans="1:29" ht="15" customHeight="1" x14ac:dyDescent="0.3"/>
    <row r="62" spans="1:29" x14ac:dyDescent="0.3">
      <c r="A62" s="6" t="s">
        <v>30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</row>
    <row r="63" spans="1:29" x14ac:dyDescent="0.3">
      <c r="A63" t="s">
        <v>13</v>
      </c>
      <c r="B63" t="s">
        <v>14</v>
      </c>
      <c r="C63" t="s">
        <v>15</v>
      </c>
      <c r="D63" t="s">
        <v>26</v>
      </c>
      <c r="F63" s="7">
        <v>0.1</v>
      </c>
      <c r="G63" s="7">
        <v>0.2</v>
      </c>
      <c r="H63" s="7">
        <v>0.3</v>
      </c>
      <c r="I63" s="7">
        <v>0.4</v>
      </c>
      <c r="J63" s="7">
        <v>0.5</v>
      </c>
      <c r="K63" s="7">
        <v>0.6</v>
      </c>
      <c r="L63" s="7">
        <v>0.7</v>
      </c>
      <c r="M63" s="7">
        <v>0.8</v>
      </c>
      <c r="N63" s="7">
        <v>0.9</v>
      </c>
      <c r="O63" s="7">
        <v>1</v>
      </c>
      <c r="P63" s="7">
        <v>2</v>
      </c>
      <c r="Q63" s="7">
        <v>3</v>
      </c>
      <c r="R63" s="7">
        <v>4</v>
      </c>
      <c r="S63" s="7">
        <v>5</v>
      </c>
    </row>
    <row r="64" spans="1:29" x14ac:dyDescent="0.3">
      <c r="A64">
        <v>100</v>
      </c>
      <c r="B64">
        <f>1/100</f>
        <v>0.01</v>
      </c>
      <c r="C64">
        <v>0.2</v>
      </c>
      <c r="D64">
        <v>7.0000000000000007E-2</v>
      </c>
      <c r="E64" s="5">
        <v>60</v>
      </c>
      <c r="F64" cm="1">
        <f t="array" ref="F64">vega_new(E64,A64,0.1,B64,D64,C64)</f>
        <v>3.0729159255096493E-14</v>
      </c>
      <c r="G64" cm="1">
        <f t="array" ref="G64">vega_new(E64,A64,0.2,B64,D64,C64)</f>
        <v>5.2123508953029027E-7</v>
      </c>
      <c r="H64" cm="1">
        <f t="array" ref="H64">vega_new(E64,A64,0.3,B64,D64,C64)</f>
        <v>1.4525446694062729E-4</v>
      </c>
      <c r="I64" cm="1">
        <f t="array" ref="I64">vega_new(E64,A64,0.4,B64,D64,C64)</f>
        <v>2.5186606170331748E-3</v>
      </c>
      <c r="J64" cm="1">
        <f t="array" ref="J64">vega_new(E64,A64,0.5,B64,D64,C64)</f>
        <v>1.4256196389546873E-2</v>
      </c>
      <c r="K64" cm="1">
        <f t="array" ref="K64">vega_new(E64,A64,0.6,B64,D64,C64)</f>
        <v>4.5906841864446296E-2</v>
      </c>
      <c r="L64" cm="1">
        <f t="array" ref="L64">vega_new(E64,A64,0.7,B64,D64,C64)</f>
        <v>0.10683707767853604</v>
      </c>
      <c r="M64" cm="1">
        <f t="array" ref="M64">vega_new(E64,A64,0.8,B64,D64,C64)</f>
        <v>0.20266054331853894</v>
      </c>
      <c r="N64" cm="1">
        <f t="array" ref="N64">vega_new(E64,A64,0.9,B64,D64,C64)</f>
        <v>0.33510691236379586</v>
      </c>
      <c r="O64" cm="1">
        <f t="array" ref="O64">vega_new(E64,A64,1,B64,D64,C64)</f>
        <v>0.50298002648533535</v>
      </c>
      <c r="P64" cm="1">
        <f t="array" ref="P64">vega_new(E64,A64,2,B64,D64,C64)</f>
        <v>3.3209848605497738</v>
      </c>
      <c r="Q64" cm="1">
        <f t="array" ref="Q64">vega_new(E64,A64,3,B64,D64,C64)</f>
        <v>6.4020919769453419</v>
      </c>
      <c r="R64" cm="1">
        <f t="array" ref="R64">vega_new(E64,A64,4,B64,D64,C64)</f>
        <v>8.8665101959156765</v>
      </c>
      <c r="S64" cm="1">
        <f t="array" ref="S64">vega_new(E64,A64,5,B64,D64,C64)</f>
        <v>10.66473300299166</v>
      </c>
    </row>
    <row r="65" spans="1:19" x14ac:dyDescent="0.3">
      <c r="A65">
        <v>100</v>
      </c>
      <c r="B65">
        <f t="shared" ref="B65:B80" si="3">1/100</f>
        <v>0.01</v>
      </c>
      <c r="C65">
        <v>0.2</v>
      </c>
      <c r="D65">
        <v>7.0000000000000007E-2</v>
      </c>
      <c r="E65" s="5">
        <v>65</v>
      </c>
      <c r="F65" cm="1">
        <f t="array" ref="F65">vega_new(E65,A65,0.1,B65,D65,C65)</f>
        <v>4.4525817852527281E-10</v>
      </c>
      <c r="G65" cm="1">
        <f t="array" ref="G65">vega_new(E65,A65,0.2,B65,D65,C65)</f>
        <v>6.797142338604392E-5</v>
      </c>
      <c r="H65" cm="1">
        <f t="array" ref="H65">vega_new(E65,A65,0.3,B65,D65,C65)</f>
        <v>3.9400286605621804E-3</v>
      </c>
      <c r="I65" cm="1">
        <f t="array" ref="I65">vega_new(E65,A65,0.4,B65,D65,C65)</f>
        <v>3.1158613028569062E-2</v>
      </c>
      <c r="J65" cm="1">
        <f t="array" ref="J65">vega_new(E65,A65,0.5,B65,D65,C65)</f>
        <v>0.11011216073695117</v>
      </c>
      <c r="K65" cm="1">
        <f t="array" ref="K65">vega_new(E65,A65,0.6,B65,D65,C65)</f>
        <v>0.25901473131798602</v>
      </c>
      <c r="L65" cm="1">
        <f t="array" ref="L65">vega_new(E65,A65,0.7,B65,D65,C65)</f>
        <v>0.48167211025258644</v>
      </c>
      <c r="M65" cm="1">
        <f t="array" ref="M65">vega_new(E65,A65,0.8,B65,D65,C65)</f>
        <v>0.7722102144499523</v>
      </c>
      <c r="N65" cm="1">
        <f t="array" ref="N65">vega_new(E65,A65,0.9,B65,D65,C65)</f>
        <v>1.1202703007482002</v>
      </c>
      <c r="O65" cm="1">
        <f t="array" ref="O65">vega_new(E65,A65,1,B65,D65,C65)</f>
        <v>1.5143583390073774</v>
      </c>
      <c r="P65" cm="1">
        <f t="array" ref="P65">vega_new(E65,A65,2,B65,D65,C65)</f>
        <v>6.2426352310236854</v>
      </c>
      <c r="Q65" cm="1">
        <f t="array" ref="Q65">vega_new(E65,A65,3,B65,D65,C65)</f>
        <v>10.285625057363562</v>
      </c>
      <c r="R65" cm="1">
        <f t="array" ref="R65">vega_new(E65,A65,4,B65,D65,C65)</f>
        <v>13.169380799511217</v>
      </c>
      <c r="S65" cm="1">
        <f t="array" ref="S65">vega_new(E65,A65,5,B65,D65,C65)</f>
        <v>15.111408295535458</v>
      </c>
    </row>
    <row r="66" spans="1:19" x14ac:dyDescent="0.3">
      <c r="A66">
        <v>100</v>
      </c>
      <c r="B66">
        <f t="shared" si="3"/>
        <v>0.01</v>
      </c>
      <c r="C66">
        <v>0.2</v>
      </c>
      <c r="D66">
        <v>7.0000000000000007E-2</v>
      </c>
      <c r="E66" s="5">
        <v>70</v>
      </c>
      <c r="F66" cm="1">
        <f t="array" ref="F66">vega_new(E66,A66,0.1,B66,D66,C66)</f>
        <v>7.6031141135893121E-7</v>
      </c>
      <c r="G66" cm="1">
        <f t="array" ref="G66">vega_new(E66,A66,0.2,B66,D66,C66)</f>
        <v>3.0248291500483272E-3</v>
      </c>
      <c r="H66" cm="1">
        <f t="array" ref="H66">vega_new(E66,A66,0.3,B66,D66,C66)</f>
        <v>5.1984295169159186E-2</v>
      </c>
      <c r="I66" cm="1">
        <f t="array" ref="I66">vega_new(E66,A66,0.4,B66,D66,C66)</f>
        <v>0.22384636352159076</v>
      </c>
      <c r="J66" cm="1">
        <f t="array" ref="J66">vega_new(E66,A66,0.5,B66,D66,C66)</f>
        <v>0.54929633201595751</v>
      </c>
      <c r="K66" cm="1">
        <f t="array" ref="K66">vega_new(E66,A66,0.6,B66,D66,C66)</f>
        <v>1.0132008323531279</v>
      </c>
      <c r="L66" cm="1">
        <f t="array" ref="L66">vega_new(E66,A66,0.7,B66,D66,C66)</f>
        <v>1.5837760026217358</v>
      </c>
      <c r="M66" cm="1">
        <f t="array" ref="M66">vega_new(E66,A66,0.8,B66,D66,C66)</f>
        <v>2.2289800852413437</v>
      </c>
      <c r="N66" cm="1">
        <f t="array" ref="N66">vega_new(E66,A66,0.9,B66,D66,C66)</f>
        <v>2.9220882423313745</v>
      </c>
      <c r="O66" cm="1">
        <f t="array" ref="O66">vega_new(E66,A66,1,B66,D66,C66)</f>
        <v>3.6424956668754982</v>
      </c>
      <c r="P66" cm="1">
        <f t="array" ref="P66">vega_new(E66,A66,2,B66,D66,C66)</f>
        <v>10.426482955280564</v>
      </c>
      <c r="Q66" cm="1">
        <f t="array" ref="Q66">vega_new(E66,A66,3,B66,D66,C66)</f>
        <v>15.212493191687035</v>
      </c>
      <c r="R66" cm="1">
        <f t="array" ref="R66">vega_new(E66,A66,4,B66,D66,C66)</f>
        <v>18.328839926593147</v>
      </c>
      <c r="S66" cm="1">
        <f t="array" ref="S66">vega_new(E66,A66,5,B66,D66,C66)</f>
        <v>20.278438567357302</v>
      </c>
    </row>
    <row r="67" spans="1:19" x14ac:dyDescent="0.3">
      <c r="A67">
        <v>100</v>
      </c>
      <c r="B67">
        <f t="shared" si="3"/>
        <v>0.01</v>
      </c>
      <c r="C67">
        <v>0.2</v>
      </c>
      <c r="D67">
        <v>7.0000000000000007E-2</v>
      </c>
      <c r="E67" s="5">
        <v>75</v>
      </c>
      <c r="F67" cm="1">
        <f t="array" ref="F67">vega_new(E67,A67,0.1,B67,D67,C67)</f>
        <v>2.2609689991762708E-4</v>
      </c>
      <c r="G67" cm="1">
        <f t="array" ref="G67">vega_new(E67,A67,0.2,B67,D67,C67)</f>
        <v>5.5887620909962875E-2</v>
      </c>
      <c r="H67" cm="1">
        <f t="array" ref="H67">vega_new(E67,A67,0.3,B67,D67,C67)</f>
        <v>0.38041487530210416</v>
      </c>
      <c r="I67" cm="1">
        <f t="array" ref="I67">vega_new(E67,A67,0.4,B67,D67,C67)</f>
        <v>1.0309097647365471</v>
      </c>
      <c r="J67" cm="1">
        <f t="array" ref="J67">vega_new(E67,A67,0.5,B67,D67,C67)</f>
        <v>1.9160572275544889</v>
      </c>
      <c r="K67" cm="1">
        <f t="array" ref="K67">vega_new(E67,A67,0.6,B67,D67,C67)</f>
        <v>2.9366448458618968</v>
      </c>
      <c r="L67" cm="1">
        <f t="array" ref="L67">vega_new(E67,A67,0.7,B67,D67,C67)</f>
        <v>4.0215020846143306</v>
      </c>
      <c r="M67" cm="1">
        <f t="array" ref="M67">vega_new(E67,A67,0.8,B67,D67,C67)</f>
        <v>5.12512800252048</v>
      </c>
      <c r="N67" cm="1">
        <f t="array" ref="N67">vega_new(E67,A67,0.9,B67,D67,C67)</f>
        <v>6.2197472232512538</v>
      </c>
      <c r="O67" cm="1">
        <f t="array" ref="O67">vega_new(E67,A67,1,B67,D67,C67)</f>
        <v>7.2889195324563447</v>
      </c>
      <c r="P67" cm="1">
        <f t="array" ref="P67">vega_new(E67,A67,2,B67,D67,C67)</f>
        <v>15.802766278035623</v>
      </c>
      <c r="Q67" cm="1">
        <f t="array" ref="Q67">vega_new(E67,A67,3,B67,D67,C67)</f>
        <v>21.017097164470844</v>
      </c>
      <c r="R67" cm="1">
        <f t="array" ref="R67">vega_new(E67,A67,4,B67,D67,C67)</f>
        <v>24.17663430503211</v>
      </c>
      <c r="S67" cm="1">
        <f t="array" ref="S67">vega_new(E67,A67,5,B67,D67,C67)</f>
        <v>26.015279203043971</v>
      </c>
    </row>
    <row r="68" spans="1:19" x14ac:dyDescent="0.3">
      <c r="A68">
        <v>100</v>
      </c>
      <c r="B68">
        <f t="shared" si="3"/>
        <v>0.01</v>
      </c>
      <c r="C68">
        <v>0.2</v>
      </c>
      <c r="D68">
        <v>7.0000000000000007E-2</v>
      </c>
      <c r="E68" s="5">
        <v>80</v>
      </c>
      <c r="F68" cm="1">
        <f t="array" ref="F68">vega_new(E68,A68,0.1,B68,D68,C68)</f>
        <v>1.5851699538844181E-2</v>
      </c>
      <c r="G68" cm="1">
        <f t="array" ref="G68">vega_new(E68,A68,0.2,B68,D68,C68)</f>
        <v>0.49915446257958723</v>
      </c>
      <c r="H68" cm="1">
        <f t="array" ref="H68">vega_new(E68,A68,0.3,B68,D68,C68)</f>
        <v>1.7095804008408158</v>
      </c>
      <c r="I68" cm="1">
        <f t="array" ref="I68">vega_new(E68,A68,0.4,B68,D68,C68)</f>
        <v>3.2863139074906047</v>
      </c>
      <c r="J68" cm="1">
        <f t="array" ref="J68">vega_new(E68,A68,0.5,B68,D68,C68)</f>
        <v>4.9706213258039895</v>
      </c>
      <c r="K68" cm="1">
        <f t="array" ref="K68">vega_new(E68,A68,0.6,B68,D68,C68)</f>
        <v>6.6404294969056492</v>
      </c>
      <c r="L68" cm="1">
        <f t="array" ref="L68">vega_new(E68,A68,0.7,B68,D68,C68)</f>
        <v>8.2436694745898897</v>
      </c>
      <c r="M68" cm="1">
        <f t="array" ref="M68">vega_new(E68,A68,0.8,B68,D68,C68)</f>
        <v>9.760625185773609</v>
      </c>
      <c r="N68" cm="1">
        <f t="array" ref="N68">vega_new(E68,A68,0.9,B68,D68,C68)</f>
        <v>11.186349383636461</v>
      </c>
      <c r="O68" cm="1">
        <f t="array" ref="O68">vega_new(E68,A68,1,B68,D68,C68)</f>
        <v>12.52255594741664</v>
      </c>
      <c r="P68" cm="1">
        <f t="array" ref="P68">vega_new(E68,A68,2,B68,D68,C68)</f>
        <v>22.0941222663891</v>
      </c>
      <c r="Q68" cm="1">
        <f t="array" ref="Q68">vega_new(E68,A68,3,B68,D68,C68)</f>
        <v>27.433905509552471</v>
      </c>
      <c r="R68" cm="1">
        <f t="array" ref="R68">vega_new(E68,A68,4,B68,D68,C68)</f>
        <v>30.492735248675672</v>
      </c>
      <c r="S68" cm="1">
        <f t="array" ref="S68">vega_new(E68,A68,5,B68,D68,C68)</f>
        <v>32.142556351090782</v>
      </c>
    </row>
    <row r="69" spans="1:19" x14ac:dyDescent="0.3">
      <c r="A69">
        <v>100</v>
      </c>
      <c r="B69">
        <f t="shared" si="3"/>
        <v>0.01</v>
      </c>
      <c r="C69">
        <v>0.2</v>
      </c>
      <c r="D69">
        <v>7.0000000000000007E-2</v>
      </c>
      <c r="E69" s="5">
        <v>85</v>
      </c>
      <c r="F69" cm="1">
        <f t="array" ref="F69">vega_new(E69,A69,0.1,B69,D69,C69)</f>
        <v>0.33265510104298668</v>
      </c>
      <c r="G69" cm="1">
        <f t="array" ref="G69">vega_new(E69,A69,0.2,B69,D69,C69)</f>
        <v>2.4295345231683667</v>
      </c>
      <c r="H69" cm="1">
        <f t="array" ref="H69">vega_new(E69,A69,0.3,B69,D69,C69)</f>
        <v>5.1125107450038341</v>
      </c>
      <c r="I69" cm="1">
        <f t="array" ref="I69">vega_new(E69,A69,0.4,B69,D69,C69)</f>
        <v>7.7033927711203161</v>
      </c>
      <c r="J69" cm="1">
        <f t="array" ref="J69">vega_new(E69,A69,0.5,B69,D69,C69)</f>
        <v>10.067477133077517</v>
      </c>
      <c r="K69" cm="1">
        <f t="array" ref="K69">vega_new(E69,A69,0.6,B69,D69,C69)</f>
        <v>12.201057125687946</v>
      </c>
      <c r="L69" cm="1">
        <f t="array" ref="L69">vega_new(E69,A69,0.7,B69,D69,C69)</f>
        <v>14.128672993339228</v>
      </c>
      <c r="M69" cm="1">
        <f t="array" ref="M69">vega_new(E69,A69,0.8,B69,D69,C69)</f>
        <v>15.877900391634213</v>
      </c>
      <c r="N69" cm="1">
        <f t="array" ref="N69">vega_new(E69,A69,0.9,B69,D69,C69)</f>
        <v>17.473310685866352</v>
      </c>
      <c r="O69" cm="1">
        <f t="array" ref="O69">vega_new(E69,A69,1,B69,D69,C69)</f>
        <v>18.935505606664918</v>
      </c>
      <c r="P69" cm="1">
        <f t="array" ref="P69">vega_new(E69,A69,2,B69,D69,C69)</f>
        <v>28.866734269178831</v>
      </c>
      <c r="Q69" cm="1">
        <f t="array" ref="Q69">vega_new(E69,A69,3,B69,D69,C69)</f>
        <v>34.139267496639675</v>
      </c>
      <c r="R69" cm="1">
        <f t="array" ref="R69">vega_new(E69,A69,4,B69,D69,C69)</f>
        <v>37.032733721466123</v>
      </c>
      <c r="S69" cm="1">
        <f t="array" ref="S69">vega_new(E69,A69,5,B69,D69,C69)</f>
        <v>38.470116453788826</v>
      </c>
    </row>
    <row r="70" spans="1:19" x14ac:dyDescent="0.3">
      <c r="A70">
        <v>100</v>
      </c>
      <c r="B70">
        <f t="shared" si="3"/>
        <v>0.01</v>
      </c>
      <c r="C70">
        <v>0.2</v>
      </c>
      <c r="D70">
        <v>7.0000000000000007E-2</v>
      </c>
      <c r="E70" s="5">
        <v>90</v>
      </c>
      <c r="F70" cm="1">
        <f t="array" ref="F70">vega_new(E70,A70,0.1,B70,D70,C70)</f>
        <v>2.5284672585958519</v>
      </c>
      <c r="G70" cm="1">
        <f t="array" ref="G70">vega_new(E70,A70,0.2,B70,D70,C70)</f>
        <v>7.0921552158528378</v>
      </c>
      <c r="H70" cm="1">
        <f t="array" ref="H70">vega_new(E70,A70,0.3,B70,D70,C70)</f>
        <v>10.848092866002867</v>
      </c>
      <c r="I70" cm="1">
        <f t="array" ref="I70">vega_new(E70,A70,0.4,B70,D70,C70)</f>
        <v>13.935841685227942</v>
      </c>
      <c r="J70" cm="1">
        <f t="array" ref="J70">vega_new(E70,A70,0.5,B70,D70,C70)</f>
        <v>16.550496058476394</v>
      </c>
      <c r="K70" cm="1">
        <f t="array" ref="K70">vega_new(E70,A70,0.6,B70,D70,C70)</f>
        <v>18.818310259756124</v>
      </c>
      <c r="L70" cm="1">
        <f t="array" ref="L70">vega_new(E70,A70,0.7,B70,D70,C70)</f>
        <v>20.82062110472484</v>
      </c>
      <c r="M70" cm="1">
        <f t="array" ref="M70">vega_new(E70,A70,0.8,B70,D70,C70)</f>
        <v>22.612169798443368</v>
      </c>
      <c r="N70" cm="1">
        <f t="array" ref="N70">vega_new(E70,A70,0.9,B70,D70,C70)</f>
        <v>24.2314664354484</v>
      </c>
      <c r="O70" cm="1">
        <f t="array" ref="O70">vega_new(E70,A70,1,B70,D70,C70)</f>
        <v>25.706661052011164</v>
      </c>
      <c r="P70" cm="1">
        <f t="array" ref="P70">vega_new(E70,A70,2,B70,D70,C70)</f>
        <v>35.612759003556526</v>
      </c>
      <c r="Q70" cm="1">
        <f t="array" ref="Q70">vega_new(E70,A70,3,B70,D70,C70)</f>
        <v>40.795152906978721</v>
      </c>
      <c r="R70" cm="1">
        <f t="array" ref="R70">vega_new(E70,A70,4,B70,D70,C70)</f>
        <v>43.552525065952814</v>
      </c>
      <c r="S70" cm="1">
        <f t="array" ref="S70">vega_new(E70,A70,5,B70,D70,C70)</f>
        <v>44.812068174301032</v>
      </c>
    </row>
    <row r="71" spans="1:19" x14ac:dyDescent="0.3">
      <c r="A71">
        <v>100</v>
      </c>
      <c r="B71">
        <f t="shared" si="3"/>
        <v>0.01</v>
      </c>
      <c r="C71">
        <v>0.2</v>
      </c>
      <c r="D71">
        <v>7.0000000000000007E-2</v>
      </c>
      <c r="E71" s="5">
        <v>95</v>
      </c>
      <c r="F71" cm="1">
        <f t="array" ref="F71">vega_new(E71,A71,0.1,B71,D71,C71)</f>
        <v>8.1211945983021945</v>
      </c>
      <c r="G71" cm="1">
        <f t="array" ref="G71">vega_new(E71,A71,0.2,B71,D71,C71)</f>
        <v>13.416542757939995</v>
      </c>
      <c r="H71" cm="1">
        <f t="array" ref="H71">vega_new(E71,A71,0.3,B71,D71,C71)</f>
        <v>17.202136246154812</v>
      </c>
      <c r="I71" cm="1">
        <f t="array" ref="I71">vega_new(E71,A71,0.4,B71,D71,C71)</f>
        <v>20.232311062680857</v>
      </c>
      <c r="J71" cm="1">
        <f t="array" ref="J71">vega_new(E71,A71,0.5,B71,D71,C71)</f>
        <v>22.789420668301364</v>
      </c>
      <c r="K71" cm="1">
        <f t="array" ref="K71">vega_new(E71,A71,0.6,B71,D71,C71)</f>
        <v>25.013600812474635</v>
      </c>
      <c r="L71" cm="1">
        <f t="array" ref="L71">vega_new(E71,A71,0.7,B71,D71,C71)</f>
        <v>26.986194288609614</v>
      </c>
      <c r="M71" cm="1">
        <f t="array" ref="M71">vega_new(E71,A71,0.8,B71,D71,C71)</f>
        <v>28.759377309047292</v>
      </c>
      <c r="N71" cm="1">
        <f t="array" ref="N71">vega_new(E71,A71,0.9,B71,D71,C71)</f>
        <v>30.369023073400218</v>
      </c>
      <c r="O71" cm="1">
        <f t="array" ref="O71">vega_new(E71,A71,1,B71,D71,C71)</f>
        <v>31.841088227586578</v>
      </c>
      <c r="P71" cm="1">
        <f t="array" ref="P71">vega_new(E71,A71,2,B71,D71,C71)</f>
        <v>41.836739607996165</v>
      </c>
      <c r="Q71" cm="1">
        <f t="array" ref="Q71">vega_new(E71,A71,3,B71,D71,C71)</f>
        <v>47.08661131593044</v>
      </c>
      <c r="R71" cm="1">
        <f t="array" ref="R71">vega_new(E71,A71,4,B71,D71,C71)</f>
        <v>49.827665562606711</v>
      </c>
      <c r="S71" cm="1">
        <f t="array" ref="S71">vega_new(E71,A71,5,B71,D71,C71)</f>
        <v>50.998005040308634</v>
      </c>
    </row>
    <row r="72" spans="1:19" x14ac:dyDescent="0.3">
      <c r="A72">
        <v>100</v>
      </c>
      <c r="B72">
        <f t="shared" si="3"/>
        <v>0.01</v>
      </c>
      <c r="C72">
        <v>0.2</v>
      </c>
      <c r="D72">
        <v>7.0000000000000007E-2</v>
      </c>
      <c r="E72" s="5">
        <v>100</v>
      </c>
      <c r="F72" cm="1">
        <f t="array" ref="F72">vega_new(E72,A72,0.1,B72,D72,C72)</f>
        <v>12.502631051585203</v>
      </c>
      <c r="G72" cm="1">
        <f t="array" ref="G72">vega_new(E72,A72,0.2,B72,D72,C72)</f>
        <v>17.522971837759467</v>
      </c>
      <c r="H72" cm="1">
        <f t="array" ref="H72">vega_new(E72,A72,0.3,B72,D72,C72)</f>
        <v>21.268885936531436</v>
      </c>
      <c r="I72" cm="1">
        <f t="array" ref="I72">vega_new(E72,A72,0.4,B72,D72,C72)</f>
        <v>24.339152965383398</v>
      </c>
      <c r="J72" cm="1">
        <f t="array" ref="J72">vega_new(E72,A72,0.5,B72,D72,C72)</f>
        <v>26.96819105740602</v>
      </c>
      <c r="K72" cm="1">
        <f t="array" ref="K72">vega_new(E72,A72,0.6,B72,D72,C72)</f>
        <v>29.277486472810537</v>
      </c>
      <c r="L72" cm="1">
        <f t="array" ref="L72">vega_new(E72,A72,0.7,B72,D72,C72)</f>
        <v>31.339966901410296</v>
      </c>
      <c r="M72" cm="1">
        <f t="array" ref="M72">vega_new(E72,A72,0.8,B72,D72,C72)</f>
        <v>33.203652240840285</v>
      </c>
      <c r="N72" cm="1">
        <f t="array" ref="N72">vega_new(E72,A72,0.9,B72,D72,C72)</f>
        <v>34.902253417285728</v>
      </c>
      <c r="O72" cm="1">
        <f t="array" ref="O72">vega_new(E72,A72,1,B72,D72,C72)</f>
        <v>36.460579118208805</v>
      </c>
      <c r="P72" cm="1">
        <f t="array" ref="P72">vega_new(E72,A72,2,B72,D72,C72)</f>
        <v>47.125075272597201</v>
      </c>
      <c r="Q72" cm="1">
        <f t="array" ref="Q72">vega_new(E72,A72,3,B72,D72,C72)</f>
        <v>52.748629823953856</v>
      </c>
      <c r="R72" cm="1">
        <f t="array" ref="R72">vega_new(E72,A72,4,B72,D72,C72)</f>
        <v>55.666516900974138</v>
      </c>
      <c r="S72" cm="1">
        <f t="array" ref="S72">vega_new(E72,A72,5,B72,D72,C72)</f>
        <v>56.880388122316084</v>
      </c>
    </row>
    <row r="73" spans="1:19" x14ac:dyDescent="0.3">
      <c r="A73">
        <v>100</v>
      </c>
      <c r="B73">
        <f t="shared" si="3"/>
        <v>0.01</v>
      </c>
      <c r="C73">
        <v>0.2</v>
      </c>
      <c r="D73">
        <v>7.0000000000000007E-2</v>
      </c>
      <c r="E73" s="5">
        <v>105</v>
      </c>
      <c r="F73" cm="1">
        <f t="array" ref="F73">vega_new(E73,A73,0.1,B73,D73,C73)</f>
        <v>10.23649647203948</v>
      </c>
      <c r="G73" cm="1">
        <f t="array" ref="G73">vega_new(E73,A73,0.2,B73,D73,C73)</f>
        <v>16.648381715278649</v>
      </c>
      <c r="H73" cm="1">
        <f t="array" ref="H73">vega_new(E73,A73,0.3,B73,D73,C73)</f>
        <v>21.234748229580202</v>
      </c>
      <c r="I73" cm="1">
        <f t="array" ref="I73">vega_new(E73,A73,0.4,B73,D73,C73)</f>
        <v>24.910181399542896</v>
      </c>
      <c r="J73" cm="1">
        <f t="array" ref="J73">vega_new(E73,A73,0.5,B73,D73,C73)</f>
        <v>28.01461638855459</v>
      </c>
      <c r="K73" cm="1">
        <f t="array" ref="K73">vega_new(E73,A73,0.6,B73,D73,C73)</f>
        <v>30.716680119491318</v>
      </c>
      <c r="L73" cm="1">
        <f t="array" ref="L73">vega_new(E73,A73,0.7,B73,D73,C73)</f>
        <v>33.114323919479844</v>
      </c>
      <c r="M73" cm="1">
        <f t="array" ref="M73">vega_new(E73,A73,0.8,B73,D73,C73)</f>
        <v>35.270439443913865</v>
      </c>
      <c r="N73" cm="1">
        <f t="array" ref="N73">vega_new(E73,A73,0.9,B73,D73,C73)</f>
        <v>37.22831022539804</v>
      </c>
      <c r="O73" cm="1">
        <f t="array" ref="O73">vega_new(E73,A73,1,B73,D73,C73)</f>
        <v>39.019283772283359</v>
      </c>
      <c r="P73" cm="1">
        <f t="array" ref="P73">vega_new(E73,A73,2,B73,D73,C73)</f>
        <v>51.188124954099514</v>
      </c>
      <c r="Q73" cm="1">
        <f t="array" ref="Q73">vega_new(E73,A73,3,B73,D73,C73)</f>
        <v>57.5813919043228</v>
      </c>
      <c r="R73" cm="1">
        <f t="array" ref="R73">vega_new(E73,A73,4,B73,D73,C73)</f>
        <v>60.917479991617363</v>
      </c>
      <c r="S73" cm="1">
        <f t="array" ref="S73">vega_new(E73,A73,5,B73,D73,C73)</f>
        <v>62.338532702044887</v>
      </c>
    </row>
    <row r="74" spans="1:19" x14ac:dyDescent="0.3">
      <c r="A74">
        <v>100</v>
      </c>
      <c r="B74">
        <f t="shared" si="3"/>
        <v>0.01</v>
      </c>
      <c r="C74">
        <v>0.2</v>
      </c>
      <c r="D74">
        <v>7.0000000000000007E-2</v>
      </c>
      <c r="E74" s="5">
        <v>110</v>
      </c>
      <c r="F74" cm="1">
        <f t="array" ref="F74">vega_new(E74,A74,0.1,B74,D74,C74)</f>
        <v>4.8600837443100087</v>
      </c>
      <c r="G74" cm="1">
        <f t="array" ref="G74">vega_new(E74,A74,0.2,B74,D74,C74)</f>
        <v>12.017707147351588</v>
      </c>
      <c r="H74" cm="1">
        <f t="array" ref="H74">vega_new(E74,A74,0.3,B74,D74,C74)</f>
        <v>17.625810696973417</v>
      </c>
      <c r="I74" cm="1">
        <f t="array" ref="I74">vega_new(E74,A74,0.4,B74,D74,C74)</f>
        <v>22.172010325492483</v>
      </c>
      <c r="J74" cm="1">
        <f t="array" ref="J74">vega_new(E74,A74,0.5,B74,D74,C74)</f>
        <v>26.002109328597882</v>
      </c>
      <c r="K74" cm="1">
        <f t="array" ref="K74">vega_new(E74,A74,0.6,B74,D74,C74)</f>
        <v>29.317616108007748</v>
      </c>
      <c r="L74" cm="1">
        <f t="array" ref="L74">vega_new(E74,A74,0.7,B74,D74,C74)</f>
        <v>32.242959596034659</v>
      </c>
      <c r="M74" cm="1">
        <f t="array" ref="M74">vega_new(E74,A74,0.8,B74,D74,C74)</f>
        <v>34.860077460544758</v>
      </c>
      <c r="N74" cm="1">
        <f t="array" ref="N74">vega_new(E74,A74,0.9,B74,D74,C74)</f>
        <v>37.225896666523106</v>
      </c>
      <c r="O74" cm="1">
        <f t="array" ref="O74">vega_new(E74,A74,1,B74,D74,C74)</f>
        <v>39.381715410546938</v>
      </c>
      <c r="P74" cm="1">
        <f t="array" ref="P74">vega_new(E74,A74,2,B74,D74,C74)</f>
        <v>53.874130702023955</v>
      </c>
      <c r="Q74" cm="1">
        <f t="array" ref="Q74">vega_new(E74,A74,3,B74,D74,C74)</f>
        <v>61.455173948590456</v>
      </c>
      <c r="R74" cm="1">
        <f t="array" ref="R74">vega_new(E74,A74,4,B74,D74,C74)</f>
        <v>65.471281625716031</v>
      </c>
      <c r="S74" cm="1">
        <f t="array" ref="S74">vega_new(E74,A74,5,B74,D74,C74)</f>
        <v>67.27985716528984</v>
      </c>
    </row>
    <row r="75" spans="1:19" x14ac:dyDescent="0.3">
      <c r="A75">
        <v>100</v>
      </c>
      <c r="B75">
        <f t="shared" si="3"/>
        <v>0.01</v>
      </c>
      <c r="C75">
        <v>0.2</v>
      </c>
      <c r="D75">
        <v>7.0000000000000007E-2</v>
      </c>
      <c r="E75" s="5">
        <v>115</v>
      </c>
      <c r="F75" cm="1">
        <f t="array" ref="F75">vega_new(E75,A75,0.1,B75,D75,C75)</f>
        <v>1.4387690533817914</v>
      </c>
      <c r="G75" cm="1">
        <f t="array" ref="G75">vega_new(E75,A75,0.2,B75,D75,C75)</f>
        <v>6.8359745874463709</v>
      </c>
      <c r="H75" cm="1">
        <f t="array" ref="H75">vega_new(E75,A75,0.3,B75,D75,C75)</f>
        <v>12.464410785590307</v>
      </c>
      <c r="I75" cm="1">
        <f t="array" ref="I75">vega_new(E75,A75,0.4,B75,D75,C75)</f>
        <v>17.4823430819077</v>
      </c>
      <c r="J75" cm="1">
        <f t="array" ref="J75">vega_new(E75,A75,0.5,B75,D75,C75)</f>
        <v>21.885994984727013</v>
      </c>
      <c r="K75" cm="1">
        <f t="array" ref="K75">vega_new(E75,A75,0.6,B75,D75,C75)</f>
        <v>25.774789966509442</v>
      </c>
      <c r="L75" cm="1">
        <f t="array" ref="L75">vega_new(E75,A75,0.7,B75,D75,C75)</f>
        <v>29.242038298373661</v>
      </c>
      <c r="M75" cm="1">
        <f t="array" ref="M75">vega_new(E75,A75,0.8,B75,D75,C75)</f>
        <v>32.361659667352441</v>
      </c>
      <c r="N75" cm="1">
        <f t="array" ref="N75">vega_new(E75,A75,0.9,B75,D75,C75)</f>
        <v>35.190566517743946</v>
      </c>
      <c r="O75" cm="1">
        <f t="array" ref="O75">vega_new(E75,A75,1,B75,D75,C75)</f>
        <v>37.772753310634485</v>
      </c>
      <c r="P75" cm="1">
        <f t="array" ref="P75">vega_new(E75,A75,2,B75,D75,C75)</f>
        <v>55.160403857383528</v>
      </c>
      <c r="Q75" cm="1">
        <f t="array" ref="Q75">vega_new(E75,A75,3,B75,D75,C75)</f>
        <v>64.307258704419141</v>
      </c>
      <c r="R75" cm="1">
        <f t="array" ref="R75">vega_new(E75,A75,4,B75,D75,C75)</f>
        <v>69.259536128749659</v>
      </c>
      <c r="S75" cm="1">
        <f t="array" ref="S75">vega_new(E75,A75,5,B75,D75,C75)</f>
        <v>71.639098431824806</v>
      </c>
    </row>
    <row r="76" spans="1:19" x14ac:dyDescent="0.3">
      <c r="A76">
        <v>100</v>
      </c>
      <c r="B76">
        <f t="shared" si="3"/>
        <v>0.01</v>
      </c>
      <c r="C76">
        <v>0.2</v>
      </c>
      <c r="D76">
        <v>7.0000000000000007E-2</v>
      </c>
      <c r="E76" s="5">
        <v>120</v>
      </c>
      <c r="F76" cm="1">
        <f t="array" ref="F76">vega_new(E76,A76,0.1,B76,D76,C76)</f>
        <v>0.28236307417107515</v>
      </c>
      <c r="G76" cm="1">
        <f t="array" ref="G76">vega_new(E76,A76,0.2,B76,D76,C76)</f>
        <v>3.1600376139242914</v>
      </c>
      <c r="H76" cm="1">
        <f t="array" ref="H76">vega_new(E76,A76,0.3,B76,D76,C76)</f>
        <v>7.666348639154462</v>
      </c>
      <c r="I76" cm="1">
        <f t="array" ref="I76">vega_new(E76,A76,0.4,B76,D76,C76)</f>
        <v>12.403063030447505</v>
      </c>
      <c r="J76" cm="1">
        <f t="array" ref="J76">vega_new(E76,A76,0.5,B76,D76,C76)</f>
        <v>16.916211530605025</v>
      </c>
      <c r="K76" cm="1">
        <f t="array" ref="K76">vega_new(E76,A76,0.6,B76,D76,C76)</f>
        <v>21.092931717315832</v>
      </c>
      <c r="L76" cm="1">
        <f t="array" ref="L76">vega_new(E76,A76,0.7,B76,D76,C76)</f>
        <v>24.926844841964208</v>
      </c>
      <c r="M76" cm="1">
        <f t="array" ref="M76">vega_new(E76,A76,0.8,B76,D76,C76)</f>
        <v>28.443225731337801</v>
      </c>
      <c r="N76" cm="1">
        <f t="array" ref="N76">vega_new(E76,A76,0.9,B76,D76,C76)</f>
        <v>31.674497716070452</v>
      </c>
      <c r="O76" cm="1">
        <f t="array" ref="O76">vega_new(E76,A76,1,B76,D76,C76)</f>
        <v>34.652171404680907</v>
      </c>
      <c r="P76" cm="1">
        <f t="array" ref="P76">vega_new(E76,A76,2,B76,D76,C76)</f>
        <v>55.129842113481857</v>
      </c>
      <c r="Q76" cm="1">
        <f t="array" ref="Q76">vega_new(E76,A76,3,B76,D76,C76)</f>
        <v>66.133545790777973</v>
      </c>
      <c r="R76" cm="1">
        <f t="array" ref="R76">vega_new(E76,A76,4,B76,D76,C76)</f>
        <v>72.250796630323066</v>
      </c>
      <c r="S76" cm="1">
        <f t="array" ref="S76">vega_new(E76,A76,5,B76,D76,C76)</f>
        <v>75.376145132954264</v>
      </c>
    </row>
    <row r="77" spans="1:19" x14ac:dyDescent="0.3">
      <c r="A77">
        <v>100</v>
      </c>
      <c r="B77">
        <f t="shared" si="3"/>
        <v>0.01</v>
      </c>
      <c r="C77">
        <v>0.2</v>
      </c>
      <c r="D77">
        <v>7.0000000000000007E-2</v>
      </c>
      <c r="E77" s="5">
        <v>125</v>
      </c>
      <c r="F77" cm="1">
        <f t="array" ref="F77">vega_new(E77,A77,0.1,B77,D77,C77)</f>
        <v>3.8700438327256233E-2</v>
      </c>
      <c r="G77" cm="1">
        <f t="array" ref="G77">vega_new(E77,A77,0.2,B77,D77,C77)</f>
        <v>1.2186388246571942</v>
      </c>
      <c r="H77" cm="1">
        <f t="array" ref="H77">vega_new(E77,A77,0.3,B77,D77,C77)</f>
        <v>4.1737802754902704</v>
      </c>
      <c r="I77" cm="1">
        <f t="array" ref="I77">vega_new(E77,A77,0.4,B77,D77,C77)</f>
        <v>8.0232273132094818</v>
      </c>
      <c r="J77" cm="1">
        <f t="array" ref="J77">vega_new(E77,A77,0.5,B77,D77,C77)</f>
        <v>12.135305971201134</v>
      </c>
      <c r="K77" cm="1">
        <f t="array" ref="K77">vega_new(E77,A77,0.6,B77,D77,C77)</f>
        <v>16.211986076429792</v>
      </c>
      <c r="L77" cm="1">
        <f t="array" ref="L77">vega_new(E77,A77,0.7,B77,D77,C77)</f>
        <v>20.126146178197963</v>
      </c>
      <c r="M77" cm="1">
        <f t="array" ref="M77">vega_new(E77,A77,0.8,B77,D77,C77)</f>
        <v>23.8296513324551</v>
      </c>
      <c r="N77" cm="1">
        <f t="array" ref="N77">vega_new(E77,A77,0.9,B77,D77,C77)</f>
        <v>27.310423299893706</v>
      </c>
      <c r="O77" cm="1">
        <f t="array" ref="O77">vega_new(E77,A77,1,B77,D77,C77)</f>
        <v>30.572646355997623</v>
      </c>
      <c r="P77" cm="1">
        <f t="array" ref="P77">vega_new(E77,A77,2,B77,D77,C77)</f>
        <v>53.940728189426487</v>
      </c>
      <c r="Q77" cm="1">
        <f t="array" ref="Q77">vega_new(E77,A77,3,B77,D77,C77)</f>
        <v>66.977308372930835</v>
      </c>
      <c r="R77" cm="1">
        <f t="array" ref="R77">vega_new(E77,A77,4,B77,D77,C77)</f>
        <v>74.445154415712082</v>
      </c>
      <c r="S77" cm="1">
        <f t="array" ref="S77">vega_new(E77,A77,5,B77,D77,C77)</f>
        <v>78.473037966530214</v>
      </c>
    </row>
    <row r="78" spans="1:19" x14ac:dyDescent="0.3">
      <c r="A78">
        <v>100</v>
      </c>
      <c r="B78">
        <f t="shared" si="3"/>
        <v>0.01</v>
      </c>
      <c r="C78">
        <v>0.2</v>
      </c>
      <c r="D78">
        <v>7.0000000000000007E-2</v>
      </c>
      <c r="E78" s="5">
        <v>130</v>
      </c>
      <c r="F78" cm="1">
        <f t="array" ref="F78">vega_new(E78,A78,0.1,B78,D78,C78)</f>
        <v>3.8730681846681865E-3</v>
      </c>
      <c r="G78" cm="1">
        <f t="array" ref="G78">vega_new(E78,A78,0.2,B78,D78,C78)</f>
        <v>0.4009387009401395</v>
      </c>
      <c r="H78" cm="1">
        <f t="array" ref="H78">vega_new(E78,A78,0.3,B78,D78,C78)</f>
        <v>2.0418341083578868</v>
      </c>
      <c r="I78" cm="1">
        <f t="array" ref="I78">vega_new(E78,A78,0.4,B78,D78,C78)</f>
        <v>4.7861237154928107</v>
      </c>
      <c r="J78" cm="1">
        <f t="array" ref="J78">vega_new(E78,A78,0.5,B78,D78,C78)</f>
        <v>8.1540228744660368</v>
      </c>
      <c r="K78" cm="1">
        <f t="array" ref="K78">vega_new(E78,A78,0.6,B78,D78,C78)</f>
        <v>11.792747435304943</v>
      </c>
      <c r="L78" cm="1">
        <f t="array" ref="L78">vega_new(E78,A78,0.7,B78,D78,C78)</f>
        <v>15.493586302618057</v>
      </c>
      <c r="M78" cm="1">
        <f t="array" ref="M78">vega_new(E78,A78,0.8,B78,D78,C78)</f>
        <v>19.141168177590746</v>
      </c>
      <c r="N78" cm="1">
        <f t="array" ref="N78">vega_new(E78,A78,0.9,B78,D78,C78)</f>
        <v>22.674436765786616</v>
      </c>
      <c r="O78" cm="1">
        <f t="array" ref="O78">vega_new(E78,A78,1,B78,D78,C78)</f>
        <v>26.063153949944237</v>
      </c>
      <c r="P78" cm="1">
        <f t="array" ref="P78">vega_new(E78,A78,2,B78,D78,C78)</f>
        <v>51.796106200399151</v>
      </c>
      <c r="Q78" cm="1">
        <f t="array" ref="Q78">vega_new(E78,A78,3,B78,D78,C78)</f>
        <v>66.91705020758873</v>
      </c>
      <c r="R78" cm="1">
        <f t="array" ref="R78">vega_new(E78,A78,4,B78,D78,C78)</f>
        <v>75.868225816800361</v>
      </c>
      <c r="S78" cm="1">
        <f t="array" ref="S78">vega_new(E78,A78,5,B78,D78,C78)</f>
        <v>80.93056944603326</v>
      </c>
    </row>
    <row r="79" spans="1:19" x14ac:dyDescent="0.3">
      <c r="A79">
        <v>100</v>
      </c>
      <c r="B79">
        <f t="shared" si="3"/>
        <v>0.01</v>
      </c>
      <c r="C79">
        <v>0.2</v>
      </c>
      <c r="D79">
        <v>7.0000000000000007E-2</v>
      </c>
      <c r="E79" s="5">
        <v>135</v>
      </c>
      <c r="F79" cm="1">
        <f t="array" ref="F79">vega_new(E79,A79,0.1,B79,D79,C79)</f>
        <v>2.9406859249371656E-4</v>
      </c>
      <c r="G79" cm="1">
        <f t="array" ref="G79">vega_new(E79,A79,0.2,B79,D79,C79)</f>
        <v>0.11472686998189525</v>
      </c>
      <c r="H79" cm="1">
        <f t="array" ref="H79">vega_new(E79,A79,0.3,B79,D79,C79)</f>
        <v>0.90922669036740167</v>
      </c>
      <c r="I79" cm="1">
        <f t="array" ref="I79">vega_new(E79,A79,0.4,B79,D79,C79)</f>
        <v>2.6586913324277637</v>
      </c>
      <c r="J79" cm="1">
        <f t="array" ref="J79">vega_new(E79,A79,0.5,B79,D79,C79)</f>
        <v>5.1721997788229324</v>
      </c>
      <c r="K79" cm="1">
        <f t="array" ref="K79">vega_new(E79,A79,0.6,B79,D79,C79)</f>
        <v>8.1720548776858699</v>
      </c>
      <c r="L79" cm="1">
        <f t="array" ref="L79">vega_new(E79,A79,0.7,B79,D79,C79)</f>
        <v>11.436839494573151</v>
      </c>
      <c r="M79" cm="1">
        <f t="array" ref="M79">vega_new(E79,A79,0.8,B79,D79,C79)</f>
        <v>14.814972678922107</v>
      </c>
      <c r="N79" cm="1">
        <f t="array" ref="N79">vega_new(E79,A79,0.9,B79,D79,C79)</f>
        <v>18.208505574349456</v>
      </c>
      <c r="O79" cm="1">
        <f t="array" ref="O79">vega_new(E79,A79,1,B79,D79,C79)</f>
        <v>21.556044351311929</v>
      </c>
      <c r="P79" cm="1">
        <f t="array" ref="P79">vega_new(E79,A79,2,B79,D79,C79)</f>
        <v>48.916860761674897</v>
      </c>
      <c r="Q79" cm="1">
        <f t="array" ref="Q79">vega_new(E79,A79,3,B79,D79,C79)</f>
        <v>66.054849855861022</v>
      </c>
      <c r="R79" cm="1">
        <f t="array" ref="R79">vega_new(E79,A79,4,B79,D79,C79)</f>
        <v>76.565139344314929</v>
      </c>
      <c r="S79" cm="1">
        <f t="array" ref="S79">vega_new(E79,A79,5,B79,D79,C79)</f>
        <v>82.764802288270758</v>
      </c>
    </row>
    <row r="80" spans="1:19" x14ac:dyDescent="0.3">
      <c r="A80">
        <v>100</v>
      </c>
      <c r="B80">
        <f t="shared" si="3"/>
        <v>0.01</v>
      </c>
      <c r="C80">
        <v>0.2</v>
      </c>
      <c r="D80">
        <v>7.0000000000000007E-2</v>
      </c>
      <c r="E80" s="5">
        <v>140</v>
      </c>
      <c r="F80" cm="1">
        <f t="array" ref="F80">vega_new(E80,A80,0.1,B80,D80,C80)</f>
        <v>1.7508708494012951E-5</v>
      </c>
      <c r="G80" cm="1">
        <f t="array" ref="G80">vega_new(E80,A80,0.2,B80,D80,C80)</f>
        <v>2.9031010107693784E-2</v>
      </c>
      <c r="H80" cm="1">
        <f t="array" ref="H80">vega_new(E80,A80,0.3,B80,D80,C80)</f>
        <v>0.37267736996654233</v>
      </c>
      <c r="I80" cm="1">
        <f t="array" ref="I80">vega_new(E80,A80,0.4,B80,D80,C80)</f>
        <v>1.3869496260852452</v>
      </c>
      <c r="J80" cm="1">
        <f t="array" ref="J80">vega_new(E80,A80,0.5,B80,D80,C80)</f>
        <v>3.1182233025937456</v>
      </c>
      <c r="K80" cm="1">
        <f t="array" ref="K80">vega_new(E80,A80,0.6,B80,D80,C80)</f>
        <v>5.4257023444301593</v>
      </c>
      <c r="L80" cm="1">
        <f t="array" ref="L80">vega_new(E80,A80,0.7,B80,D80,C80)</f>
        <v>8.1349356658714846</v>
      </c>
      <c r="M80" cm="1">
        <f t="array" ref="M80">vega_new(E80,A80,0.8,B80,D80,C80)</f>
        <v>11.096640239277859</v>
      </c>
      <c r="N80" cm="1">
        <f t="array" ref="N80">vega_new(E80,A80,0.9,B80,D80,C80)</f>
        <v>14.19777452983203</v>
      </c>
      <c r="O80" cm="1">
        <f t="array" ref="O80">vega_new(E80,A80,1,B80,D80,C80)</f>
        <v>17.357185158105636</v>
      </c>
      <c r="P80" cm="1">
        <f t="array" ref="P80">vega_new(E80,A80,2,B80,D80,C80)</f>
        <v>45.520598085848327</v>
      </c>
      <c r="Q80" cm="1">
        <f t="array" ref="Q80">vega_new(E80,A80,3,B80,D80,C80)</f>
        <v>64.506053920055564</v>
      </c>
      <c r="R80" cm="1">
        <f t="array" ref="R80">vega_new(E80,A80,4,B80,D80,C80)</f>
        <v>76.594932008056176</v>
      </c>
      <c r="S80" cm="1">
        <f t="array" ref="S80">vega_new(E80,A80,5,B80,D80,C80)</f>
        <v>84.003727024700083</v>
      </c>
    </row>
    <row r="82" spans="1:29" x14ac:dyDescent="0.3">
      <c r="A82" s="11" t="s">
        <v>31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x14ac:dyDescent="0.3">
      <c r="A83" t="s">
        <v>13</v>
      </c>
      <c r="B83" t="s">
        <v>14</v>
      </c>
      <c r="C83" t="s">
        <v>15</v>
      </c>
      <c r="D83" t="s">
        <v>26</v>
      </c>
      <c r="F83" s="7">
        <v>0.1</v>
      </c>
      <c r="G83" s="7">
        <v>0.2</v>
      </c>
      <c r="H83" s="7">
        <v>0.3</v>
      </c>
      <c r="I83" s="7">
        <v>0.4</v>
      </c>
      <c r="J83" s="7">
        <v>0.5</v>
      </c>
      <c r="K83" s="7">
        <v>0.6</v>
      </c>
      <c r="L83" s="7">
        <v>0.7</v>
      </c>
      <c r="M83" s="7">
        <v>0.8</v>
      </c>
      <c r="N83" s="7">
        <v>0.9</v>
      </c>
      <c r="O83" s="7">
        <v>1</v>
      </c>
      <c r="P83" s="7">
        <v>2</v>
      </c>
      <c r="Q83" s="7">
        <v>3</v>
      </c>
      <c r="R83" s="7">
        <v>4</v>
      </c>
      <c r="S83" s="7">
        <v>5</v>
      </c>
    </row>
    <row r="84" spans="1:29" x14ac:dyDescent="0.3">
      <c r="A84">
        <v>100</v>
      </c>
      <c r="B84">
        <f>1/100</f>
        <v>0.01</v>
      </c>
      <c r="C84">
        <v>0.2</v>
      </c>
      <c r="D84">
        <v>7.0000000000000007E-2</v>
      </c>
      <c r="E84" s="5">
        <v>60</v>
      </c>
      <c r="F84" cm="1">
        <f t="array" ref="F84">rho_call(E84,A84,0.1,B84,D84,C84)</f>
        <v>1.1676951805532261E-15</v>
      </c>
      <c r="G84" cm="1">
        <f t="array" ref="G84">rho_call(E84,A84,0.2,B84,D84,C84)</f>
        <v>3.8521523494360512E-8</v>
      </c>
      <c r="H84" cm="1">
        <f t="array" ref="H84">rho_call(E84,A84,0.3,B84,D84,C84)</f>
        <v>1.5683795170903758E-5</v>
      </c>
      <c r="I84" cm="1">
        <f t="array" ref="I84">rho_call(E84,A84,0.4,B84,D84,C84)</f>
        <v>3.5366146926760076E-4</v>
      </c>
      <c r="J84" cm="1">
        <f t="array" ref="J84">rho_call(E84,A84,0.5,B84,D84,C84)</f>
        <v>2.4434765697720967E-3</v>
      </c>
      <c r="K84" cm="1">
        <f t="array" ref="K84">rho_call(E84,A84,0.6,B84,D84,C84)</f>
        <v>9.2298875029956529E-3</v>
      </c>
      <c r="L84" cm="1">
        <f t="array" ref="L84">rho_call(E84,A84,0.7,B84,D84,C84)</f>
        <v>2.4520415296577659E-2</v>
      </c>
      <c r="M84" cm="1">
        <f t="array" ref="M84">rho_call(E84,A84,0.8,B84,D84,C84)</f>
        <v>5.2056213805608813E-2</v>
      </c>
      <c r="N84" cm="1">
        <f t="array" ref="N84">rho_call(E84,A84,0.9,B84,D84,C84)</f>
        <v>9.4902121725554622E-2</v>
      </c>
      <c r="O84" cm="1">
        <f t="array" ref="O84">rho_call(E84,A84,1,B84,D84,C84)</f>
        <v>0.15521694542801345</v>
      </c>
      <c r="P84" cm="1">
        <f t="array" ref="P84">rho_call(E84,A84,2,B84,D84,C84)</f>
        <v>1.7354593671584764</v>
      </c>
      <c r="Q84" cm="1">
        <f t="array" ref="Q84">rho_call(E84,A84,3,B84,D84,C84)</f>
        <v>4.3962341307409556</v>
      </c>
      <c r="R84" cm="1">
        <f t="array" ref="R84">rho_call(E84,A84,4,B84,D84,C84)</f>
        <v>7.2627317340548592</v>
      </c>
      <c r="S84" cm="1">
        <f t="array" ref="S84">rho_call(E84,A84,5,B84,D84,C84)</f>
        <v>9.912600674666356</v>
      </c>
    </row>
    <row r="85" spans="1:29" x14ac:dyDescent="0.3">
      <c r="A85">
        <v>100</v>
      </c>
      <c r="B85">
        <f t="shared" ref="B85:B100" si="4">1/100</f>
        <v>0.01</v>
      </c>
      <c r="C85">
        <v>0.2</v>
      </c>
      <c r="D85">
        <v>7.0000000000000007E-2</v>
      </c>
      <c r="E85" s="5">
        <v>65</v>
      </c>
      <c r="F85" cm="1">
        <f t="array" ref="F85">rho_call(E85,A85,0.1,B85,D85,C85)</f>
        <v>1.9897382659023413E-11</v>
      </c>
      <c r="G85" cm="1">
        <f t="array" ref="G85">rho_call(E85,A85,0.2,B85,D85,C85)</f>
        <v>5.8661994903837723E-6</v>
      </c>
      <c r="H85" cm="1">
        <f t="array" ref="H85">rho_call(E85,A85,0.3,B85,D85,C85)</f>
        <v>4.93795860339135E-4</v>
      </c>
      <c r="I85" cm="1">
        <f t="array" ref="I85">rho_call(E85,A85,0.4,B85,D85,C85)</f>
        <v>5.0512906067472626E-3</v>
      </c>
      <c r="J85" cm="1">
        <f t="array" ref="J85">rho_call(E85,A85,0.5,B85,D85,C85)</f>
        <v>2.1685757781781154E-2</v>
      </c>
      <c r="K85" cm="1">
        <f t="array" ref="K85">rho_call(E85,A85,0.6,B85,D85,C85)</f>
        <v>5.9581236287391925E-2</v>
      </c>
      <c r="L85" cm="1">
        <f t="array" ref="L85">rho_call(E85,A85,0.7,B85,D85,C85)</f>
        <v>0.12598617259136013</v>
      </c>
      <c r="M85" cm="1">
        <f t="array" ref="M85">rho_call(E85,A85,0.8,B85,D85,C85)</f>
        <v>0.22524027453414761</v>
      </c>
      <c r="N85" cm="1">
        <f t="array" ref="N85">rho_call(E85,A85,0.9,B85,D85,C85)</f>
        <v>0.35907538786587362</v>
      </c>
      <c r="O85" cm="1">
        <f t="array" ref="O85">rho_call(E85,A85,1,B85,D85,C85)</f>
        <v>0.52729749633544898</v>
      </c>
      <c r="P85" cm="1">
        <f t="array" ref="P85">rho_call(E85,A85,2,B85,D85,C85)</f>
        <v>3.6004424133832944</v>
      </c>
      <c r="Q85" cm="1">
        <f t="array" ref="Q85">rho_call(E85,A85,3,B85,D85,C85)</f>
        <v>7.6889492168123255</v>
      </c>
      <c r="R85" cm="1">
        <f t="array" ref="R85">rho_call(E85,A85,4,B85,D85,C85)</f>
        <v>11.630153969558432</v>
      </c>
      <c r="S85" cm="1">
        <f t="array" ref="S85">rho_call(E85,A85,5,B85,D85,C85)</f>
        <v>15.032626989455691</v>
      </c>
    </row>
    <row r="86" spans="1:29" x14ac:dyDescent="0.3">
      <c r="A86">
        <v>100</v>
      </c>
      <c r="B86">
        <f t="shared" si="4"/>
        <v>0.01</v>
      </c>
      <c r="C86">
        <v>0.2</v>
      </c>
      <c r="D86">
        <v>7.0000000000000007E-2</v>
      </c>
      <c r="E86" s="5">
        <v>70</v>
      </c>
      <c r="F86" cm="1">
        <f t="array" ref="F86">rho_call(E86,A86,0.1,B86,D86,C86)</f>
        <v>4.0542840499149193E-8</v>
      </c>
      <c r="G86" cm="1">
        <f t="array" ref="G86">rho_call(E86,A86,0.2,B86,D86,C86)</f>
        <v>3.0851454384869548E-4</v>
      </c>
      <c r="H86" cm="1">
        <f t="array" ref="H86">rho_call(E86,A86,0.3,B86,D86,C86)</f>
        <v>7.6378273914778222E-3</v>
      </c>
      <c r="I86" cm="1">
        <f t="array" ref="I86">rho_call(E86,A86,0.4,B86,D86,C86)</f>
        <v>4.2250555678550822E-2</v>
      </c>
      <c r="J86" cm="1">
        <f t="array" ref="J86">rho_call(E86,A86,0.5,B86,D86,C86)</f>
        <v>0.12519690680424167</v>
      </c>
      <c r="K86" cm="1">
        <f t="array" ref="K86">rho_call(E86,A86,0.6,B86,D86,C86)</f>
        <v>0.26829741656163808</v>
      </c>
      <c r="L86" cm="1">
        <f t="array" ref="L86">rho_call(E86,A86,0.7,B86,D86,C86)</f>
        <v>0.47460284766857103</v>
      </c>
      <c r="M86" cm="1">
        <f t="array" ref="M86">rho_call(E86,A86,0.8,B86,D86,C86)</f>
        <v>0.74166814116762803</v>
      </c>
      <c r="N86" cm="1">
        <f t="array" ref="N86">rho_call(E86,A86,0.9,B86,D86,C86)</f>
        <v>1.0642484933536429</v>
      </c>
      <c r="O86" cm="1">
        <f t="array" ref="O86">rho_call(E86,A86,1,B86,D86,C86)</f>
        <v>1.4359794705245368</v>
      </c>
      <c r="P86" cm="1">
        <f t="array" ref="P86">rho_call(E86,A86,2,B86,D86,C86)</f>
        <v>6.6400237631317856</v>
      </c>
      <c r="Q86" cm="1">
        <f t="array" ref="Q86">rho_call(E86,A86,3,B86,D86,C86)</f>
        <v>12.371380631875709</v>
      </c>
      <c r="R86" cm="1">
        <f t="array" ref="R86">rho_call(E86,A86,4,B86,D86,C86)</f>
        <v>17.42979646437589</v>
      </c>
      <c r="S86" cm="1">
        <f t="array" ref="S86">rho_call(E86,A86,5,B86,D86,C86)</f>
        <v>21.557339836710455</v>
      </c>
    </row>
    <row r="87" spans="1:29" x14ac:dyDescent="0.3">
      <c r="A87">
        <v>100</v>
      </c>
      <c r="B87">
        <f t="shared" si="4"/>
        <v>0.01</v>
      </c>
      <c r="C87">
        <v>0.2</v>
      </c>
      <c r="D87">
        <v>7.0000000000000007E-2</v>
      </c>
      <c r="E87" s="5">
        <v>75</v>
      </c>
      <c r="F87" cm="1">
        <f t="array" ref="F87">rho_call(E87,A87,0.1,B87,D87,C87)</f>
        <v>1.4672687072694635E-5</v>
      </c>
      <c r="G87" cm="1">
        <f t="array" ref="G87">rho_call(E87,A87,0.2,B87,D87,C87)</f>
        <v>6.8424269858679025E-3</v>
      </c>
      <c r="H87" cm="1">
        <f t="array" ref="H87">rho_call(E87,A87,0.3,B87,D87,C87)</f>
        <v>6.636442469177975E-2</v>
      </c>
      <c r="I87" cm="1">
        <f t="array" ref="I87">rho_call(E87,A87,0.4,B87,D87,C87)</f>
        <v>0.22896316572410783</v>
      </c>
      <c r="J87" cm="1">
        <f t="array" ref="J87">rho_call(E87,A87,0.5,B87,D87,C87)</f>
        <v>0.50995250719363905</v>
      </c>
      <c r="K87" cm="1">
        <f t="array" ref="K87">rho_call(E87,A87,0.6,B87,D87,C87)</f>
        <v>0.90203251386289507</v>
      </c>
      <c r="L87" cm="1">
        <f t="array" ref="L87">rho_call(E87,A87,0.7,B87,D87,C87)</f>
        <v>1.389748575103056</v>
      </c>
      <c r="M87" cm="1">
        <f t="array" ref="M87">rho_call(E87,A87,0.8,B87,D87,C87)</f>
        <v>1.9564034644456374</v>
      </c>
      <c r="N87" cm="1">
        <f t="array" ref="N87">rho_call(E87,A87,0.9,B87,D87,C87)</f>
        <v>2.5866564161503889</v>
      </c>
      <c r="O87" cm="1">
        <f t="array" ref="O87">rho_call(E87,A87,1,B87,D87,C87)</f>
        <v>3.2672614437569631</v>
      </c>
      <c r="P87" cm="1">
        <f t="array" ref="P87">rho_call(E87,A87,2,B87,D87,C87)</f>
        <v>11.122134321398507</v>
      </c>
      <c r="Q87" cm="1">
        <f t="array" ref="Q87">rho_call(E87,A87,3,B87,D87,C87)</f>
        <v>18.586982349131656</v>
      </c>
      <c r="R87" cm="1">
        <f t="array" ref="R87">rho_call(E87,A87,4,B87,D87,C87)</f>
        <v>24.732806534004254</v>
      </c>
      <c r="S87" cm="1">
        <f t="array" ref="S87">rho_call(E87,A87,5,B87,D87,C87)</f>
        <v>29.516896173740051</v>
      </c>
    </row>
    <row r="88" spans="1:29" x14ac:dyDescent="0.3">
      <c r="A88">
        <v>100</v>
      </c>
      <c r="B88">
        <f t="shared" si="4"/>
        <v>0.01</v>
      </c>
      <c r="C88">
        <v>0.2</v>
      </c>
      <c r="D88">
        <v>7.0000000000000007E-2</v>
      </c>
      <c r="E88" s="5">
        <v>80</v>
      </c>
      <c r="F88" cm="1">
        <f t="array" ref="F88">rho_call(E88,A88,0.1,B88,D88,C88)</f>
        <v>1.2861254041148845E-3</v>
      </c>
      <c r="G88" cm="1">
        <f t="array" ref="G88">rho_call(E88,A88,0.2,B88,D88,C88)</f>
        <v>7.4868258449702588E-2</v>
      </c>
      <c r="H88" cm="1">
        <f t="array" ref="H88">rho_call(E88,A88,0.3,B88,D88,C88)</f>
        <v>0.35988273387308656</v>
      </c>
      <c r="I88" cm="1">
        <f t="array" ref="I88">rho_call(E88,A88,0.4,B88,D88,C88)</f>
        <v>0.87024101347212002</v>
      </c>
      <c r="J88" cm="1">
        <f t="array" ref="J88">rho_call(E88,A88,0.5,B88,D88,C88)</f>
        <v>1.5618143937683171</v>
      </c>
      <c r="K88" cm="1">
        <f t="array" ref="K88">rho_call(E88,A88,0.6,B88,D88,C88)</f>
        <v>2.3880183851761347</v>
      </c>
      <c r="L88" cm="1">
        <f t="array" ref="L88">rho_call(E88,A88,0.7,B88,D88,C88)</f>
        <v>3.3113875951390925</v>
      </c>
      <c r="M88" cm="1">
        <f t="array" ref="M88">rho_call(E88,A88,0.8,B88,D88,C88)</f>
        <v>4.3035900977551771</v>
      </c>
      <c r="N88" cm="1">
        <f t="array" ref="N88">rho_call(E88,A88,0.9,B88,D88,C88)</f>
        <v>5.3434469525065786</v>
      </c>
      <c r="O88" cm="1">
        <f t="array" ref="O88">rho_call(E88,A88,1,B88,D88,C88)</f>
        <v>6.4150643190364951</v>
      </c>
      <c r="P88" cm="1">
        <f t="array" ref="P88">rho_call(E88,A88,2,B88,D88,C88)</f>
        <v>17.206369191898869</v>
      </c>
      <c r="Q88" cm="1">
        <f t="array" ref="Q88">rho_call(E88,A88,3,B88,D88,C88)</f>
        <v>26.380942264929676</v>
      </c>
      <c r="R88" cm="1">
        <f t="array" ref="R88">rho_call(E88,A88,4,B88,D88,C88)</f>
        <v>33.533178600251645</v>
      </c>
      <c r="S88" cm="1">
        <f t="array" ref="S88">rho_call(E88,A88,5,B88,D88,C88)</f>
        <v>38.881855371094851</v>
      </c>
    </row>
    <row r="89" spans="1:29" x14ac:dyDescent="0.3">
      <c r="A89">
        <v>100</v>
      </c>
      <c r="B89">
        <f t="shared" si="4"/>
        <v>0.01</v>
      </c>
      <c r="C89">
        <v>0.2</v>
      </c>
      <c r="D89">
        <v>7.0000000000000007E-2</v>
      </c>
      <c r="E89" s="5">
        <v>85</v>
      </c>
      <c r="F89" cm="1">
        <f t="array" ref="F89">rho_call(E89,A89,0.1,B89,D89,C89)</f>
        <v>3.5038926041612947E-2</v>
      </c>
      <c r="G89" cm="1">
        <f t="array" ref="G89">rho_call(E89,A89,0.2,B89,D89,C89)</f>
        <v>0.45852760148111221</v>
      </c>
      <c r="H89" cm="1">
        <f t="array" ref="H89">rho_call(E89,A89,0.3,B89,D89,C89)</f>
        <v>1.3254454260512134</v>
      </c>
      <c r="I89" cm="1">
        <f t="array" ref="I89">rho_call(E89,A89,0.4,B89,D89,C89)</f>
        <v>2.4720076003049276</v>
      </c>
      <c r="J89" cm="1">
        <f t="array" ref="J89">rho_call(E89,A89,0.5,B89,D89,C89)</f>
        <v>3.7844464527326203</v>
      </c>
      <c r="K89" cm="1">
        <f t="array" ref="K89">rho_call(E89,A89,0.6,B89,D89,C89)</f>
        <v>5.1941482984477778</v>
      </c>
      <c r="L89" cm="1">
        <f t="array" ref="L89">rho_call(E89,A89,0.7,B89,D89,C89)</f>
        <v>6.6587505203668753</v>
      </c>
      <c r="M89" cm="1">
        <f t="array" ref="M89">rho_call(E89,A89,0.8,B89,D89,C89)</f>
        <v>8.1510540834465068</v>
      </c>
      <c r="N89" cm="1">
        <f t="array" ref="N89">rho_call(E89,A89,0.9,B89,D89,C89)</f>
        <v>9.6529769514237547</v>
      </c>
      <c r="O89" cm="1">
        <f t="array" ref="O89">rho_call(E89,A89,1,B89,D89,C89)</f>
        <v>11.152160737012329</v>
      </c>
      <c r="P89" cm="1">
        <f t="array" ref="P89">rho_call(E89,A89,2,B89,D89,C89)</f>
        <v>24.913815446050119</v>
      </c>
      <c r="Q89" cm="1">
        <f t="array" ref="Q89">rho_call(E89,A89,3,B89,D89,C89)</f>
        <v>35.69980124500924</v>
      </c>
      <c r="R89" cm="1">
        <f t="array" ref="R89">rho_call(E89,A89,4,B89,D89,C89)</f>
        <v>43.754902400533958</v>
      </c>
      <c r="S89" cm="1">
        <f t="array" ref="S89">rho_call(E89,A89,5,B89,D89,C89)</f>
        <v>49.571666142621915</v>
      </c>
    </row>
    <row r="90" spans="1:29" x14ac:dyDescent="0.3">
      <c r="A90">
        <v>100</v>
      </c>
      <c r="B90">
        <f t="shared" si="4"/>
        <v>0.01</v>
      </c>
      <c r="C90">
        <v>0.2</v>
      </c>
      <c r="D90">
        <v>7.0000000000000007E-2</v>
      </c>
      <c r="E90" s="5">
        <v>90</v>
      </c>
      <c r="F90" cm="1">
        <f t="array" ref="F90">rho_call(E90,A90,0.1,B90,D90,C90)</f>
        <v>0.36498970160918826</v>
      </c>
      <c r="G90" cm="1">
        <f t="array" ref="G90">rho_call(E90,A90,0.2,B90,D90,C90)</f>
        <v>1.7447899298256606</v>
      </c>
      <c r="H90" cm="1">
        <f t="array" ref="H90">rho_call(E90,A90,0.3,B90,D90,C90)</f>
        <v>3.5539913190432282</v>
      </c>
      <c r="I90" cm="1">
        <f t="array" ref="I90">rho_call(E90,A90,0.4,B90,D90,C90)</f>
        <v>5.5280408214506886</v>
      </c>
      <c r="J90" cm="1">
        <f t="array" ref="J90">rho_call(E90,A90,0.5,B90,D90,C90)</f>
        <v>7.5625545534630927</v>
      </c>
      <c r="K90" cm="1">
        <f t="array" ref="K90">rho_call(E90,A90,0.6,B90,D90,C90)</f>
        <v>9.6083114452288907</v>
      </c>
      <c r="L90" cm="1">
        <f t="array" ref="L90">rho_call(E90,A90,0.7,B90,D90,C90)</f>
        <v>11.63934544721935</v>
      </c>
      <c r="M90" cm="1">
        <f t="array" ref="M90">rho_call(E90,A90,0.8,B90,D90,C90)</f>
        <v>13.64099889095074</v>
      </c>
      <c r="N90" cm="1">
        <f t="array" ref="N90">rho_call(E90,A90,0.9,B90,D90,C90)</f>
        <v>15.60468563211287</v>
      </c>
      <c r="O90" cm="1">
        <f t="array" ref="O90">rho_call(E90,A90,1,B90,D90,C90)</f>
        <v>17.525319910014311</v>
      </c>
      <c r="P90" cm="1">
        <f t="array" ref="P90">rho_call(E90,A90,2,B90,D90,C90)</f>
        <v>34.125245424839875</v>
      </c>
      <c r="Q90" cm="1">
        <f t="array" ref="Q90">rho_call(E90,A90,3,B90,D90,C90)</f>
        <v>46.403663690740046</v>
      </c>
      <c r="R90" cm="1">
        <f t="array" ref="R90">rho_call(E90,A90,4,B90,D90,C90)</f>
        <v>55.264610155472937</v>
      </c>
      <c r="S90" cm="1">
        <f t="array" ref="S90">rho_call(E90,A90,5,B90,D90,C90)</f>
        <v>61.465496774412927</v>
      </c>
    </row>
    <row r="91" spans="1:29" x14ac:dyDescent="0.3">
      <c r="A91">
        <v>100</v>
      </c>
      <c r="B91">
        <f t="shared" si="4"/>
        <v>0.01</v>
      </c>
      <c r="C91">
        <v>0.2</v>
      </c>
      <c r="D91">
        <v>7.0000000000000007E-2</v>
      </c>
      <c r="E91" s="5">
        <v>95</v>
      </c>
      <c r="F91" cm="1">
        <f t="array" ref="F91">rho_call(E91,A91,0.1,B91,D91,C91)</f>
        <v>1.7407415957006434</v>
      </c>
      <c r="G91" cm="1">
        <f t="array" ref="G91">rho_call(E91,A91,0.2,B91,D91,C91)</f>
        <v>4.5093068638528306</v>
      </c>
      <c r="H91" cm="1">
        <f t="array" ref="H91">rho_call(E91,A91,0.3,B91,D91,C91)</f>
        <v>7.3560151564801659</v>
      </c>
      <c r="I91" cm="1">
        <f t="array" ref="I91">rho_call(E91,A91,0.4,B91,D91,C91)</f>
        <v>10.163713309429022</v>
      </c>
      <c r="J91" cm="1">
        <f t="array" ref="J91">rho_call(E91,A91,0.5,B91,D91,C91)</f>
        <v>12.899754928415618</v>
      </c>
      <c r="K91" cm="1">
        <f t="array" ref="K91">rho_call(E91,A91,0.6,B91,D91,C91)</f>
        <v>15.553337945987035</v>
      </c>
      <c r="L91" cm="1">
        <f t="array" ref="L91">rho_call(E91,A91,0.7,B91,D91,C91)</f>
        <v>18.121449368533458</v>
      </c>
      <c r="M91" cm="1">
        <f t="array" ref="M91">rho_call(E91,A91,0.8,B91,D91,C91)</f>
        <v>20.604318462344686</v>
      </c>
      <c r="N91" cm="1">
        <f t="array" ref="N91">rho_call(E91,A91,0.9,B91,D91,C91)</f>
        <v>23.003627049134796</v>
      </c>
      <c r="O91" cm="1">
        <f t="array" ref="O91">rho_call(E91,A91,1,B91,D91,C91)</f>
        <v>25.3217142066426</v>
      </c>
      <c r="P91" cm="1">
        <f t="array" ref="P91">rho_call(E91,A91,2,B91,D91,C91)</f>
        <v>44.603222308203563</v>
      </c>
      <c r="Q91" cm="1">
        <f t="array" ref="Q91">rho_call(E91,A91,3,B91,D91,C91)</f>
        <v>58.286243712645245</v>
      </c>
      <c r="R91" cm="1">
        <f t="array" ref="R91">rho_call(E91,A91,4,B91,D91,C91)</f>
        <v>67.886806397582191</v>
      </c>
      <c r="S91" cm="1">
        <f t="array" ref="S91">rho_call(E91,A91,5,B91,D91,C91)</f>
        <v>74.41370195857175</v>
      </c>
    </row>
    <row r="92" spans="1:29" x14ac:dyDescent="0.3">
      <c r="A92">
        <v>100</v>
      </c>
      <c r="B92">
        <f t="shared" si="4"/>
        <v>0.01</v>
      </c>
      <c r="C92">
        <v>0.2</v>
      </c>
      <c r="D92">
        <v>7.0000000000000007E-2</v>
      </c>
      <c r="E92" s="5">
        <v>100</v>
      </c>
      <c r="F92" cm="1">
        <f t="array" ref="F92">rho_call(E92,A92,0.1,B92,D92,C92)</f>
        <v>4.4922214744727311</v>
      </c>
      <c r="G92" cm="1">
        <f t="array" ref="G92">rho_call(E92,A92,0.2,B92,D92,C92)</f>
        <v>8.5631331658539498</v>
      </c>
      <c r="H92" cm="1">
        <f t="array" ref="H92">rho_call(E92,A92,0.3,B92,D92,C92)</f>
        <v>12.361570128470554</v>
      </c>
      <c r="I92" cm="1">
        <f t="array" ref="I92">rho_call(E92,A92,0.4,B92,D92,C92)</f>
        <v>15.941744484477988</v>
      </c>
      <c r="J92" cm="1">
        <f t="array" ref="J92">rho_call(E92,A92,0.5,B92,D92,C92)</f>
        <v>19.335515594493366</v>
      </c>
      <c r="K92" cm="1">
        <f t="array" ref="K92">rho_call(E92,A92,0.6,B92,D92,C92)</f>
        <v>22.564714087392634</v>
      </c>
      <c r="L92" cm="1">
        <f t="array" ref="L92">rho_call(E92,A92,0.7,B92,D92,C92)</f>
        <v>25.64560035953383</v>
      </c>
      <c r="M92" cm="1">
        <f t="array" ref="M92">rho_call(E92,A92,0.8,B92,D92,C92)</f>
        <v>28.590946558047854</v>
      </c>
      <c r="N92" cm="1">
        <f t="array" ref="N92">rho_call(E92,A92,0.9,B92,D92,C92)</f>
        <v>31.411162170320832</v>
      </c>
      <c r="O92" cm="1">
        <f t="array" ref="O92">rho_call(E92,A92,1,B92,D92,C92)</f>
        <v>34.114964743227638</v>
      </c>
      <c r="P92" cm="1">
        <f t="array" ref="P92">rho_call(E92,A92,2,B92,D92,C92)</f>
        <v>56.028905523525445</v>
      </c>
      <c r="Q92" cm="1">
        <f t="array" ref="Q92">rho_call(E92,A92,3,B92,D92,C92)</f>
        <v>71.098088347771665</v>
      </c>
      <c r="R92" cm="1">
        <f t="array" ref="R92">rho_call(E92,A92,4,B92,D92,C92)</f>
        <v>81.419371834533408</v>
      </c>
      <c r="S92" cm="1">
        <f t="array" ref="S92">rho_call(E92,A92,5,B92,D92,C92)</f>
        <v>88.248733081776592</v>
      </c>
    </row>
    <row r="93" spans="1:29" x14ac:dyDescent="0.3">
      <c r="A93">
        <v>100</v>
      </c>
      <c r="B93">
        <f t="shared" si="4"/>
        <v>0.01</v>
      </c>
      <c r="C93">
        <v>0.2</v>
      </c>
      <c r="D93">
        <v>7.0000000000000007E-2</v>
      </c>
      <c r="E93" s="5">
        <v>105</v>
      </c>
      <c r="F93" cm="1">
        <f t="array" ref="F93">rho_call(E93,A93,0.1,B93,D93,C93)</f>
        <v>7.3977977243832607</v>
      </c>
      <c r="G93" cm="1">
        <f t="array" ref="G93">rho_call(E93,A93,0.2,B93,D93,C93)</f>
        <v>12.835168540462764</v>
      </c>
      <c r="H93" cm="1">
        <f t="array" ref="H93">rho_call(E93,A93,0.3,B93,D93,C93)</f>
        <v>17.632527204594467</v>
      </c>
      <c r="I93" cm="1">
        <f t="array" ref="I93">rho_call(E93,A93,0.4,B93,D93,C93)</f>
        <v>22.023715391646871</v>
      </c>
      <c r="J93" cm="1">
        <f t="array" ref="J93">rho_call(E93,A93,0.5,B93,D93,C93)</f>
        <v>26.108164194394536</v>
      </c>
      <c r="K93" cm="1">
        <f t="array" ref="K93">rho_call(E93,A93,0.6,B93,D93,C93)</f>
        <v>29.941896074153835</v>
      </c>
      <c r="L93" cm="1">
        <f t="array" ref="L93">rho_call(E93,A93,0.7,B93,D93,C93)</f>
        <v>33.561372307903795</v>
      </c>
      <c r="M93" cm="1">
        <f t="array" ref="M93">rho_call(E93,A93,0.8,B93,D93,C93)</f>
        <v>36.992515539829306</v>
      </c>
      <c r="N93" cm="1">
        <f t="array" ref="N93">rho_call(E93,A93,0.9,B93,D93,C93)</f>
        <v>40.254888141963221</v>
      </c>
      <c r="O93" cm="1">
        <f t="array" ref="O93">rho_call(E93,A93,1,B93,D93,C93)</f>
        <v>43.363898408262997</v>
      </c>
      <c r="P93" cm="1">
        <f t="array" ref="P93">rho_call(E93,A93,2,B93,D93,C93)</f>
        <v>68.043627727636178</v>
      </c>
      <c r="Q93" cm="1">
        <f t="array" ref="Q93">rho_call(E93,A93,3,B93,D93,C93)</f>
        <v>84.569278501111782</v>
      </c>
      <c r="R93" cm="1">
        <f t="array" ref="R93">rho_call(E93,A93,4,B93,D93,C93)</f>
        <v>95.647761295166291</v>
      </c>
      <c r="S93" cm="1">
        <f t="array" ref="S93">rho_call(E93,A93,5,B93,D93,C93)</f>
        <v>102.79476412724358</v>
      </c>
    </row>
    <row r="94" spans="1:29" x14ac:dyDescent="0.3">
      <c r="A94">
        <v>100</v>
      </c>
      <c r="B94">
        <f t="shared" si="4"/>
        <v>0.01</v>
      </c>
      <c r="C94">
        <v>0.2</v>
      </c>
      <c r="D94">
        <v>7.0000000000000007E-2</v>
      </c>
      <c r="E94" s="5">
        <v>110</v>
      </c>
      <c r="F94" cm="1">
        <f t="array" ref="F94">rho_call(E94,A94,0.1,B94,D94,C94)</f>
        <v>9.1536705499400561</v>
      </c>
      <c r="G94" cm="1">
        <f t="array" ref="G94">rho_call(E94,A94,0.2,B94,D94,C94)</f>
        <v>16.215212262841359</v>
      </c>
      <c r="H94" cm="1">
        <f t="array" ref="H94">rho_call(E94,A94,0.3,B94,D94,C94)</f>
        <v>22.207289348057699</v>
      </c>
      <c r="I94" cm="1">
        <f t="array" ref="I94">rho_call(E94,A94,0.4,B94,D94,C94)</f>
        <v>27.55525085455448</v>
      </c>
      <c r="J94" cm="1">
        <f t="array" ref="J94">rho_call(E94,A94,0.5,B94,D94,C94)</f>
        <v>32.444326669600841</v>
      </c>
      <c r="K94" cm="1">
        <f t="array" ref="K94">rho_call(E94,A94,0.6,B94,D94,C94)</f>
        <v>36.975313391860801</v>
      </c>
      <c r="L94" cm="1">
        <f t="array" ref="L94">rho_call(E94,A94,0.7,B94,D94,C94)</f>
        <v>41.211119712560702</v>
      </c>
      <c r="M94" cm="1">
        <f t="array" ref="M94">rho_call(E94,A94,0.8,B94,D94,C94)</f>
        <v>45.194725343232086</v>
      </c>
      <c r="N94" cm="1">
        <f t="array" ref="N94">rho_call(E94,A94,0.9,B94,D94,C94)</f>
        <v>48.957423525481239</v>
      </c>
      <c r="O94" cm="1">
        <f t="array" ref="O94">rho_call(E94,A94,1,B94,D94,C94)</f>
        <v>52.52309308012174</v>
      </c>
      <c r="P94" cm="1">
        <f t="array" ref="P94">rho_call(E94,A94,2,B94,D94,C94)</f>
        <v>80.287284183261406</v>
      </c>
      <c r="Q94" cm="1">
        <f t="array" ref="Q94">rho_call(E94,A94,3,B94,D94,C94)</f>
        <v>98.42916272636306</v>
      </c>
      <c r="R94" cm="1">
        <f t="array" ref="R94">rho_call(E94,A94,4,B94,D94,C94)</f>
        <v>110.35698687608058</v>
      </c>
      <c r="S94" cm="1">
        <f t="array" ref="S94">rho_call(E94,A94,5,B94,D94,C94)</f>
        <v>117.87567491852178</v>
      </c>
    </row>
    <row r="95" spans="1:29" x14ac:dyDescent="0.3">
      <c r="A95">
        <v>100</v>
      </c>
      <c r="B95">
        <f t="shared" si="4"/>
        <v>0.01</v>
      </c>
      <c r="C95">
        <v>0.2</v>
      </c>
      <c r="D95">
        <v>7.0000000000000007E-2</v>
      </c>
      <c r="E95" s="5">
        <v>115</v>
      </c>
      <c r="F95" cm="1">
        <f t="array" ref="F95">rho_call(E95,A95,0.1,B95,D95,C95)</f>
        <v>9.8040894424358438</v>
      </c>
      <c r="G95" cm="1">
        <f t="array" ref="G95">rho_call(E95,A95,0.2,B95,D95,C95)</f>
        <v>18.298864093343397</v>
      </c>
      <c r="H95" cm="1">
        <f t="array" ref="H95">rho_call(E95,A95,0.3,B95,D95,C95)</f>
        <v>25.563856539794148</v>
      </c>
      <c r="I95" cm="1">
        <f t="array" ref="I95">rho_call(E95,A95,0.4,B95,D95,C95)</f>
        <v>31.986770614846996</v>
      </c>
      <c r="J95" cm="1">
        <f t="array" ref="J95">rho_call(E95,A95,0.5,B95,D95,C95)</f>
        <v>37.79687365910344</v>
      </c>
      <c r="K95" cm="1">
        <f t="array" ref="K95">rho_call(E95,A95,0.6,B95,D95,C95)</f>
        <v>43.131360038456506</v>
      </c>
      <c r="L95" cm="1">
        <f t="array" ref="L95">rho_call(E95,A95,0.7,B95,D95,C95)</f>
        <v>48.078768156575023</v>
      </c>
      <c r="M95" cm="1">
        <f t="array" ref="M95">rho_call(E95,A95,0.8,B95,D95,C95)</f>
        <v>52.700133872255115</v>
      </c>
      <c r="N95" cm="1">
        <f t="array" ref="N95">rho_call(E95,A95,0.9,B95,D95,C95)</f>
        <v>57.039801705431337</v>
      </c>
      <c r="O95" cm="1">
        <f t="array" ref="O95">rho_call(E95,A95,1,B95,D95,C95)</f>
        <v>61.131357626505604</v>
      </c>
      <c r="P95" cm="1">
        <f t="array" ref="P95">rho_call(E95,A95,2,B95,D95,C95)</f>
        <v>92.428634802901385</v>
      </c>
      <c r="Q95" cm="1">
        <f t="array" ref="Q95">rho_call(E95,A95,3,B95,D95,C95)</f>
        <v>112.42186041758517</v>
      </c>
      <c r="R95" cm="1">
        <f t="array" ref="R95">rho_call(E95,A95,4,B95,D95,C95)</f>
        <v>125.34100977271596</v>
      </c>
      <c r="S95" cm="1">
        <f t="array" ref="S95">rho_call(E95,A95,5,B95,D95,C95)</f>
        <v>133.32129907699746</v>
      </c>
    </row>
    <row r="96" spans="1:29" x14ac:dyDescent="0.3">
      <c r="A96">
        <v>100</v>
      </c>
      <c r="B96">
        <f t="shared" si="4"/>
        <v>0.01</v>
      </c>
      <c r="C96">
        <v>0.2</v>
      </c>
      <c r="D96">
        <v>7.0000000000000007E-2</v>
      </c>
      <c r="E96" s="5">
        <v>120</v>
      </c>
      <c r="F96" cm="1">
        <f t="array" ref="F96">rho_call(E96,A96,0.1,B96,D96,C96)</f>
        <v>9.9608014860878082</v>
      </c>
      <c r="G96" cm="1">
        <f t="array" ref="G96">rho_call(E96,A96,0.2,B96,D96,C96)</f>
        <v>19.331779416231878</v>
      </c>
      <c r="H96" cm="1">
        <f t="array" ref="H96">rho_call(E96,A96,0.3,B96,D96,C96)</f>
        <v>27.69107729505053</v>
      </c>
      <c r="I96" cm="1">
        <f t="array" ref="I96">rho_call(E96,A96,0.4,B96,D96,C96)</f>
        <v>35.165509616567142</v>
      </c>
      <c r="J96" cm="1">
        <f t="array" ref="J96">rho_call(E96,A96,0.5,B96,D96,C96)</f>
        <v>41.933809874414948</v>
      </c>
      <c r="K96" cm="1">
        <f t="array" ref="K96">rho_call(E96,A96,0.6,B96,D96,C96)</f>
        <v>48.132764058223593</v>
      </c>
      <c r="L96" cm="1">
        <f t="array" ref="L96">rho_call(E96,A96,0.7,B96,D96,C96)</f>
        <v>53.861164253514616</v>
      </c>
      <c r="M96" cm="1">
        <f t="array" ref="M96">rho_call(E96,A96,0.8,B96,D96,C96)</f>
        <v>59.191301887980558</v>
      </c>
      <c r="N96" cm="1">
        <f t="array" ref="N96">rho_call(E96,A96,0.9,B96,D96,C96)</f>
        <v>64.177489590573529</v>
      </c>
      <c r="O96" cm="1">
        <f t="array" ref="O96">rho_call(E96,A96,1,B96,D96,C96)</f>
        <v>68.861652060036761</v>
      </c>
      <c r="P96" cm="1">
        <f t="array" ref="P96">rho_call(E96,A96,2,B96,D96,C96)</f>
        <v>104.18557653103808</v>
      </c>
      <c r="Q96" cm="1">
        <f t="array" ref="Q96">rho_call(E96,A96,3,B96,D96,C96)</f>
        <v>126.31719876049428</v>
      </c>
      <c r="R96" cm="1">
        <f t="array" ref="R96">rho_call(E96,A96,4,B96,D96,C96)</f>
        <v>140.40953978725537</v>
      </c>
      <c r="S96" cm="1">
        <f t="array" ref="S96">rho_call(E96,A96,5,B96,D96,C96)</f>
        <v>148.97201740639036</v>
      </c>
    </row>
    <row r="97" spans="1:19" x14ac:dyDescent="0.3">
      <c r="A97">
        <v>100</v>
      </c>
      <c r="B97">
        <f t="shared" si="4"/>
        <v>0.01</v>
      </c>
      <c r="C97">
        <v>0.2</v>
      </c>
      <c r="D97">
        <v>7.0000000000000007E-2</v>
      </c>
      <c r="E97" s="5">
        <v>125</v>
      </c>
      <c r="F97" cm="1">
        <f t="array" ref="F97">rho_call(E97,A97,0.1,B97,D97,C97)</f>
        <v>9.9866601628135836</v>
      </c>
      <c r="G97" cm="1">
        <f t="array" ref="G97">rho_call(E97,A97,0.2,B97,D97,C97)</f>
        <v>19.754832787597085</v>
      </c>
      <c r="H97" cm="1">
        <f t="array" ref="H97">rho_call(E97,A97,0.3,B97,D97,C97)</f>
        <v>28.877101429235825</v>
      </c>
      <c r="I97" cm="1">
        <f t="array" ref="I97">rho_call(E97,A97,0.4,B97,D97,C97)</f>
        <v>37.235614171841412</v>
      </c>
      <c r="J97" cm="1">
        <f t="array" ref="J97">rho_call(E97,A97,0.5,B97,D97,C97)</f>
        <v>44.892147975373298</v>
      </c>
      <c r="K97" cm="1">
        <f t="array" ref="K97">rho_call(E97,A97,0.6,B97,D97,C97)</f>
        <v>51.940045758683638</v>
      </c>
      <c r="L97" cm="1">
        <f t="array" ref="L97">rho_call(E97,A97,0.7,B97,D97,C97)</f>
        <v>58.464359248573032</v>
      </c>
      <c r="M97" cm="1">
        <f t="array" ref="M97">rho_call(E97,A97,0.8,B97,D97,C97)</f>
        <v>64.535267581357758</v>
      </c>
      <c r="N97" cm="1">
        <f t="array" ref="N97">rho_call(E97,A97,0.9,B97,D97,C97)</f>
        <v>70.209418661540042</v>
      </c>
      <c r="O97" cm="1">
        <f t="array" ref="O97">rho_call(E97,A97,1,B97,D97,C97)</f>
        <v>75.532602508433868</v>
      </c>
      <c r="P97" cm="1">
        <f t="array" ref="P97">rho_call(E97,A97,2,B97,D97,C97)</f>
        <v>115.33567258992544</v>
      </c>
      <c r="Q97" cm="1">
        <f t="array" ref="Q97">rho_call(E97,A97,3,B97,D97,C97)</f>
        <v>139.91737464393177</v>
      </c>
      <c r="R97" cm="1">
        <f t="array" ref="R97">rho_call(E97,A97,4,B97,D97,C97)</f>
        <v>155.3924758707943</v>
      </c>
      <c r="S97" cm="1">
        <f t="array" ref="S97">rho_call(E97,A97,5,B97,D97,C97)</f>
        <v>164.68187758166286</v>
      </c>
    </row>
    <row r="98" spans="1:19" x14ac:dyDescent="0.3">
      <c r="A98">
        <v>100</v>
      </c>
      <c r="B98">
        <f t="shared" si="4"/>
        <v>0.01</v>
      </c>
      <c r="C98">
        <v>0.2</v>
      </c>
      <c r="D98">
        <v>7.0000000000000007E-2</v>
      </c>
      <c r="E98" s="5">
        <v>130</v>
      </c>
      <c r="F98" cm="1">
        <f t="array" ref="F98">rho_call(E98,A98,0.1,B98,D98,C98)</f>
        <v>9.9897165754080799</v>
      </c>
      <c r="G98" cm="1">
        <f t="array" ref="G98">rho_call(E98,A98,0.2,B98,D98,C98)</f>
        <v>19.901364093315387</v>
      </c>
      <c r="H98" cm="1">
        <f t="array" ref="H98">rho_call(E98,A98,0.3,B98,D98,C98)</f>
        <v>29.468087066389391</v>
      </c>
      <c r="I98" cm="1">
        <f t="array" ref="I98">rho_call(E98,A98,0.4,B98,D98,C98)</f>
        <v>38.474233491870571</v>
      </c>
      <c r="J98" cm="1">
        <f t="array" ref="J98">rho_call(E98,A98,0.5,B98,D98,C98)</f>
        <v>46.86835250953348</v>
      </c>
      <c r="K98" cm="1">
        <f t="array" ref="K98">rho_call(E98,A98,0.6,B98,D98,C98)</f>
        <v>54.677579658518603</v>
      </c>
      <c r="L98" cm="1">
        <f t="array" ref="L98">rho_call(E98,A98,0.7,B98,D98,C98)</f>
        <v>61.953080726384279</v>
      </c>
      <c r="M98" cm="1">
        <f t="array" ref="M98">rho_call(E98,A98,0.8,B98,D98,C98)</f>
        <v>68.74869816848404</v>
      </c>
      <c r="N98" cm="1">
        <f t="array" ref="N98">rho_call(E98,A98,0.9,B98,D98,C98)</f>
        <v>75.113866425872715</v>
      </c>
      <c r="O98" cm="1">
        <f t="array" ref="O98">rho_call(E98,A98,1,B98,D98,C98)</f>
        <v>81.091873917064802</v>
      </c>
      <c r="P98" cm="1">
        <f t="array" ref="P98">rho_call(E98,A98,2,B98,D98,C98)</f>
        <v>125.71856185367685</v>
      </c>
      <c r="Q98" cm="1">
        <f t="array" ref="Q98">rho_call(E98,A98,3,B98,D98,C98)</f>
        <v>153.05998778970587</v>
      </c>
      <c r="R98" cm="1">
        <f t="array" ref="R98">rho_call(E98,A98,4,B98,D98,C98)</f>
        <v>170.14234387374253</v>
      </c>
      <c r="S98" cm="1">
        <f t="array" ref="S98">rho_call(E98,A98,5,B98,D98,C98)</f>
        <v>180.32046780810791</v>
      </c>
    </row>
    <row r="99" spans="1:19" x14ac:dyDescent="0.3">
      <c r="A99">
        <v>100</v>
      </c>
      <c r="B99">
        <f t="shared" si="4"/>
        <v>0.01</v>
      </c>
      <c r="C99">
        <v>0.2</v>
      </c>
      <c r="D99">
        <v>7.0000000000000007E-2</v>
      </c>
      <c r="E99" s="5">
        <v>135</v>
      </c>
      <c r="F99" cm="1">
        <f t="array" ref="F99">rho_call(E99,A99,0.1,B99,D99,C99)</f>
        <v>9.98998569881166</v>
      </c>
      <c r="G99" cm="1">
        <f t="array" ref="G99">rho_call(E99,A99,0.2,B99,D99,C99)</f>
        <v>19.945157524610568</v>
      </c>
      <c r="H99" cm="1">
        <f t="array" ref="H99">rho_call(E99,A99,0.3,B99,D99,C99)</f>
        <v>29.734868386903905</v>
      </c>
      <c r="I99" cm="1">
        <f t="array" ref="I99">rho_call(E99,A99,0.4,B99,D99,C99)</f>
        <v>39.162162287271592</v>
      </c>
      <c r="J99" cm="1">
        <f t="array" ref="J99">rho_call(E99,A99,0.5,B99,D99,C99)</f>
        <v>48.111757707318574</v>
      </c>
      <c r="K99" cm="1">
        <f t="array" ref="K99">rho_call(E99,A99,0.6,B99,D99,C99)</f>
        <v>56.549659419947218</v>
      </c>
      <c r="L99" cm="1">
        <f t="array" ref="L99">rho_call(E99,A99,0.7,B99,D99,C99)</f>
        <v>64.485351449981039</v>
      </c>
      <c r="M99" cm="1">
        <f t="array" ref="M99">rho_call(E99,A99,0.8,B99,D99,C99)</f>
        <v>71.946909748032823</v>
      </c>
      <c r="N99" cm="1">
        <f t="array" ref="N99">rho_call(E99,A99,0.9,B99,D99,C99)</f>
        <v>78.968495639134332</v>
      </c>
      <c r="O99" cm="1">
        <f t="array" ref="O99">rho_call(E99,A99,1,B99,D99,C99)</f>
        <v>85.584643507964813</v>
      </c>
      <c r="P99" cm="1">
        <f t="array" ref="P99">rho_call(E99,A99,2,B99,D99,C99)</f>
        <v>135.23242990264453</v>
      </c>
      <c r="Q99" cm="1">
        <f t="array" ref="Q99">rho_call(E99,A99,3,B99,D99,C99)</f>
        <v>165.61823642720458</v>
      </c>
      <c r="R99" cm="1">
        <f t="array" ref="R99">rho_call(E99,A99,4,B99,D99,C99)</f>
        <v>184.53513061577701</v>
      </c>
      <c r="S99" cm="1">
        <f t="array" ref="S99">rho_call(E99,A99,5,B99,D99,C99)</f>
        <v>195.77378279256186</v>
      </c>
    </row>
    <row r="100" spans="1:19" x14ac:dyDescent="0.3">
      <c r="A100">
        <v>100</v>
      </c>
      <c r="B100">
        <f t="shared" si="4"/>
        <v>0.01</v>
      </c>
      <c r="C100">
        <v>0.2</v>
      </c>
      <c r="D100">
        <v>7.0000000000000007E-2</v>
      </c>
      <c r="E100" s="5">
        <v>140</v>
      </c>
      <c r="F100" cm="1">
        <f t="array" ref="F100">rho_call(E100,A100,0.1,B100,D100,C100)</f>
        <v>9.9900039680457446</v>
      </c>
      <c r="G100" cm="1">
        <f t="array" ref="G100">rho_call(E100,A100,0.2,B100,D100,C100)</f>
        <v>19.956649904978541</v>
      </c>
      <c r="H100" cm="1">
        <f t="array" ref="H100">rho_call(E100,A100,0.3,B100,D100,C100)</f>
        <v>29.84525806078241</v>
      </c>
      <c r="I100" cm="1">
        <f t="array" ref="I100">rho_call(E100,A100,0.4,B100,D100,C100)</f>
        <v>39.519976817532225</v>
      </c>
      <c r="J100" cm="1">
        <f t="array" ref="J100">rho_call(E100,A100,0.5,B100,D100,C100)</f>
        <v>48.853896010648327</v>
      </c>
      <c r="K100" cm="1">
        <f t="array" ref="K100">rho_call(E100,A100,0.6,B100,D100,C100)</f>
        <v>57.77455737675276</v>
      </c>
      <c r="L100" cm="1">
        <f t="array" ref="L100">rho_call(E100,A100,0.7,B100,D100,C100)</f>
        <v>66.254727926756644</v>
      </c>
      <c r="M100" cm="1">
        <f t="array" ref="M100">rho_call(E100,A100,0.8,B100,D100,C100)</f>
        <v>74.294573509586627</v>
      </c>
      <c r="N100" cm="1">
        <f t="array" ref="N100">rho_call(E100,A100,0.9,B100,D100,C100)</f>
        <v>81.908721748212074</v>
      </c>
      <c r="O100" cm="1">
        <f t="array" ref="O100">rho_call(E100,A100,1,B100,D100,C100)</f>
        <v>89.11854501523824</v>
      </c>
      <c r="P100" cm="1">
        <f t="array" ref="P100">rho_call(E100,A100,2,B100,D100,C100)</f>
        <v>143.82672969577865</v>
      </c>
      <c r="Q100" cm="1">
        <f t="array" ref="Q100">rho_call(E100,A100,3,B100,D100,C100)</f>
        <v>177.49906897101769</v>
      </c>
      <c r="R100" cm="1">
        <f t="array" ref="R100">rho_call(E100,A100,4,B100,D100,C100)</f>
        <v>198.46990430288974</v>
      </c>
      <c r="S100" cm="1">
        <f t="array" ref="S100">rho_call(E100,A100,5,B100,D100,C100)</f>
        <v>210.94430856702655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B59EA-1EEE-41CB-B8B9-D1FF62256F7F}">
  <sheetPr codeName="Foglio7"/>
  <dimension ref="A1:AC100"/>
  <sheetViews>
    <sheetView tabSelected="1" topLeftCell="E78" workbookViewId="0">
      <selection activeCell="O100" sqref="O100"/>
    </sheetView>
  </sheetViews>
  <sheetFormatPr defaultRowHeight="14.4" x14ac:dyDescent="0.3"/>
  <cols>
    <col min="6" max="19" width="12.6640625" bestFit="1" customWidth="1"/>
  </cols>
  <sheetData>
    <row r="1" spans="1:29" s="9" customFormat="1" x14ac:dyDescent="0.3">
      <c r="A1" s="8" t="s">
        <v>27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x14ac:dyDescent="0.3">
      <c r="A2" t="s">
        <v>13</v>
      </c>
      <c r="B2" t="s">
        <v>14</v>
      </c>
      <c r="C2" t="s">
        <v>15</v>
      </c>
      <c r="D2" t="s">
        <v>26</v>
      </c>
      <c r="F2" s="7">
        <v>0.1</v>
      </c>
      <c r="G2" s="7">
        <v>0.2</v>
      </c>
      <c r="H2" s="7">
        <v>0.3</v>
      </c>
      <c r="I2" s="7">
        <v>0.4</v>
      </c>
      <c r="J2" s="7">
        <v>0.5</v>
      </c>
      <c r="K2" s="7">
        <v>0.6</v>
      </c>
      <c r="L2" s="7">
        <v>0.7</v>
      </c>
      <c r="M2" s="7">
        <v>0.8</v>
      </c>
      <c r="N2" s="7">
        <v>0.9</v>
      </c>
      <c r="O2" s="7">
        <v>1</v>
      </c>
      <c r="P2" s="7">
        <v>2</v>
      </c>
      <c r="Q2" s="7">
        <v>3</v>
      </c>
      <c r="R2" s="7">
        <v>4</v>
      </c>
      <c r="S2" s="7">
        <v>5</v>
      </c>
    </row>
    <row r="3" spans="1:29" x14ac:dyDescent="0.3">
      <c r="A3">
        <v>100</v>
      </c>
      <c r="B3">
        <f>1/100</f>
        <v>0.01</v>
      </c>
      <c r="C3">
        <v>0.2</v>
      </c>
      <c r="D3">
        <v>0.25</v>
      </c>
      <c r="E3" s="5">
        <v>60</v>
      </c>
      <c r="F3" cm="1">
        <f t="array" ref="F3">delta_call(E3,A3,0.1,B3,D3,C3)</f>
        <v>1.7635362740542486E-17</v>
      </c>
      <c r="G3" cm="1">
        <f t="array" ref="G3">delta_call(E3,A3,0.2,B3,D3,C3)</f>
        <v>2.6324272829681508E-10</v>
      </c>
      <c r="H3" cm="1">
        <f t="array" ref="H3">delta_call(E3,A3,0.3,B3,D3,C3)</f>
        <v>6.4791928598724755E-8</v>
      </c>
      <c r="I3" cm="1">
        <f t="array" ref="I3">delta_call(E3,A3,0.4,B3,D3,C3)</f>
        <v>9.9529525637344197E-7</v>
      </c>
      <c r="J3" cm="1">
        <f t="array" ref="J3">delta_call(E3,A3,0.5,B3,D3,C3)</f>
        <v>5.0038789678518044E-6</v>
      </c>
      <c r="K3" cm="1">
        <f t="array" ref="K3">delta_call(E3,A3,0.6,B3,D3,C3)</f>
        <v>1.4344407660019169E-5</v>
      </c>
      <c r="L3" cm="1">
        <f t="array" ref="L3">delta_call(E3,A3,0.7,B3,D3,C3)</f>
        <v>2.9777775371640747E-5</v>
      </c>
      <c r="M3" cm="1">
        <f t="array" ref="M3">delta_call(E3,A3,0.8,B3,D3,C3)</f>
        <v>5.0474427704031234E-5</v>
      </c>
      <c r="N3" cm="1">
        <f t="array" ref="N3">delta_call(E3,A3,0.9,B3,D3,C3)</f>
        <v>7.4697321005074267E-5</v>
      </c>
      <c r="O3" cm="1">
        <f t="array" ref="O3">delta_call(E3,A3,1,B3,D3,C3)</f>
        <v>1.0048764990417272E-4</v>
      </c>
      <c r="P3" cm="1">
        <f t="array" ref="P3">delta_call(E3,A3,2,B3,D3,C3)</f>
        <v>2.3494238886576882E-4</v>
      </c>
      <c r="Q3" cm="1">
        <f t="array" ref="Q3">delta_call(E3,A3,3,B3,D3,C3)</f>
        <v>1.7127264610472355E-4</v>
      </c>
      <c r="R3" cm="1">
        <f t="array" ref="R3">delta_call(E3,A3,4,B3,D3,C3)</f>
        <v>9.3245791908866301E-5</v>
      </c>
      <c r="S3" cm="1">
        <f t="array" ref="S3">delta_call(E3,A3,5,B3,D3,C3)</f>
        <v>4.5250701475585113E-5</v>
      </c>
    </row>
    <row r="4" spans="1:29" x14ac:dyDescent="0.3">
      <c r="A4">
        <v>100</v>
      </c>
      <c r="B4">
        <f t="shared" ref="B4:B19" si="0">1/100</f>
        <v>0.01</v>
      </c>
      <c r="C4">
        <v>0.2</v>
      </c>
      <c r="D4">
        <v>0.25</v>
      </c>
      <c r="E4" s="5">
        <v>65</v>
      </c>
      <c r="F4" cm="1">
        <f t="array" ref="F4">delta_call(E4,A4,0.1,B4,D4,C4)</f>
        <v>3.9594040605447539E-13</v>
      </c>
      <c r="G4" cm="1">
        <f t="array" ref="G4">delta_call(E4,A4,0.2,B4,D4,C4)</f>
        <v>5.2646862594659445E-8</v>
      </c>
      <c r="H4" cm="1">
        <f t="array" ref="H4">delta_call(E4,A4,0.3,B4,D4,C4)</f>
        <v>2.6722297586442128E-6</v>
      </c>
      <c r="I4" cm="1">
        <f t="array" ref="I4">delta_call(E4,A4,0.4,B4,D4,C4)</f>
        <v>1.8583828940462629E-5</v>
      </c>
      <c r="J4" cm="1">
        <f t="array" ref="J4">delta_call(E4,A4,0.5,B4,D4,C4)</f>
        <v>5.7958184735141623E-5</v>
      </c>
      <c r="K4" cm="1">
        <f t="array" ref="K4">delta_call(E4,A4,0.6,B4,D4,C4)</f>
        <v>1.2067932159426278E-4</v>
      </c>
      <c r="L4" cm="1">
        <f t="array" ref="L4">delta_call(E4,A4,0.7,B4,D4,C4)</f>
        <v>1.9916640929537374E-4</v>
      </c>
      <c r="M4" cm="1">
        <f t="array" ref="M4">delta_call(E4,A4,0.8,B4,D4,C4)</f>
        <v>2.8401553675815407E-4</v>
      </c>
      <c r="N4" cm="1">
        <f t="array" ref="N4">delta_call(E4,A4,0.9,B4,D4,C4)</f>
        <v>3.6723397587631564E-4</v>
      </c>
      <c r="O4" cm="1">
        <f t="array" ref="O4">delta_call(E4,A4,1,B4,D4,C4)</f>
        <v>4.4324083912756037E-4</v>
      </c>
      <c r="P4" cm="1">
        <f t="array" ref="P4">delta_call(E4,A4,2,B4,D4,C4)</f>
        <v>6.3054357499952435E-4</v>
      </c>
      <c r="Q4" cm="1">
        <f t="array" ref="Q4">delta_call(E4,A4,3,B4,D4,C4)</f>
        <v>3.8717918148810978E-4</v>
      </c>
      <c r="R4" cm="1">
        <f t="array" ref="R4">delta_call(E4,A4,4,B4,D4,C4)</f>
        <v>1.9301207035421432E-4</v>
      </c>
      <c r="S4" cm="1">
        <f t="array" ref="S4">delta_call(E4,A4,5,B4,D4,C4)</f>
        <v>8.8743380491996987E-5</v>
      </c>
    </row>
    <row r="5" spans="1:29" x14ac:dyDescent="0.3">
      <c r="A5">
        <v>100</v>
      </c>
      <c r="B5">
        <f t="shared" si="0"/>
        <v>0.01</v>
      </c>
      <c r="C5">
        <v>0.2</v>
      </c>
      <c r="D5">
        <v>0.25</v>
      </c>
      <c r="E5" s="5">
        <v>70</v>
      </c>
      <c r="F5" cm="1">
        <f t="array" ref="F5">delta_call(E5,A5,0.1,B5,D5,C5)</f>
        <v>1.0399371175032211E-9</v>
      </c>
      <c r="G5" cm="1">
        <f t="array" ref="G5">delta_call(E5,A5,0.2,B5,D5,C5)</f>
        <v>3.5554247767257793E-6</v>
      </c>
      <c r="H5" cm="1">
        <f t="array" ref="H5">delta_call(E5,A5,0.3,B5,D5,C5)</f>
        <v>5.2925886372297011E-5</v>
      </c>
      <c r="I5" cm="1">
        <f t="array" ref="I5">delta_call(E5,A5,0.4,B5,D5,C5)</f>
        <v>1.9860552519426338E-4</v>
      </c>
      <c r="J5" cm="1">
        <f t="array" ref="J5">delta_call(E5,A5,0.5,B5,D5,C5)</f>
        <v>4.2678729078219247E-4</v>
      </c>
      <c r="K5" cm="1">
        <f t="array" ref="K5">delta_call(E5,A5,0.6,B5,D5,C5)</f>
        <v>6.9217165050239338E-4</v>
      </c>
      <c r="L5" cm="1">
        <f t="array" ref="L5">delta_call(E5,A5,0.7,B5,D5,C5)</f>
        <v>9.5456005862756376E-4</v>
      </c>
      <c r="M5" cm="1">
        <f t="array" ref="M5">delta_call(E5,A5,0.8,B5,D5,C5)</f>
        <v>1.1887107620173322E-3</v>
      </c>
      <c r="N5" cm="1">
        <f t="array" ref="N5">delta_call(E5,A5,0.9,B5,D5,C5)</f>
        <v>1.3823852559096338E-3</v>
      </c>
      <c r="O5" cm="1">
        <f t="array" ref="O5">delta_call(E5,A5,1,B5,D5,C5)</f>
        <v>1.5320534393548724E-3</v>
      </c>
      <c r="P5" cm="1">
        <f t="array" ref="P5">delta_call(E5,A5,2,B5,D5,C5)</f>
        <v>1.4715696099788988E-3</v>
      </c>
      <c r="Q5" cm="1">
        <f t="array" ref="Q5">delta_call(E5,A5,3,B5,D5,C5)</f>
        <v>7.8806885603539335E-4</v>
      </c>
      <c r="R5" cm="1">
        <f t="array" ref="R5">delta_call(E5,A5,4,B5,D5,C5)</f>
        <v>3.6608113726140193E-4</v>
      </c>
      <c r="S5" cm="1">
        <f t="array" ref="S5">delta_call(E5,A5,5,B5,D5,C5)</f>
        <v>1.6116973977376011E-4</v>
      </c>
    </row>
    <row r="6" spans="1:29" x14ac:dyDescent="0.3">
      <c r="A6">
        <v>100</v>
      </c>
      <c r="B6">
        <f t="shared" si="0"/>
        <v>0.01</v>
      </c>
      <c r="C6">
        <v>0.2</v>
      </c>
      <c r="D6">
        <v>0.25</v>
      </c>
      <c r="E6" s="5">
        <v>75</v>
      </c>
      <c r="F6" cm="1">
        <f t="array" ref="F6">delta_call(E6,A6,0.1,B6,D6,C6)</f>
        <v>4.7574112001321476E-7</v>
      </c>
      <c r="G6" cm="1">
        <f t="array" ref="G6">delta_call(E6,A6,0.2,B6,D6,C6)</f>
        <v>9.9232390384096117E-5</v>
      </c>
      <c r="H6" cm="1">
        <f t="array" ref="H6">delta_call(E6,A6,0.3,B6,D6,C6)</f>
        <v>5.769233503775189E-4</v>
      </c>
      <c r="I6" cm="1">
        <f t="array" ref="I6">delta_call(E6,A6,0.4,B6,D6,C6)</f>
        <v>1.3471809016369041E-3</v>
      </c>
      <c r="J6" cm="1">
        <f t="array" ref="J6">delta_call(E6,A6,0.5,B6,D6,C6)</f>
        <v>2.1722156093170407E-3</v>
      </c>
      <c r="K6" cm="1">
        <f t="array" ref="K6">delta_call(E6,A6,0.6,B6,D6,C6)</f>
        <v>2.9039853008745458E-3</v>
      </c>
      <c r="L6" cm="1">
        <f t="array" ref="L6">delta_call(E6,A6,0.7,B6,D6,C6)</f>
        <v>3.4843716745513341E-3</v>
      </c>
      <c r="M6" cm="1">
        <f t="array" ref="M6">delta_call(E6,A6,0.8,B6,D6,C6)</f>
        <v>3.9054558836143088E-3</v>
      </c>
      <c r="N6" cm="1">
        <f t="array" ref="N6">delta_call(E6,A6,0.9,B6,D6,C6)</f>
        <v>4.1818963158455303E-3</v>
      </c>
      <c r="O6" cm="1">
        <f t="array" ref="O6">delta_call(E6,A6,1,B6,D6,C6)</f>
        <v>4.336258610425049E-3</v>
      </c>
      <c r="P6" cm="1">
        <f t="array" ref="P6">delta_call(E6,A6,2,B6,D6,C6)</f>
        <v>3.0598143739430012E-3</v>
      </c>
      <c r="Q6" cm="1">
        <f t="array" ref="Q6">delta_call(E6,A6,3,B6,D6,C6)</f>
        <v>1.470087172083068E-3</v>
      </c>
      <c r="R6" cm="1">
        <f t="array" ref="R6">delta_call(E6,A6,4,B6,D6,C6)</f>
        <v>6.4549075942305014E-4</v>
      </c>
      <c r="S6" cm="1">
        <f t="array" ref="S6">delta_call(E6,A6,5,B6,D6,C6)</f>
        <v>2.7447313235004223E-4</v>
      </c>
    </row>
    <row r="7" spans="1:29" x14ac:dyDescent="0.3">
      <c r="A7">
        <v>100</v>
      </c>
      <c r="B7">
        <f t="shared" si="0"/>
        <v>0.01</v>
      </c>
      <c r="C7">
        <v>0.2</v>
      </c>
      <c r="D7">
        <v>0.25</v>
      </c>
      <c r="E7" s="5">
        <v>80</v>
      </c>
      <c r="F7" cm="1">
        <f t="array" ref="F7">delta_call(E7,A7,0.1,B7,D7,C7)</f>
        <v>5.1770215297262468E-5</v>
      </c>
      <c r="G7" cm="1">
        <f t="array" ref="G7">delta_call(E7,A7,0.2,B7,D7,C7)</f>
        <v>1.3410191544449932E-3</v>
      </c>
      <c r="H7" cm="1">
        <f t="array" ref="H7">delta_call(E7,A7,0.3,B7,D7,C7)</f>
        <v>3.8513695915863943E-3</v>
      </c>
      <c r="I7" cm="1">
        <f t="array" ref="I7">delta_call(E7,A7,0.4,B7,D7,C7)</f>
        <v>6.2891734311124586E-3</v>
      </c>
      <c r="J7" cm="1">
        <f t="array" ref="J7">delta_call(E7,A7,0.5,B7,D7,C7)</f>
        <v>8.1581566285047445E-3</v>
      </c>
      <c r="K7" cm="1">
        <f t="array" ref="K7">delta_call(E7,A7,0.6,B7,D7,C7)</f>
        <v>9.4162159527509132E-3</v>
      </c>
      <c r="L7" cm="1">
        <f t="array" ref="L7">delta_call(E7,A7,0.7,B7,D7,C7)</f>
        <v>1.0159418162377367E-2</v>
      </c>
      <c r="M7" cm="1">
        <f t="array" ref="M7">delta_call(E7,A7,0.8,B7,D7,C7)</f>
        <v>1.0505367155968561E-2</v>
      </c>
      <c r="N7" cm="1">
        <f t="array" ref="N7">delta_call(E7,A7,0.9,B7,D7,C7)</f>
        <v>1.0558172251922284E-2</v>
      </c>
      <c r="O7" cm="1">
        <f t="array" ref="O7">delta_call(E7,A7,1,B7,D7,C7)</f>
        <v>1.0401210791043624E-2</v>
      </c>
      <c r="P7" cm="1">
        <f t="array" ref="P7">delta_call(E7,A7,2,B7,D7,C7)</f>
        <v>5.7769657628360463E-3</v>
      </c>
      <c r="Q7" cm="1">
        <f t="array" ref="Q7">delta_call(E7,A7,3,B7,D7,C7)</f>
        <v>2.548501463291458E-3</v>
      </c>
      <c r="R7" cm="1">
        <f t="array" ref="R7">delta_call(E7,A7,4,B7,D7,C7)</f>
        <v>1.0701853811192082E-3</v>
      </c>
      <c r="S7" cm="1">
        <f t="array" ref="S7">delta_call(E7,A7,5,B7,D7,C7)</f>
        <v>4.4265123735355669E-4</v>
      </c>
    </row>
    <row r="8" spans="1:29" x14ac:dyDescent="0.3">
      <c r="A8">
        <v>100</v>
      </c>
      <c r="B8">
        <f t="shared" si="0"/>
        <v>0.01</v>
      </c>
      <c r="C8">
        <v>0.2</v>
      </c>
      <c r="D8">
        <v>0.25</v>
      </c>
      <c r="E8" s="5">
        <v>85</v>
      </c>
      <c r="F8" cm="1">
        <f t="array" ref="F8">delta_call(E8,A8,0.1,B8,D8,C8)</f>
        <v>1.7206863543721312E-3</v>
      </c>
      <c r="G8" cm="1">
        <f t="array" ref="G8">delta_call(E8,A8,0.2,B8,D8,C8)</f>
        <v>9.9623468913253993E-3</v>
      </c>
      <c r="H8" cm="1">
        <f t="array" ref="H8">delta_call(E8,A8,0.3,B8,D8,C8)</f>
        <v>1.7149856324892649E-2</v>
      </c>
      <c r="I8" cm="1">
        <f t="array" ref="I8">delta_call(E8,A8,0.4,B8,D8,C8)</f>
        <v>2.155524092418995E-2</v>
      </c>
      <c r="J8" cm="1">
        <f t="array" ref="J8">delta_call(E8,A8,0.5,B8,D8,C8)</f>
        <v>2.3818437431377449E-2</v>
      </c>
      <c r="K8" cm="1">
        <f t="array" ref="K8">delta_call(E8,A8,0.6,B8,D8,C8)</f>
        <v>2.4653864350213533E-2</v>
      </c>
      <c r="L8" cm="1">
        <f t="array" ref="L8">delta_call(E8,A8,0.7,B8,D8,C8)</f>
        <v>2.4574814521215762E-2</v>
      </c>
      <c r="M8" cm="1">
        <f t="array" ref="M8">delta_call(E8,A8,0.8,B8,D8,C8)</f>
        <v>2.392355378665395E-2</v>
      </c>
      <c r="N8" cm="1">
        <f t="array" ref="N8">delta_call(E8,A8,0.9,B8,D8,C8)</f>
        <v>2.292531618990087E-2</v>
      </c>
      <c r="O8" cm="1">
        <f t="array" ref="O8">delta_call(E8,A8,1,B8,D8,C8)</f>
        <v>2.1728528388777358E-2</v>
      </c>
      <c r="P8" cm="1">
        <f t="array" ref="P8">delta_call(E8,A8,2,B8,D8,C8)</f>
        <v>1.0054140593671563E-2</v>
      </c>
      <c r="Q8" cm="1">
        <f t="array" ref="Q8">delta_call(E8,A8,3,B8,D8,C8)</f>
        <v>4.1514250228806178E-3</v>
      </c>
      <c r="R8" cm="1">
        <f t="array" ref="R8">delta_call(E8,A8,4,B8,D8,C8)</f>
        <v>1.6835445900435263E-3</v>
      </c>
      <c r="S8" cm="1">
        <f t="array" ref="S8">delta_call(E8,A8,5,B8,D8,C8)</f>
        <v>6.8137968722781846E-4</v>
      </c>
    </row>
    <row r="9" spans="1:29" x14ac:dyDescent="0.3">
      <c r="A9">
        <v>100</v>
      </c>
      <c r="B9">
        <f t="shared" si="0"/>
        <v>0.01</v>
      </c>
      <c r="C9">
        <v>0.2</v>
      </c>
      <c r="D9">
        <v>0.25</v>
      </c>
      <c r="E9" s="5">
        <v>90</v>
      </c>
      <c r="F9" cm="1">
        <f t="array" ref="F9">delta_call(E9,A9,0.1,B9,D9,C9)</f>
        <v>2.147444591650198E-2</v>
      </c>
      <c r="G9" cm="1">
        <f t="array" ref="G9">delta_call(E9,A9,0.2,B9,D9,C9)</f>
        <v>4.5154331423385458E-2</v>
      </c>
      <c r="H9" cm="1">
        <f t="array" ref="H9">delta_call(E9,A9,0.3,B9,D9,C9)</f>
        <v>5.4619531338227868E-2</v>
      </c>
      <c r="I9" cm="1">
        <f t="array" ref="I9">delta_call(E9,A9,0.4,B9,D9,C9)</f>
        <v>5.7163763301958298E-2</v>
      </c>
      <c r="J9" cm="1">
        <f t="array" ref="J9">delta_call(E9,A9,0.5,B9,D9,C9)</f>
        <v>5.6392231630515315E-2</v>
      </c>
      <c r="K9" cm="1">
        <f t="array" ref="K9">delta_call(E9,A9,0.6,B9,D9,C9)</f>
        <v>5.4002564313303095E-2</v>
      </c>
      <c r="L9" cm="1">
        <f t="array" ref="L9">delta_call(E9,A9,0.7,B9,D9,C9)</f>
        <v>5.084901203927164E-2</v>
      </c>
      <c r="M9" cm="1">
        <f t="array" ref="M9">delta_call(E9,A9,0.8,B9,D9,C9)</f>
        <v>4.7385203878396731E-2</v>
      </c>
      <c r="N9" cm="1">
        <f t="array" ref="N9">delta_call(E9,A9,0.9,B9,D9,C9)</f>
        <v>4.3860047977859598E-2</v>
      </c>
      <c r="O9" cm="1">
        <f t="array" ref="O9">delta_call(E9,A9,1,B9,D9,C9)</f>
        <v>4.0411596427234221E-2</v>
      </c>
      <c r="P9" cm="1">
        <f t="array" ref="P9">delta_call(E9,A9,2,B9,D9,C9)</f>
        <v>1.6327089932861086E-2</v>
      </c>
      <c r="Q9" cm="1">
        <f t="array" ref="Q9">delta_call(E9,A9,3,B9,D9,C9)</f>
        <v>6.4115372459854943E-3</v>
      </c>
      <c r="R9" cm="1">
        <f t="array" ref="R9">delta_call(E9,A9,4,B9,D9,C9)</f>
        <v>2.5314848570829186E-3</v>
      </c>
      <c r="S9" cm="1">
        <f t="array" ref="S9">delta_call(E9,A9,5,B9,D9,C9)</f>
        <v>1.0075231435840778E-3</v>
      </c>
    </row>
    <row r="10" spans="1:29" x14ac:dyDescent="0.3">
      <c r="A10">
        <v>100</v>
      </c>
      <c r="B10">
        <f t="shared" si="0"/>
        <v>0.01</v>
      </c>
      <c r="C10">
        <v>0.2</v>
      </c>
      <c r="D10">
        <v>0.25</v>
      </c>
      <c r="E10" s="5">
        <v>95</v>
      </c>
      <c r="F10" cm="1">
        <f t="array" ref="F10">delta_call(E10,A10,0.1,B10,D10,C10)</f>
        <v>0.12021167385476657</v>
      </c>
      <c r="G10" cm="1">
        <f t="array" ref="G10">delta_call(E10,A10,0.2,B10,D10,C10)</f>
        <v>0.13635388246331182</v>
      </c>
      <c r="H10" cm="1">
        <f t="array" ref="H10">delta_call(E10,A10,0.3,B10,D10,C10)</f>
        <v>0.13187315953065398</v>
      </c>
      <c r="I10" cm="1">
        <f t="array" ref="I10">delta_call(E10,A10,0.4,B10,D10,C10)</f>
        <v>0.12251733489966447</v>
      </c>
      <c r="J10" cm="1">
        <f t="array" ref="J10">delta_call(E10,A10,0.5,B10,D10,C10)</f>
        <v>0.11210864033254586</v>
      </c>
      <c r="K10" cm="1">
        <f t="array" ref="K10">delta_call(E10,A10,0.6,B10,D10,C10)</f>
        <v>0.10188564632540299</v>
      </c>
      <c r="L10" cm="1">
        <f t="array" ref="L10">delta_call(E10,A10,0.7,B10,D10,C10)</f>
        <v>9.2287566067974086E-2</v>
      </c>
      <c r="M10" cm="1">
        <f t="array" ref="M10">delta_call(E10,A10,0.8,B10,D10,C10)</f>
        <v>8.3456536893389485E-2</v>
      </c>
      <c r="N10" cm="1">
        <f t="array" ref="N10">delta_call(E10,A10,0.9,B10,D10,C10)</f>
        <v>7.5413021184200332E-2</v>
      </c>
      <c r="O10" cm="1">
        <f t="array" ref="O10">delta_call(E10,A10,1,B10,D10,C10)</f>
        <v>6.8125908505474453E-2</v>
      </c>
      <c r="P10" cm="1">
        <f t="array" ref="P10">delta_call(E10,A10,2,B10,D10,C10)</f>
        <v>2.4986023676578286E-2</v>
      </c>
      <c r="Q10" cm="1">
        <f t="array" ref="Q10">delta_call(E10,A10,3,B10,D10,C10)</f>
        <v>9.4569876628134431E-3</v>
      </c>
      <c r="R10" cm="1">
        <f t="array" ref="R10">delta_call(E10,A10,4,B10,D10,C10)</f>
        <v>3.6603493524719481E-3</v>
      </c>
      <c r="S10" cm="1">
        <f t="array" ref="S10">delta_call(E10,A10,5,B10,D10,C10)</f>
        <v>1.4385806567729026E-3</v>
      </c>
    </row>
    <row r="11" spans="1:29" x14ac:dyDescent="0.3">
      <c r="A11">
        <v>100</v>
      </c>
      <c r="B11">
        <f t="shared" si="0"/>
        <v>0.01</v>
      </c>
      <c r="C11">
        <v>0.2</v>
      </c>
      <c r="D11">
        <v>0.25</v>
      </c>
      <c r="E11" s="5">
        <v>100</v>
      </c>
      <c r="F11" cm="1">
        <f t="array" ref="F11">delta_call(E11,A11,0.1,B11,D11,C11)</f>
        <v>0.35498961004221058</v>
      </c>
      <c r="G11" cm="1">
        <f t="array" ref="G11">delta_call(E11,A11,0.2,B11,D11,C11)</f>
        <v>0.29619635157054758</v>
      </c>
      <c r="H11" cm="1">
        <f t="array" ref="H11">delta_call(E11,A11,0.3,B11,D11,C11)</f>
        <v>0.25366585743618625</v>
      </c>
      <c r="I11" cm="1">
        <f t="array" ref="I11">delta_call(E11,A11,0.4,B11,D11,C11)</f>
        <v>0.22015420321200582</v>
      </c>
      <c r="J11" cm="1">
        <f t="array" ref="J11">delta_call(E11,A11,0.5,B11,D11,C11)</f>
        <v>0.19268288832457969</v>
      </c>
      <c r="K11" cm="1">
        <f t="array" ref="K11">delta_call(E11,A11,0.6,B11,D11,C11)</f>
        <v>0.16963815076469452</v>
      </c>
      <c r="L11" cm="1">
        <f t="array" ref="L11">delta_call(E11,A11,0.7,B11,D11,C11)</f>
        <v>0.15001198151803896</v>
      </c>
      <c r="M11" cm="1">
        <f t="array" ref="M11">delta_call(E11,A11,0.8,B11,D11,C11)</f>
        <v>0.13311722031320528</v>
      </c>
      <c r="N11" cm="1">
        <f t="array" ref="N11">delta_call(E11,A11,0.9,B11,D11,C11)</f>
        <v>0.11845703943873333</v>
      </c>
      <c r="O11" cm="1">
        <f t="array" ref="O11">delta_call(E11,A11,1,B11,D11,C11)</f>
        <v>0.10565683450125576</v>
      </c>
      <c r="P11" cm="1">
        <f t="array" ref="P11">delta_call(E11,A11,2,B11,D11,C11)</f>
        <v>3.632964909073063E-2</v>
      </c>
      <c r="Q11" cm="1">
        <f t="array" ref="Q11">delta_call(E11,A11,3,B11,D11,C11)</f>
        <v>1.3402649042058035E-2</v>
      </c>
      <c r="R11" cm="1">
        <f t="array" ref="R11">delta_call(E11,A11,4,B11,D11,C11)</f>
        <v>5.1147925016223521E-3</v>
      </c>
      <c r="S11" cm="1">
        <f t="array" ref="S11">delta_call(E11,A11,5,B11,D11,C11)</f>
        <v>1.992110383539311E-3</v>
      </c>
    </row>
    <row r="12" spans="1:29" x14ac:dyDescent="0.3">
      <c r="A12">
        <v>100</v>
      </c>
      <c r="B12">
        <f t="shared" si="0"/>
        <v>0.01</v>
      </c>
      <c r="C12">
        <v>0.2</v>
      </c>
      <c r="D12">
        <v>0.25</v>
      </c>
      <c r="E12" s="5">
        <v>105</v>
      </c>
      <c r="F12" cm="1">
        <f t="array" ref="F12">delta_call(E12,A12,0.1,B12,D12,C12)</f>
        <v>0.64767157752988336</v>
      </c>
      <c r="G12" cm="1">
        <f t="array" ref="G12">delta_call(E12,A12,0.2,B12,D12,C12)</f>
        <v>0.49592860606289174</v>
      </c>
      <c r="H12" cm="1">
        <f t="array" ref="H12">delta_call(E12,A12,0.3,B12,D12,C12)</f>
        <v>0.40596348362849449</v>
      </c>
      <c r="I12" cm="1">
        <f t="array" ref="I12">delta_call(E12,A12,0.4,B12,D12,C12)</f>
        <v>0.34228887840716193</v>
      </c>
      <c r="J12" cm="1">
        <f t="array" ref="J12">delta_call(E12,A12,0.5,B12,D12,C12)</f>
        <v>0.29349479315377769</v>
      </c>
      <c r="K12" cm="1">
        <f t="array" ref="K12">delta_call(E12,A12,0.6,B12,D12,C12)</f>
        <v>0.25441954290057089</v>
      </c>
      <c r="L12" cm="1">
        <f t="array" ref="L12">delta_call(E12,A12,0.7,B12,D12,C12)</f>
        <v>0.22225185989242846</v>
      </c>
      <c r="M12" cm="1">
        <f t="array" ref="M12">delta_call(E12,A12,0.8,B12,D12,C12)</f>
        <v>0.1952701610471749</v>
      </c>
      <c r="N12" cm="1">
        <f t="array" ref="N12">delta_call(E12,A12,0.9,B12,D12,C12)</f>
        <v>0.17233190669710124</v>
      </c>
      <c r="O12" cm="1">
        <f t="array" ref="O12">delta_call(E12,A12,1,B12,D12,C12)</f>
        <v>0.15263349633925849</v>
      </c>
      <c r="P12" cm="1">
        <f t="array" ref="P12">delta_call(E12,A12,2,B12,D12,C12)</f>
        <v>5.053106389943917E-2</v>
      </c>
      <c r="Q12" cm="1">
        <f t="array" ref="Q12">delta_call(E12,A12,3,B12,D12,C12)</f>
        <v>1.8342663635322661E-2</v>
      </c>
      <c r="R12" cm="1">
        <f t="array" ref="R12">delta_call(E12,A12,4,B12,D12,C12)</f>
        <v>6.9358324075861379E-3</v>
      </c>
      <c r="S12" cm="1">
        <f t="array" ref="S12">delta_call(E12,A12,5,B12,D12,C12)</f>
        <v>2.685172595779964E-3</v>
      </c>
    </row>
    <row r="13" spans="1:29" x14ac:dyDescent="0.3">
      <c r="A13">
        <v>100</v>
      </c>
      <c r="B13">
        <f t="shared" si="0"/>
        <v>0.01</v>
      </c>
      <c r="C13">
        <v>0.2</v>
      </c>
      <c r="D13">
        <v>0.25</v>
      </c>
      <c r="E13" s="5">
        <v>110</v>
      </c>
      <c r="F13" cm="1">
        <f t="array" ref="F13">delta_call(E13,A13,0.1,B13,D13,C13)</f>
        <v>0.85515130750403345</v>
      </c>
      <c r="G13" cm="1">
        <f t="array" ref="G13">delta_call(E13,A13,0.2,B13,D13,C13)</f>
        <v>0.68193906262440018</v>
      </c>
      <c r="H13" cm="1">
        <f t="array" ref="H13">delta_call(E13,A13,0.3,B13,D13,C13)</f>
        <v>0.56173251066193164</v>
      </c>
      <c r="I13" cm="1">
        <f t="array" ref="I13">delta_call(E13,A13,0.4,B13,D13,C13)</f>
        <v>0.4732687535937245</v>
      </c>
      <c r="J13" cm="1">
        <f t="array" ref="J13">delta_call(E13,A13,0.5,B13,D13,C13)</f>
        <v>0.40474412595558457</v>
      </c>
      <c r="K13" cm="1">
        <f t="array" ref="K13">delta_call(E13,A13,0.6,B13,D13,C13)</f>
        <v>0.34978625738235991</v>
      </c>
      <c r="L13" cm="1">
        <f t="array" ref="L13">delta_call(E13,A13,0.7,B13,D13,C13)</f>
        <v>0.30463238139907123</v>
      </c>
      <c r="M13" cm="1">
        <f t="array" ref="M13">delta_call(E13,A13,0.8,B13,D13,C13)</f>
        <v>0.26688135139271429</v>
      </c>
      <c r="N13" cm="1">
        <f t="array" ref="N13">delta_call(E13,A13,0.9,B13,D13,C13)</f>
        <v>0.23490509497445669</v>
      </c>
      <c r="O13" cm="1">
        <f t="array" ref="O13">delta_call(E13,A13,1,B13,D13,C13)</f>
        <v>0.20754629670784833</v>
      </c>
      <c r="P13" cm="1">
        <f t="array" ref="P13">delta_call(E13,A13,2,B13,D13,C13)</f>
        <v>6.7619767803952985E-2</v>
      </c>
      <c r="Q13" cm="1">
        <f t="array" ref="Q13">delta_call(E13,A13,3,B13,D13,C13)</f>
        <v>2.4344904862603711E-2</v>
      </c>
      <c r="R13" cm="1">
        <f t="array" ref="R13">delta_call(E13,A13,4,B13,D13,C13)</f>
        <v>9.1591978131405436E-3</v>
      </c>
      <c r="S13" cm="1">
        <f t="array" ref="S13">delta_call(E13,A13,5,B13,D13,C13)</f>
        <v>3.5338214778301283E-3</v>
      </c>
    </row>
    <row r="14" spans="1:29" x14ac:dyDescent="0.3">
      <c r="A14">
        <v>100</v>
      </c>
      <c r="B14">
        <f t="shared" si="0"/>
        <v>0.01</v>
      </c>
      <c r="C14">
        <v>0.2</v>
      </c>
      <c r="D14">
        <v>0.25</v>
      </c>
      <c r="E14" s="5">
        <v>115</v>
      </c>
      <c r="F14" cm="1">
        <f t="array" ref="F14">delta_call(E14,A14,0.1,B14,D14,C14)</f>
        <v>0.94477981615077811</v>
      </c>
      <c r="G14" cm="1">
        <f t="array" ref="G14">delta_call(E14,A14,0.2,B14,D14,C14)</f>
        <v>0.81599962749386679</v>
      </c>
      <c r="H14" cm="1">
        <f t="array" ref="H14">delta_call(E14,A14,0.3,B14,D14,C14)</f>
        <v>0.69547186204320355</v>
      </c>
      <c r="I14" cm="1">
        <f t="array" ref="I14">delta_call(E14,A14,0.4,B14,D14,C14)</f>
        <v>0.59611478174374022</v>
      </c>
      <c r="J14" cm="1">
        <f t="array" ref="J14">delta_call(E14,A14,0.5,B14,D14,C14)</f>
        <v>0.51479685662811747</v>
      </c>
      <c r="K14" cm="1">
        <f t="array" ref="K14">delta_call(E14,A14,0.6,B14,D14,C14)</f>
        <v>0.44755084260487332</v>
      </c>
      <c r="L14" cm="1">
        <f t="array" ref="L14">delta_call(E14,A14,0.7,B14,D14,C14)</f>
        <v>0.3912670971825371</v>
      </c>
      <c r="M14" cm="1">
        <f t="array" ref="M14">delta_call(E14,A14,0.8,B14,D14,C14)</f>
        <v>0.34364821133787443</v>
      </c>
      <c r="N14" cm="1">
        <f t="array" ref="N14">delta_call(E14,A14,0.9,B14,D14,C14)</f>
        <v>0.30299214394770152</v>
      </c>
      <c r="O14" cm="1">
        <f t="array" ref="O14">delta_call(E14,A14,1,B14,D14,C14)</f>
        <v>0.26801651336607218</v>
      </c>
      <c r="P14" cm="1">
        <f t="array" ref="P14">delta_call(E14,A14,2,B14,D14,C14)</f>
        <v>8.748049341386839E-2</v>
      </c>
      <c r="Q14" cm="1">
        <f t="array" ref="Q14">delta_call(E14,A14,3,B14,D14,C14)</f>
        <v>3.1447639683954406E-2</v>
      </c>
      <c r="R14" cm="1">
        <f t="array" ref="R14">delta_call(E14,A14,4,B14,D14,C14)</f>
        <v>1.181404705058741E-2</v>
      </c>
      <c r="S14" cm="1">
        <f t="array" ref="S14">delta_call(E14,A14,5,B14,D14,C14)</f>
        <v>4.552667118318688E-3</v>
      </c>
    </row>
    <row r="15" spans="1:29" x14ac:dyDescent="0.3">
      <c r="A15">
        <v>100</v>
      </c>
      <c r="B15">
        <f t="shared" si="0"/>
        <v>0.01</v>
      </c>
      <c r="C15">
        <v>0.2</v>
      </c>
      <c r="D15">
        <v>0.25</v>
      </c>
      <c r="E15" s="5">
        <v>120</v>
      </c>
      <c r="F15" cm="1">
        <f t="array" ref="F15">delta_call(E15,A15,0.1,B15,D15,C15)</f>
        <v>0.96982489689265683</v>
      </c>
      <c r="G15" cm="1">
        <f t="array" ref="G15">delta_call(E15,A15,0.2,B15,D15,C15)</f>
        <v>0.89321004213346389</v>
      </c>
      <c r="H15" cm="1">
        <f t="array" ref="H15">delta_call(E15,A15,0.3,B15,D15,C15)</f>
        <v>0.79401080787727707</v>
      </c>
      <c r="I15" cm="1">
        <f t="array" ref="I15">delta_call(E15,A15,0.4,B15,D15,C15)</f>
        <v>0.69859677267448594</v>
      </c>
      <c r="J15" cm="1">
        <f t="array" ref="J15">delta_call(E15,A15,0.5,B15,D15,C15)</f>
        <v>0.61374237557450773</v>
      </c>
      <c r="K15" cm="1">
        <f t="array" ref="K15">delta_call(E15,A15,0.6,B15,D15,C15)</f>
        <v>0.53995908606556486</v>
      </c>
      <c r="L15" cm="1">
        <f t="array" ref="L15">delta_call(E15,A15,0.7,B15,D15,C15)</f>
        <v>0.47614123417780357</v>
      </c>
      <c r="M15" cm="1">
        <f t="array" ref="M15">delta_call(E15,A15,0.8,B15,D15,C15)</f>
        <v>0.42090548364547697</v>
      </c>
      <c r="N15" cm="1">
        <f t="array" ref="N15">delta_call(E15,A15,0.9,B15,D15,C15)</f>
        <v>0.37296442286704934</v>
      </c>
      <c r="O15" cm="1">
        <f t="array" ref="O15">delta_call(E15,A15,1,B15,D15,C15)</f>
        <v>0.33121197995982127</v>
      </c>
      <c r="P15" cm="1">
        <f t="array" ref="P15">delta_call(E15,A15,2,B15,D15,C15)</f>
        <v>0.10986669292976005</v>
      </c>
      <c r="Q15" cm="1">
        <f t="array" ref="Q15">delta_call(E15,A15,3,B15,D15,C15)</f>
        <v>3.9658383387180557E-2</v>
      </c>
      <c r="R15" cm="1">
        <f t="array" ref="R15">delta_call(E15,A15,4,B15,D15,C15)</f>
        <v>1.4922091395869233E-2</v>
      </c>
      <c r="S15" cm="1">
        <f t="array" ref="S15">delta_call(E15,A15,5,B15,D15,C15)</f>
        <v>5.7545204862353783E-3</v>
      </c>
    </row>
    <row r="16" spans="1:29" x14ac:dyDescent="0.3">
      <c r="A16">
        <v>100</v>
      </c>
      <c r="B16">
        <f t="shared" si="0"/>
        <v>0.01</v>
      </c>
      <c r="C16">
        <v>0.2</v>
      </c>
      <c r="D16">
        <v>0.25</v>
      </c>
      <c r="E16" s="5">
        <v>125</v>
      </c>
      <c r="F16" cm="1">
        <f t="array" ref="F16">delta_call(E16,A16,0.1,B16,D16,C16)</f>
        <v>0.97459260666795378</v>
      </c>
      <c r="G16" cm="1">
        <f t="array" ref="G16">delta_call(E16,A16,0.2,B16,D16,C16)</f>
        <v>0.9297366104344762</v>
      </c>
      <c r="H16" cm="1">
        <f t="array" ref="H16">delta_call(E16,A16,0.3,B16,D16,C16)</f>
        <v>0.85750191447733592</v>
      </c>
      <c r="I16" cm="1">
        <f t="array" ref="I16">delta_call(E16,A16,0.4,B16,D16,C16)</f>
        <v>0.77574494157499396</v>
      </c>
      <c r="J16" cm="1">
        <f t="array" ref="J16">delta_call(E16,A16,0.5,B16,D16,C16)</f>
        <v>0.69554685870599953</v>
      </c>
      <c r="K16" cm="1">
        <f t="array" ref="K16">delta_call(E16,A16,0.6,B16,D16,C16)</f>
        <v>0.62129713775849627</v>
      </c>
      <c r="L16" cm="1">
        <f t="array" ref="L16">delta_call(E16,A16,0.7,B16,D16,C16)</f>
        <v>0.55427186418486496</v>
      </c>
      <c r="M16" cm="1">
        <f t="array" ref="M16">delta_call(E16,A16,0.8,B16,D16,C16)</f>
        <v>0.49445850351458309</v>
      </c>
      <c r="N16" cm="1">
        <f t="array" ref="N16">delta_call(E16,A16,0.9,B16,D16,C16)</f>
        <v>0.44135010829077814</v>
      </c>
      <c r="O16" cm="1">
        <f t="array" ref="O16">delta_call(E16,A16,1,B16,D16,C16)</f>
        <v>0.39428364337217925</v>
      </c>
      <c r="P16" cm="1">
        <f t="array" ref="P16">delta_call(E16,A16,2,B16,D16,C16)</f>
        <v>0.13442476085901769</v>
      </c>
      <c r="Q16" cm="1">
        <f t="array" ref="Q16">delta_call(E16,A16,3,B16,D16,C16)</f>
        <v>4.8954719213248989E-2</v>
      </c>
      <c r="R16" cm="1">
        <f t="array" ref="R16">delta_call(E16,A16,4,B16,D16,C16)</f>
        <v>1.8497118331582057E-2</v>
      </c>
      <c r="S16" cm="1">
        <f t="array" ref="S16">delta_call(E16,A16,5,B16,D16,C16)</f>
        <v>7.150126713374636E-3</v>
      </c>
    </row>
    <row r="17" spans="1:29" x14ac:dyDescent="0.3">
      <c r="A17">
        <v>100</v>
      </c>
      <c r="B17">
        <f t="shared" si="0"/>
        <v>0.01</v>
      </c>
      <c r="C17">
        <v>0.2</v>
      </c>
      <c r="D17">
        <v>0.25</v>
      </c>
      <c r="E17" s="5">
        <v>130</v>
      </c>
      <c r="F17" cm="1">
        <f t="array" ref="F17">delta_call(E17,A17,0.1,B17,D17,C17)</f>
        <v>0.97523949042893521</v>
      </c>
      <c r="G17" cm="1">
        <f t="array" ref="G17">delta_call(E17,A17,0.2,B17,D17,C17)</f>
        <v>0.94427071577625943</v>
      </c>
      <c r="H17" cm="1">
        <f t="array" ref="H17">delta_call(E17,A17,0.3,B17,D17,C17)</f>
        <v>0.89386018744890372</v>
      </c>
      <c r="I17" cm="1">
        <f t="array" ref="I17">delta_call(E17,A17,0.4,B17,D17,C17)</f>
        <v>0.82880480942787027</v>
      </c>
      <c r="J17" cm="1">
        <f t="array" ref="J17">delta_call(E17,A17,0.5,B17,D17,C17)</f>
        <v>0.75836867951388787</v>
      </c>
      <c r="K17" cm="1">
        <f t="array" ref="K17">delta_call(E17,A17,0.6,B17,D17,C17)</f>
        <v>0.68853661436655378</v>
      </c>
      <c r="L17" cm="1">
        <f t="array" ref="L17">delta_call(E17,A17,0.7,B17,D17,C17)</f>
        <v>0.62235518804861711</v>
      </c>
      <c r="M17" cm="1">
        <f t="array" ref="M17">delta_call(E17,A17,0.8,B17,D17,C17)</f>
        <v>0.56113996345741934</v>
      </c>
      <c r="N17" cm="1">
        <f t="array" ref="N17">delta_call(E17,A17,0.9,B17,D17,C17)</f>
        <v>0.50528633929806621</v>
      </c>
      <c r="O17" cm="1">
        <f t="array" ref="O17">delta_call(E17,A17,1,B17,D17,C17)</f>
        <v>0.45472369615355024</v>
      </c>
      <c r="P17" cm="1">
        <f t="array" ref="P17">delta_call(E17,A17,2,B17,D17,C17)</f>
        <v>0.16072443617691481</v>
      </c>
      <c r="Q17" cm="1">
        <f t="array" ref="Q17">delta_call(E17,A17,3,B17,D17,C17)</f>
        <v>5.9286717951993737E-2</v>
      </c>
      <c r="R17" cm="1">
        <f t="array" ref="R17">delta_call(E17,A17,4,B17,D17,C17)</f>
        <v>2.2544882937270458E-2</v>
      </c>
      <c r="S17" cm="1">
        <f t="array" ref="S17">delta_call(E17,A17,5,B17,D17,C17)</f>
        <v>8.7479860009528395E-3</v>
      </c>
    </row>
    <row r="18" spans="1:29" x14ac:dyDescent="0.3">
      <c r="A18">
        <v>100</v>
      </c>
      <c r="B18">
        <f t="shared" si="0"/>
        <v>0.01</v>
      </c>
      <c r="C18">
        <v>0.2</v>
      </c>
      <c r="D18">
        <v>0.25</v>
      </c>
      <c r="E18" s="5">
        <v>135</v>
      </c>
      <c r="F18" cm="1">
        <f t="array" ref="F18">delta_call(E18,A18,0.1,B18,D18,C18)</f>
        <v>0.9753045650699349</v>
      </c>
      <c r="G18" cm="1">
        <f t="array" ref="G18">delta_call(E18,A18,0.2,B18,D18,C18)</f>
        <v>0.94923562267180484</v>
      </c>
      <c r="H18" cm="1">
        <f t="array" ref="H18">delta_call(E18,A18,0.3,B18,D18,C18)</f>
        <v>0.91262494440429587</v>
      </c>
      <c r="I18" cm="1">
        <f t="array" ref="I18">delta_call(E18,A18,0.4,B18,D18,C18)</f>
        <v>0.86250236443085071</v>
      </c>
      <c r="J18" cm="1">
        <f t="array" ref="J18">delta_call(E18,A18,0.5,B18,D18,C18)</f>
        <v>0.80357079474515403</v>
      </c>
      <c r="K18" cm="1">
        <f t="array" ref="K18">delta_call(E18,A18,0.6,B18,D18,C18)</f>
        <v>0.74112434014610118</v>
      </c>
      <c r="L18" cm="1">
        <f t="array" ref="L18">delta_call(E18,A18,0.7,B18,D18,C18)</f>
        <v>0.67887488889479874</v>
      </c>
      <c r="M18" cm="1">
        <f t="array" ref="M18">delta_call(E18,A18,0.8,B18,D18,C18)</f>
        <v>0.61903040291174249</v>
      </c>
      <c r="N18" cm="1">
        <f t="array" ref="N18">delta_call(E18,A18,0.9,B18,D18,C18)</f>
        <v>0.56276170458081798</v>
      </c>
      <c r="O18" cm="1">
        <f t="array" ref="O18">delta_call(E18,A18,1,B18,D18,C18)</f>
        <v>0.51059294023350899</v>
      </c>
      <c r="P18" cm="1">
        <f t="array" ref="P18">delta_call(E18,A18,2,B18,D18,C18)</f>
        <v>0.18829107554601021</v>
      </c>
      <c r="Q18" cm="1">
        <f t="array" ref="Q18">delta_call(E18,A18,3,B18,D18,C18)</f>
        <v>7.0580529977304962E-2</v>
      </c>
      <c r="R18" cm="1">
        <f t="array" ref="R18">delta_call(E18,A18,4,B18,D18,C18)</f>
        <v>2.7063317796179657E-2</v>
      </c>
      <c r="S18" cm="1">
        <f t="array" ref="S18">delta_call(E18,A18,5,B18,D18,C18)</f>
        <v>1.0554256986220194E-2</v>
      </c>
    </row>
    <row r="19" spans="1:29" x14ac:dyDescent="0.3">
      <c r="A19">
        <v>100</v>
      </c>
      <c r="B19">
        <f t="shared" si="0"/>
        <v>0.01</v>
      </c>
      <c r="C19">
        <v>0.2</v>
      </c>
      <c r="D19">
        <v>0.25</v>
      </c>
      <c r="E19" s="5">
        <v>140</v>
      </c>
      <c r="F19" cm="1">
        <f t="array" ref="F19">delta_call(E19,A19,0.1,B19,D19,C19)</f>
        <v>0.97530958928464095</v>
      </c>
      <c r="G19" cm="1">
        <f t="array" ref="G19">delta_call(E19,A19,0.2,B19,D19,C19)</f>
        <v>0.95071780255102711</v>
      </c>
      <c r="H19" cm="1">
        <f t="array" ref="H19">delta_call(E19,A19,0.3,B19,D19,C19)</f>
        <v>0.9214595277961426</v>
      </c>
      <c r="I19" cm="1">
        <f t="array" ref="I19">delta_call(E19,A19,0.4,B19,D19,C19)</f>
        <v>0.88244719911086666</v>
      </c>
      <c r="J19" cm="1">
        <f t="array" ref="J19">delta_call(E19,A19,0.5,B19,D19,C19)</f>
        <v>0.83427363918867758</v>
      </c>
      <c r="K19" cm="1">
        <f t="array" ref="K19">delta_call(E19,A19,0.6,B19,D19,C19)</f>
        <v>0.78028303904220975</v>
      </c>
      <c r="L19" cm="1">
        <f t="array" ref="L19">delta_call(E19,A19,0.7,B19,D19,C19)</f>
        <v>0.72382111276594396</v>
      </c>
      <c r="M19" cm="1">
        <f t="array" ref="M19">delta_call(E19,A19,0.8,B19,D19,C19)</f>
        <v>0.6673952806056298</v>
      </c>
      <c r="N19" cm="1">
        <f t="array" ref="N19">delta_call(E19,A19,0.9,B19,D19,C19)</f>
        <v>0.61265971657634766</v>
      </c>
      <c r="O19" cm="1">
        <f t="array" ref="O19">delta_call(E19,A19,1,B19,D19,C19)</f>
        <v>0.56061062319257837</v>
      </c>
      <c r="P19" cm="1">
        <f t="array" ref="P19">delta_call(E19,A19,2,B19,D19,C19)</f>
        <v>0.21663629528274558</v>
      </c>
      <c r="Q19" cm="1">
        <f t="array" ref="Q19">delta_call(E19,A19,3,B19,D19,C19)</f>
        <v>8.2742718768296281E-2</v>
      </c>
      <c r="R19" cm="1">
        <f t="array" ref="R19">delta_call(E19,A19,4,B19,D19,C19)</f>
        <v>3.2043002269135326E-2</v>
      </c>
      <c r="S19" cm="1">
        <f t="array" ref="S19">delta_call(E19,A19,5,B19,D19,C19)</f>
        <v>1.2572734342355871E-2</v>
      </c>
    </row>
    <row r="22" spans="1:29" x14ac:dyDescent="0.3">
      <c r="A22" s="1" t="s">
        <v>28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t="s">
        <v>13</v>
      </c>
      <c r="B23" t="s">
        <v>14</v>
      </c>
      <c r="C23" t="s">
        <v>15</v>
      </c>
      <c r="D23" t="s">
        <v>26</v>
      </c>
      <c r="F23" s="7">
        <v>0.1</v>
      </c>
      <c r="G23" s="7">
        <v>0.2</v>
      </c>
      <c r="H23" s="7">
        <v>0.3</v>
      </c>
      <c r="I23" s="7">
        <v>0.4</v>
      </c>
      <c r="J23" s="7">
        <v>0.5</v>
      </c>
      <c r="K23" s="7">
        <v>0.6</v>
      </c>
      <c r="L23" s="7">
        <v>0.7</v>
      </c>
      <c r="M23" s="7">
        <v>0.8</v>
      </c>
      <c r="N23" s="7">
        <v>0.9</v>
      </c>
      <c r="O23" s="7">
        <v>1</v>
      </c>
      <c r="P23" s="7">
        <v>2</v>
      </c>
      <c r="Q23" s="7">
        <v>3</v>
      </c>
      <c r="R23" s="7">
        <v>4</v>
      </c>
      <c r="S23" s="7">
        <v>5</v>
      </c>
    </row>
    <row r="24" spans="1:29" x14ac:dyDescent="0.3">
      <c r="A24">
        <v>100</v>
      </c>
      <c r="B24">
        <f>1/100</f>
        <v>0.01</v>
      </c>
      <c r="C24">
        <v>0.2</v>
      </c>
      <c r="D24">
        <v>0.25</v>
      </c>
      <c r="E24" s="5">
        <v>60</v>
      </c>
      <c r="F24" cm="1">
        <f t="array" ref="F24">theta_call(E24,A24,0.1,B24,D24,C24)</f>
        <v>-2.6036367367549619E-15</v>
      </c>
      <c r="G24" cm="1">
        <f t="array" ref="G24">theta_call(E24,A24,0.2,B24,D24,C24)</f>
        <v>-1.865886509654628E-8</v>
      </c>
      <c r="H24" cm="1">
        <f t="array" ref="H24">theta_call(E24,A24,0.3,B24,D24,C24)</f>
        <v>-2.9303134784563057E-6</v>
      </c>
      <c r="I24" cm="1">
        <f t="array" ref="I24">theta_call(E24,A24,0.4,B24,D24,C24)</f>
        <v>-3.22054798771075E-5</v>
      </c>
      <c r="J24" cm="1">
        <f t="array" ref="J24">theta_call(E24,A24,0.5,B24,D24,C24)</f>
        <v>-1.2313982176650112E-4</v>
      </c>
      <c r="K24" cm="1">
        <f t="array" ref="K24">theta_call(E24,A24,0.6,B24,D24,C24)</f>
        <v>-2.7862029883157682E-4</v>
      </c>
      <c r="L24" cm="1">
        <f t="array" ref="L24">theta_call(E24,A24,0.7,B24,D24,C24)</f>
        <v>-4.6767973798172486E-4</v>
      </c>
      <c r="M24" cm="1">
        <f t="array" ref="M24">theta_call(E24,A24,0.8,B24,D24,C24)</f>
        <v>-6.5144492443320104E-4</v>
      </c>
      <c r="N24" cm="1">
        <f t="array" ref="N24">theta_call(E24,A24,0.9,B24,D24,C24)</f>
        <v>-8.0082143091966297E-4</v>
      </c>
      <c r="O24" cm="1">
        <f t="array" ref="O24">theta_call(E24,A24,1,B24,D24,C24)</f>
        <v>-9.0095191623730292E-4</v>
      </c>
      <c r="P24" cm="1">
        <f t="array" ref="P24">theta_call(E24,A24,2,B24,D24,C24)</f>
        <v>-2.2201562492710995E-4</v>
      </c>
      <c r="Q24" cm="1">
        <f t="array" ref="Q24">theta_call(E24,A24,3,B24,D24,C24)</f>
        <v>3.1035610418745155E-4</v>
      </c>
      <c r="R24" cm="1">
        <f t="array" ref="R24">theta_call(E24,A24,4,B24,D24,C24)</f>
        <v>3.0031193514854448E-4</v>
      </c>
      <c r="S24" cm="1">
        <f t="array" ref="S24">theta_call(E24,A24,5,B24,D24,C24)</f>
        <v>1.8455838257887725E-4</v>
      </c>
    </row>
    <row r="25" spans="1:29" x14ac:dyDescent="0.3">
      <c r="A25">
        <v>100</v>
      </c>
      <c r="B25">
        <f t="shared" ref="B25:B40" si="1">1/100</f>
        <v>0.01</v>
      </c>
      <c r="C25">
        <v>0.2</v>
      </c>
      <c r="D25">
        <v>0.25</v>
      </c>
      <c r="E25" s="5">
        <v>65</v>
      </c>
      <c r="F25" cm="1">
        <f t="array" ref="F25">theta_call(E25,A25,0.1,B25,D25,C25)</f>
        <v>-5.31822936806731E-11</v>
      </c>
      <c r="G25" cm="1">
        <f t="array" ref="G25">theta_call(E25,A25,0.2,B25,D25,C25)</f>
        <v>-3.3755082940011735E-6</v>
      </c>
      <c r="H25" cm="1">
        <f t="array" ref="H25">theta_call(E25,A25,0.3,B25,D25,C25)</f>
        <v>-1.0853672905690139E-4</v>
      </c>
      <c r="I25" cm="1">
        <f t="array" ref="I25">theta_call(E25,A25,0.4,B25,D25,C25)</f>
        <v>-5.3539024821894232E-4</v>
      </c>
      <c r="J25" cm="1">
        <f t="array" ref="J25">theta_call(E25,A25,0.5,B25,D25,C25)</f>
        <v>-1.2570200461454397E-3</v>
      </c>
      <c r="K25" cm="1">
        <f t="array" ref="K25">theta_call(E25,A25,0.6,B25,D25,C25)</f>
        <v>-2.041379091531615E-3</v>
      </c>
      <c r="L25" cm="1">
        <f t="array" ref="L25">theta_call(E25,A25,0.7,B25,D25,C25)</f>
        <v>-2.6864540603520354E-3</v>
      </c>
      <c r="M25" cm="1">
        <f t="array" ref="M25">theta_call(E25,A25,0.8,B25,D25,C25)</f>
        <v>-3.0970419524486287E-3</v>
      </c>
      <c r="N25" cm="1">
        <f t="array" ref="N25">theta_call(E25,A25,0.9,B25,D25,C25)</f>
        <v>-3.2626082298230696E-3</v>
      </c>
      <c r="O25" cm="1">
        <f t="array" ref="O25">theta_call(E25,A25,1,B25,D25,C25)</f>
        <v>-3.2178989573789073E-3</v>
      </c>
      <c r="P25" cm="1">
        <f t="array" ref="P25">theta_call(E25,A25,2,B25,D25,C25)</f>
        <v>1.239688362002847E-4</v>
      </c>
      <c r="Q25" cm="1">
        <f t="array" ref="Q25">theta_call(E25,A25,3,B25,D25,C25)</f>
        <v>1.0758212227312495E-3</v>
      </c>
      <c r="R25" cm="1">
        <f t="array" ref="R25">theta_call(E25,A25,4,B25,D25,C25)</f>
        <v>7.9197011791825363E-4</v>
      </c>
      <c r="S25" cm="1">
        <f t="array" ref="S25">theta_call(E25,A25,5,B25,D25,C25)</f>
        <v>4.3590166091382197E-4</v>
      </c>
    </row>
    <row r="26" spans="1:29" x14ac:dyDescent="0.3">
      <c r="A26">
        <v>100</v>
      </c>
      <c r="B26">
        <f t="shared" si="1"/>
        <v>0.01</v>
      </c>
      <c r="C26">
        <v>0.2</v>
      </c>
      <c r="D26">
        <v>0.25</v>
      </c>
      <c r="E26" s="5">
        <v>70</v>
      </c>
      <c r="F26" cm="1">
        <f t="array" ref="F26">theta_call(E26,A26,0.1,B26,D26,C26)</f>
        <v>-1.2400785650577935E-7</v>
      </c>
      <c r="G26" cm="1">
        <f t="array" ref="G26">theta_call(E26,A26,0.2,B26,D26,C26)</f>
        <v>-2.0094817018947284E-4</v>
      </c>
      <c r="H26" cm="1">
        <f t="array" ref="H26">theta_call(E26,A26,0.3,B26,D26,C26)</f>
        <v>-1.8772204424062047E-3</v>
      </c>
      <c r="I26" cm="1">
        <f t="array" ref="I26">theta_call(E26,A26,0.4,B26,D26,C26)</f>
        <v>-4.9384561117148708E-3</v>
      </c>
      <c r="J26" cm="1">
        <f t="array" ref="J26">theta_call(E26,A26,0.5,B26,D26,C26)</f>
        <v>-7.8764126182614743E-3</v>
      </c>
      <c r="K26" cm="1">
        <f t="array" ref="K26">theta_call(E26,A26,0.6,B26,D26,C26)</f>
        <v>-9.793481233468012E-3</v>
      </c>
      <c r="L26" cm="1">
        <f t="array" ref="L26">theta_call(E26,A26,0.7,B26,D26,C26)</f>
        <v>-1.0548008937211389E-2</v>
      </c>
      <c r="M26" cm="1">
        <f t="array" ref="M26">theta_call(E26,A26,0.8,B26,D26,C26)</f>
        <v>-1.0352724282156327E-2</v>
      </c>
      <c r="N26" cm="1">
        <f t="array" ref="N26">theta_call(E26,A26,0.9,B26,D26,C26)</f>
        <v>-9.5049394763907016E-3</v>
      </c>
      <c r="O26" cm="1">
        <f t="array" ref="O26">theta_call(E26,A26,1,B26,D26,C26)</f>
        <v>-8.2717316020113861E-3</v>
      </c>
      <c r="P26" cm="1">
        <f t="array" ref="P26">theta_call(E26,A26,2,B26,D26,C26)</f>
        <v>2.0870696500120862E-3</v>
      </c>
      <c r="Q26" cm="1">
        <f t="array" ref="Q26">theta_call(E26,A26,3,B26,D26,C26)</f>
        <v>2.9948688605416912E-3</v>
      </c>
      <c r="R26" cm="1">
        <f t="array" ref="R26">theta_call(E26,A26,4,B26,D26,C26)</f>
        <v>1.8406993184205585E-3</v>
      </c>
      <c r="S26" cm="1">
        <f t="array" ref="S26">theta_call(E26,A26,5,B26,D26,C26)</f>
        <v>9.31528683701351E-4</v>
      </c>
    </row>
    <row r="27" spans="1:29" x14ac:dyDescent="0.3">
      <c r="A27">
        <v>100</v>
      </c>
      <c r="B27">
        <f t="shared" si="1"/>
        <v>0.01</v>
      </c>
      <c r="C27">
        <v>0.2</v>
      </c>
      <c r="D27">
        <v>0.25</v>
      </c>
      <c r="E27" s="5">
        <v>75</v>
      </c>
      <c r="F27" cm="1">
        <f t="array" ref="F27">theta_call(E27,A27,0.1,B27,D27,C27)</f>
        <v>-4.8824521477853255E-5</v>
      </c>
      <c r="G27" cm="1">
        <f t="array" ref="G27">theta_call(E27,A27,0.2,B27,D27,C27)</f>
        <v>-4.7832829293610549E-3</v>
      </c>
      <c r="H27" cm="1">
        <f t="array" ref="H27">theta_call(E27,A27,0.3,B27,D27,C27)</f>
        <v>-1.7226684337983765E-2</v>
      </c>
      <c r="I27" cm="1">
        <f t="array" ref="I27">theta_call(E27,A27,0.4,B27,D27,C27)</f>
        <v>-2.7727976678248785E-2</v>
      </c>
      <c r="J27" cm="1">
        <f t="array" ref="J27">theta_call(E27,A27,0.5,B27,D27,C27)</f>
        <v>-3.2480266775106868E-2</v>
      </c>
      <c r="K27" cm="1">
        <f t="array" ref="K27">theta_call(E27,A27,0.6,B27,D27,C27)</f>
        <v>-3.2403820955470709E-2</v>
      </c>
      <c r="L27" cm="1">
        <f t="array" ref="L27">theta_call(E27,A27,0.7,B27,D27,C27)</f>
        <v>-2.9337991576645364E-2</v>
      </c>
      <c r="M27" cm="1">
        <f t="array" ref="M27">theta_call(E27,A27,0.8,B27,D27,C27)</f>
        <v>-2.4782206724775144E-2</v>
      </c>
      <c r="N27" cm="1">
        <f t="array" ref="N27">theta_call(E27,A27,0.9,B27,D27,C27)</f>
        <v>-1.9725571021959182E-2</v>
      </c>
      <c r="O27" cm="1">
        <f t="array" ref="O27">theta_call(E27,A27,1,B27,D27,C27)</f>
        <v>-1.4753215160845976E-2</v>
      </c>
      <c r="P27" cm="1">
        <f t="array" ref="P27">theta_call(E27,A27,2,B27,D27,C27)</f>
        <v>8.2980358296802087E-3</v>
      </c>
      <c r="Q27" cm="1">
        <f t="array" ref="Q27">theta_call(E27,A27,3,B27,D27,C27)</f>
        <v>7.1623343757056673E-3</v>
      </c>
      <c r="R27" cm="1">
        <f t="array" ref="R27">theta_call(E27,A27,4,B27,D27,C27)</f>
        <v>3.8676427822292008E-3</v>
      </c>
      <c r="S27" cm="1">
        <f t="array" ref="S27">theta_call(E27,A27,5,B27,D27,C27)</f>
        <v>1.8333094618686878E-3</v>
      </c>
    </row>
    <row r="28" spans="1:29" x14ac:dyDescent="0.3">
      <c r="A28">
        <v>100</v>
      </c>
      <c r="B28">
        <f t="shared" si="1"/>
        <v>0.01</v>
      </c>
      <c r="C28">
        <v>0.2</v>
      </c>
      <c r="D28">
        <v>0.25</v>
      </c>
      <c r="E28" s="5">
        <v>80</v>
      </c>
      <c r="F28" cm="1">
        <f t="array" ref="F28">theta_call(E28,A28,0.1,B28,D28,C28)</f>
        <v>-4.3851854323984849E-3</v>
      </c>
      <c r="G28" cm="1">
        <f t="array" ref="G28">theta_call(E28,A28,0.2,B28,D28,C28)</f>
        <v>-5.269263461537492E-2</v>
      </c>
      <c r="H28" cm="1">
        <f t="array" ref="H28">theta_call(E28,A28,0.3,B28,D28,C28)</f>
        <v>-9.1929679662852731E-2</v>
      </c>
      <c r="I28" cm="1">
        <f t="array" ref="I28">theta_call(E28,A28,0.4,B28,D28,C28)</f>
        <v>-0.10073263223443132</v>
      </c>
      <c r="J28" cm="1">
        <f t="array" ref="J28">theta_call(E28,A28,0.5,B28,D28,C28)</f>
        <v>-9.1572589012195699E-2</v>
      </c>
      <c r="K28" cm="1">
        <f t="array" ref="K28">theta_call(E28,A28,0.6,B28,D28,C28)</f>
        <v>-7.5131755477687218E-2</v>
      </c>
      <c r="L28" cm="1">
        <f t="array" ref="L28">theta_call(E28,A28,0.7,B28,D28,C28)</f>
        <v>-5.7159698923715946E-2</v>
      </c>
      <c r="M28" cm="1">
        <f t="array" ref="M28">theta_call(E28,A28,0.8,B28,D28,C28)</f>
        <v>-4.0313565664054252E-2</v>
      </c>
      <c r="N28" cm="1">
        <f t="array" ref="N28">theta_call(E28,A28,0.9,B28,D28,C28)</f>
        <v>-2.5637488030850392E-2</v>
      </c>
      <c r="O28" cm="1">
        <f t="array" ref="O28">theta_call(E28,A28,1,B28,D28,C28)</f>
        <v>-1.3389492484550208E-2</v>
      </c>
      <c r="P28" cm="1">
        <f t="array" ref="P28">theta_call(E28,A28,2,B28,D28,C28)</f>
        <v>2.3514805132762023E-2</v>
      </c>
      <c r="Q28" cm="1">
        <f t="array" ref="Q28">theta_call(E28,A28,3,B28,D28,C28)</f>
        <v>1.5264507521888578E-2</v>
      </c>
      <c r="R28" cm="1">
        <f t="array" ref="R28">theta_call(E28,A28,4,B28,D28,C28)</f>
        <v>7.481773785075866E-3</v>
      </c>
      <c r="S28" cm="1">
        <f t="array" ref="S28">theta_call(E28,A28,5,B28,D28,C28)</f>
        <v>3.3677963817411241E-3</v>
      </c>
    </row>
    <row r="29" spans="1:29" x14ac:dyDescent="0.3">
      <c r="A29">
        <v>100</v>
      </c>
      <c r="B29">
        <f t="shared" si="1"/>
        <v>0.01</v>
      </c>
      <c r="C29">
        <v>0.2</v>
      </c>
      <c r="D29">
        <v>0.25</v>
      </c>
      <c r="E29" s="5">
        <v>85</v>
      </c>
      <c r="F29" cm="1">
        <f t="array" ref="F29">theta_call(E29,A29,0.1,B29,D29,C29)</f>
        <v>-0.11317960031610007</v>
      </c>
      <c r="G29" cm="1">
        <f t="array" ref="G29">theta_call(E29,A29,0.2,B29,D29,C29)</f>
        <v>-0.2982352550009133</v>
      </c>
      <c r="H29" cm="1">
        <f t="array" ref="H29">theta_call(E29,A29,0.3,B29,D29,C29)</f>
        <v>-0.3016370296536019</v>
      </c>
      <c r="I29" cm="1">
        <f t="array" ref="I29">theta_call(E29,A29,0.4,B29,D29,C29)</f>
        <v>-0.24209597086660761</v>
      </c>
      <c r="J29" cm="1">
        <f t="array" ref="J29">theta_call(E29,A29,0.5,B29,D29,C29)</f>
        <v>-0.17428060460689454</v>
      </c>
      <c r="K29" cm="1">
        <f t="array" ref="K29">theta_call(E29,A29,0.6,B29,D29,C29)</f>
        <v>-0.11454436662153389</v>
      </c>
      <c r="L29" cm="1">
        <f t="array" ref="L29">theta_call(E29,A29,0.7,B29,D29,C29)</f>
        <v>-6.6298310012170236E-2</v>
      </c>
      <c r="M29" cm="1">
        <f t="array" ref="M29">theta_call(E29,A29,0.8,B29,D29,C29)</f>
        <v>-2.8910049627328571E-2</v>
      </c>
      <c r="N29" cm="1">
        <f t="array" ref="N29">theta_call(E29,A29,0.9,B29,D29,C29)</f>
        <v>-6.7881797726054849E-4</v>
      </c>
      <c r="O29" cm="1">
        <f t="array" ref="O29">theta_call(E29,A29,1,B29,D29,C29)</f>
        <v>2.0179947332810311E-2</v>
      </c>
      <c r="P29" cm="1">
        <f t="array" ref="P29">theta_call(E29,A29,2,B29,D29,C29)</f>
        <v>5.5169366371053158E-2</v>
      </c>
      <c r="Q29" cm="1">
        <f t="array" ref="Q29">theta_call(E29,A29,3,B29,D29,C29)</f>
        <v>2.9678703318374328E-2</v>
      </c>
      <c r="R29" cm="1">
        <f t="array" ref="R29">theta_call(E29,A29,4,B29,D29,C29)</f>
        <v>1.3507598980074555E-2</v>
      </c>
      <c r="S29" cm="1">
        <f t="array" ref="S29">theta_call(E29,A29,5,B29,D29,C29)</f>
        <v>5.8355065948512211E-3</v>
      </c>
    </row>
    <row r="30" spans="1:29" x14ac:dyDescent="0.3">
      <c r="A30">
        <v>100</v>
      </c>
      <c r="B30">
        <f t="shared" si="1"/>
        <v>0.01</v>
      </c>
      <c r="C30">
        <v>0.2</v>
      </c>
      <c r="D30">
        <v>0.25</v>
      </c>
      <c r="E30" s="5">
        <v>90</v>
      </c>
      <c r="F30" cm="1">
        <f t="array" ref="F30">theta_call(E30,A30,0.1,B30,D30,C30)</f>
        <v>-0.99363616825690915</v>
      </c>
      <c r="G30" cm="1">
        <f t="array" ref="G30">theta_call(E30,A30,0.2,B30,D30,C30)</f>
        <v>-0.91742019185421064</v>
      </c>
      <c r="H30" cm="1">
        <f t="array" ref="H30">theta_call(E30,A30,0.3,B30,D30,C30)</f>
        <v>-0.60745765953444808</v>
      </c>
      <c r="I30" cm="1">
        <f t="array" ref="I30">theta_call(E30,A30,0.4,B30,D30,C30)</f>
        <v>-0.35983259865252992</v>
      </c>
      <c r="J30" cm="1">
        <f t="array" ref="J30">theta_call(E30,A30,0.5,B30,D30,C30)</f>
        <v>-0.18489438772165534</v>
      </c>
      <c r="K30" cm="1">
        <f t="array" ref="K30">theta_call(E30,A30,0.6,B30,D30,C30)</f>
        <v>-6.4626970051786969E-2</v>
      </c>
      <c r="L30" cm="1">
        <f t="array" ref="L30">theta_call(E30,A30,0.7,B30,D30,C30)</f>
        <v>1.7106637393845325E-2</v>
      </c>
      <c r="M30" cm="1">
        <f t="array" ref="M30">theta_call(E30,A30,0.8,B30,D30,C30)</f>
        <v>7.1921885175118883E-2</v>
      </c>
      <c r="N30" cm="1">
        <f t="array" ref="N30">theta_call(E30,A30,0.9,B30,D30,C30)</f>
        <v>0.10786220217571585</v>
      </c>
      <c r="O30" cm="1">
        <f t="array" ref="O30">theta_call(E30,A30,1,B30,D30,C30)</f>
        <v>0.13049244257151837</v>
      </c>
      <c r="P30" cm="1">
        <f t="array" ref="P30">theta_call(E30,A30,2,B30,D30,C30)</f>
        <v>0.11357615884319505</v>
      </c>
      <c r="Q30" cm="1">
        <f t="array" ref="Q30">theta_call(E30,A30,3,B30,D30,C30)</f>
        <v>5.3516288063437292E-2</v>
      </c>
      <c r="R30" cm="1">
        <f t="array" ref="R30">theta_call(E30,A30,4,B30,D30,C30)</f>
        <v>2.3000974885943735E-2</v>
      </c>
      <c r="S30" cm="1">
        <f t="array" ref="S30">theta_call(E30,A30,5,B30,D30,C30)</f>
        <v>9.6173326985388458E-3</v>
      </c>
    </row>
    <row r="31" spans="1:29" x14ac:dyDescent="0.3">
      <c r="A31">
        <v>100</v>
      </c>
      <c r="B31">
        <f t="shared" si="1"/>
        <v>0.01</v>
      </c>
      <c r="C31">
        <v>0.2</v>
      </c>
      <c r="D31">
        <v>0.25</v>
      </c>
      <c r="E31" s="5">
        <v>95</v>
      </c>
      <c r="F31" cm="1">
        <f t="array" ref="F31">theta_call(E31,A31,0.1,B31,D31,C31)</f>
        <v>-3.2283670815726402</v>
      </c>
      <c r="G31" cm="1">
        <f t="array" ref="G31">theta_call(E31,A31,0.2,B31,D31,C31)</f>
        <v>-1.4559565629451798</v>
      </c>
      <c r="H31" cm="1">
        <f t="array" ref="H31">theta_call(E31,A31,0.3,B31,D31,C31)</f>
        <v>-0.60596566011527431</v>
      </c>
      <c r="I31" cm="1">
        <f t="array" ref="I31">theta_call(E31,A31,0.4,B31,D31,C31)</f>
        <v>-0.15740759432307838</v>
      </c>
      <c r="J31" cm="1">
        <f t="array" ref="J31">theta_call(E31,A31,0.5,B31,D31,C31)</f>
        <v>9.3824661946612764E-2</v>
      </c>
      <c r="K31" cm="1">
        <f t="array" ref="K31">theta_call(E31,A31,0.6,B31,D31,C31)</f>
        <v>0.23738939370794521</v>
      </c>
      <c r="L31" cm="1">
        <f t="array" ref="L31">theta_call(E31,A31,0.7,B31,D31,C31)</f>
        <v>0.31805121441228001</v>
      </c>
      <c r="M31" cm="1">
        <f t="array" ref="M31">theta_call(E31,A31,0.8,B31,D31,C31)</f>
        <v>0.36030607277462412</v>
      </c>
      <c r="N31" cm="1">
        <f t="array" ref="N31">theta_call(E31,A31,0.9,B31,D31,C31)</f>
        <v>0.37846880744772582</v>
      </c>
      <c r="O31" cm="1">
        <f t="array" ref="O31">theta_call(E31,A31,1,B31,D31,C31)</f>
        <v>0.38131578930871624</v>
      </c>
      <c r="P31" cm="1">
        <f t="array" ref="P31">theta_call(E31,A31,2,B31,D31,C31)</f>
        <v>0.21168411932142345</v>
      </c>
      <c r="Q31" cm="1">
        <f t="array" ref="Q31">theta_call(E31,A31,3,B31,D31,C31)</f>
        <v>9.0597350368474633E-2</v>
      </c>
      <c r="R31" cm="1">
        <f t="array" ref="R31">theta_call(E31,A31,4,B31,D31,C31)</f>
        <v>3.7250859403139228E-2</v>
      </c>
      <c r="S31" cm="1">
        <f t="array" ref="S31">theta_call(E31,A31,5,B31,D31,C31)</f>
        <v>1.5177539410835758E-2</v>
      </c>
    </row>
    <row r="32" spans="1:29" x14ac:dyDescent="0.3">
      <c r="A32">
        <v>100</v>
      </c>
      <c r="B32">
        <f t="shared" si="1"/>
        <v>0.01</v>
      </c>
      <c r="C32">
        <v>0.2</v>
      </c>
      <c r="D32">
        <v>0.25</v>
      </c>
      <c r="E32" s="5">
        <v>100</v>
      </c>
      <c r="F32" cm="1">
        <f t="array" ref="F32">theta_call(E32,A32,0.1,B32,D32,C32)</f>
        <v>-3.0479501675292582</v>
      </c>
      <c r="G32" cm="1">
        <f t="array" ref="G32">theta_call(E32,A32,0.2,B32,D32,C32)</f>
        <v>-0.3946372027528593</v>
      </c>
      <c r="H32" cm="1">
        <f t="array" ref="H32">theta_call(E32,A32,0.3,B32,D32,C32)</f>
        <v>0.46694512328334259</v>
      </c>
      <c r="I32" cm="1">
        <f t="array" ref="I32">theta_call(E32,A32,0.4,B32,D32,C32)</f>
        <v>0.81679109499679292</v>
      </c>
      <c r="J32" cm="1">
        <f t="array" ref="J32">theta_call(E32,A32,0.5,B32,D32,C32)</f>
        <v>0.95789841157930988</v>
      </c>
      <c r="K32" cm="1">
        <f t="array" ref="K32">theta_call(E32,A32,0.6,B32,D32,C32)</f>
        <v>0.99955419302221982</v>
      </c>
      <c r="L32" cm="1">
        <f t="array" ref="L32">theta_call(E32,A32,0.7,B32,D32,C32)</f>
        <v>0.99014290202551392</v>
      </c>
      <c r="M32" cm="1">
        <f t="array" ref="M32">theta_call(E32,A32,0.8,B32,D32,C32)</f>
        <v>0.95383411260141004</v>
      </c>
      <c r="N32" cm="1">
        <f t="array" ref="N32">theta_call(E32,A32,0.9,B32,D32,C32)</f>
        <v>0.90366285141211655</v>
      </c>
      <c r="O32" cm="1">
        <f t="array" ref="O32">theta_call(E32,A32,1,B32,D32,C32)</f>
        <v>0.8470130562342626</v>
      </c>
      <c r="P32" cm="1">
        <f t="array" ref="P32">theta_call(E32,A32,2,B32,D32,C32)</f>
        <v>0.36436565469348747</v>
      </c>
      <c r="Q32" cm="1">
        <f t="array" ref="Q32">theta_call(E32,A32,3,B32,D32,C32)</f>
        <v>0.14535633655404745</v>
      </c>
      <c r="R32" cm="1">
        <f t="array" ref="R32">theta_call(E32,A32,4,B32,D32,C32)</f>
        <v>5.7766530864655427E-2</v>
      </c>
      <c r="S32" cm="1">
        <f t="array" ref="S32">theta_call(E32,A32,5,B32,D32,C32)</f>
        <v>2.3063139874630677E-2</v>
      </c>
    </row>
    <row r="33" spans="1:29" x14ac:dyDescent="0.3">
      <c r="A33">
        <v>100</v>
      </c>
      <c r="B33">
        <f t="shared" si="1"/>
        <v>0.01</v>
      </c>
      <c r="C33">
        <v>0.2</v>
      </c>
      <c r="D33">
        <v>0.25</v>
      </c>
      <c r="E33" s="5">
        <v>105</v>
      </c>
      <c r="F33" cm="1">
        <f t="array" ref="F33">theta_call(E33,A33,0.1,B33,D33,C33)</f>
        <v>4.5492234375912002</v>
      </c>
      <c r="G33" cm="1">
        <f t="array" ref="G33">theta_call(E33,A33,0.2,B33,D33,C33)</f>
        <v>3.6344012122312979</v>
      </c>
      <c r="H33" cm="1">
        <f t="array" ref="H33">theta_call(E33,A33,0.3,B33,D33,C33)</f>
        <v>3.252274727960212</v>
      </c>
      <c r="I33" cm="1">
        <f t="array" ref="I33">theta_call(E33,A33,0.4,B33,D33,C33)</f>
        <v>2.9406867057319364</v>
      </c>
      <c r="J33" cm="1">
        <f t="array" ref="J33">theta_call(E33,A33,0.5,B33,D33,C33)</f>
        <v>2.6594580684399736</v>
      </c>
      <c r="K33" cm="1">
        <f t="array" ref="K33">theta_call(E33,A33,0.6,B33,D33,C33)</f>
        <v>2.4032466155949956</v>
      </c>
      <c r="L33" cm="1">
        <f t="array" ref="L33">theta_call(E33,A33,0.7,B33,D33,C33)</f>
        <v>2.1705288916762986</v>
      </c>
      <c r="M33" cm="1">
        <f t="array" ref="M33">theta_call(E33,A33,0.8,B33,D33,C33)</f>
        <v>1.9598871986338229</v>
      </c>
      <c r="N33" cm="1">
        <f t="array" ref="N33">theta_call(E33,A33,0.9,B33,D33,C33)</f>
        <v>1.7696886750588083</v>
      </c>
      <c r="O33" cm="1">
        <f t="array" ref="O33">theta_call(E33,A33,1,B33,D33,C33)</f>
        <v>1.598198188290449</v>
      </c>
      <c r="P33" cm="1">
        <f t="array" ref="P33">theta_call(E33,A33,2,B33,D33,C33)</f>
        <v>0.5873423423360381</v>
      </c>
      <c r="Q33" cm="1">
        <f t="array" ref="Q33">theta_call(E33,A33,3,B33,D33,C33)</f>
        <v>0.222687924663246</v>
      </c>
      <c r="R33" cm="1">
        <f t="array" ref="R33">theta_call(E33,A33,4,B33,D33,C33)</f>
        <v>8.6251331495966421E-2</v>
      </c>
      <c r="S33" cm="1">
        <f t="array" ref="S33">theta_call(E33,A33,5,B33,D33,C33)</f>
        <v>3.3899748210523425E-2</v>
      </c>
    </row>
    <row r="34" spans="1:29" x14ac:dyDescent="0.3">
      <c r="A34">
        <v>100</v>
      </c>
      <c r="B34">
        <f t="shared" si="1"/>
        <v>0.01</v>
      </c>
      <c r="C34">
        <v>0.2</v>
      </c>
      <c r="D34">
        <v>0.25</v>
      </c>
      <c r="E34" s="5">
        <v>110</v>
      </c>
      <c r="F34" cm="1">
        <f t="array" ref="F34">theta_call(E34,A34,0.1,B34,D34,C34)</f>
        <v>15.739030189741394</v>
      </c>
      <c r="G34" cm="1">
        <f t="array" ref="G34">theta_call(E34,A34,0.2,B34,D34,C34)</f>
        <v>10.148135223436594</v>
      </c>
      <c r="H34" cm="1">
        <f t="array" ref="H34">theta_call(E34,A34,0.3,B34,D34,C34)</f>
        <v>7.7114369881785905</v>
      </c>
      <c r="I34" cm="1">
        <f t="array" ref="I34">theta_call(E34,A34,0.4,B34,D34,C34)</f>
        <v>6.2725397180536557</v>
      </c>
      <c r="J34" cm="1">
        <f t="array" ref="J34">theta_call(E34,A34,0.5,B34,D34,C34)</f>
        <v>5.2779441139449341</v>
      </c>
      <c r="K34" cm="1">
        <f t="array" ref="K34">theta_call(E34,A34,0.6,B34,D34,C34)</f>
        <v>4.5280447839746216</v>
      </c>
      <c r="L34" cm="1">
        <f t="array" ref="L34">theta_call(E34,A34,0.7,B34,D34,C34)</f>
        <v>3.9326922914065081</v>
      </c>
      <c r="M34" cm="1">
        <f t="array" ref="M34">theta_call(E34,A34,0.8,B34,D34,C34)</f>
        <v>3.4443346184849437</v>
      </c>
      <c r="N34" cm="1">
        <f t="array" ref="N34">theta_call(E34,A34,0.9,B34,D34,C34)</f>
        <v>3.0348926907505969</v>
      </c>
      <c r="O34" cm="1">
        <f t="array" ref="O34">theta_call(E34,A34,1,B34,D34,C34)</f>
        <v>2.6863201124131901</v>
      </c>
      <c r="P34" cm="1">
        <f t="array" ref="P34">theta_call(E34,A34,2,B34,D34,C34)</f>
        <v>0.89591801038231744</v>
      </c>
      <c r="Q34" cm="1">
        <f t="array" ref="Q34">theta_call(E34,A34,3,B34,D34,C34)</f>
        <v>0.32774948649726038</v>
      </c>
      <c r="R34" cm="1">
        <f t="array" ref="R34">theta_call(E34,A34,4,B34,D34,C34)</f>
        <v>0.12456515118830694</v>
      </c>
      <c r="S34" cm="1">
        <f t="array" ref="S34">theta_call(E34,A34,5,B34,D34,C34)</f>
        <v>4.8384247845202802E-2</v>
      </c>
    </row>
    <row r="35" spans="1:29" x14ac:dyDescent="0.3">
      <c r="A35">
        <v>100</v>
      </c>
      <c r="B35">
        <f t="shared" si="1"/>
        <v>0.01</v>
      </c>
      <c r="C35">
        <v>0.2</v>
      </c>
      <c r="D35">
        <v>0.25</v>
      </c>
      <c r="E35" s="5">
        <v>115</v>
      </c>
      <c r="F35" cm="1">
        <f t="array" ref="F35">theta_call(E35,A35,0.1,B35,D35,C35)</f>
        <v>23.697670788308809</v>
      </c>
      <c r="G35" cm="1">
        <f t="array" ref="G35">theta_call(E35,A35,0.2,B35,D35,C35)</f>
        <v>17.120280125834537</v>
      </c>
      <c r="H35" cm="1">
        <f t="array" ref="H35">theta_call(E35,A35,0.3,B35,D35,C35)</f>
        <v>13.084416127015619</v>
      </c>
      <c r="I35" cm="1">
        <f t="array" ref="I35">theta_call(E35,A35,0.4,B35,D35,C35)</f>
        <v>10.488035941503885</v>
      </c>
      <c r="J35" cm="1">
        <f t="array" ref="J35">theta_call(E35,A35,0.5,B35,D35,C35)</f>
        <v>8.6698508301874782</v>
      </c>
      <c r="K35" cm="1">
        <f t="array" ref="K35">theta_call(E35,A35,0.6,B35,D35,C35)</f>
        <v>7.3146003008812128</v>
      </c>
      <c r="L35" cm="1">
        <f t="array" ref="L35">theta_call(E35,A35,0.7,B35,D35,C35)</f>
        <v>6.2592187175572809</v>
      </c>
      <c r="M35" cm="1">
        <f t="array" ref="M35">theta_call(E35,A35,0.8,B35,D35,C35)</f>
        <v>5.4113625998398431</v>
      </c>
      <c r="N35" cm="1">
        <f t="array" ref="N35">theta_call(E35,A35,0.9,B35,D35,C35)</f>
        <v>4.7145784549575342</v>
      </c>
      <c r="O35" cm="1">
        <f t="array" ref="O35">theta_call(E35,A35,1,B35,D35,C35)</f>
        <v>4.1321338158944361</v>
      </c>
      <c r="P35" cm="1">
        <f t="array" ref="P35">theta_call(E35,A35,2,B35,D35,C35)</f>
        <v>1.3037125712888427</v>
      </c>
      <c r="Q35" cm="1">
        <f t="array" ref="Q35">theta_call(E35,A35,3,B35,D35,C35)</f>
        <v>0.46574004921017054</v>
      </c>
      <c r="R35" cm="1">
        <f t="array" ref="R35">theta_call(E35,A35,4,B35,D35,C35)</f>
        <v>0.17467859230694541</v>
      </c>
      <c r="S35" cm="1">
        <f t="array" ref="S35">theta_call(E35,A35,5,B35,D35,C35)</f>
        <v>6.7274786740269488E-2</v>
      </c>
    </row>
    <row r="36" spans="1:29" x14ac:dyDescent="0.3">
      <c r="A36">
        <v>100</v>
      </c>
      <c r="B36">
        <f t="shared" si="1"/>
        <v>0.01</v>
      </c>
      <c r="C36">
        <v>0.2</v>
      </c>
      <c r="D36">
        <v>0.25</v>
      </c>
      <c r="E36" s="5">
        <v>120</v>
      </c>
      <c r="F36" cm="1">
        <f t="array" ref="F36">theta_call(E36,A36,0.1,B36,D36,C36)</f>
        <v>27.506322178977879</v>
      </c>
      <c r="G36" cm="1">
        <f t="array" ref="G36">theta_call(E36,A36,0.2,B36,D36,C36)</f>
        <v>22.787138467550086</v>
      </c>
      <c r="H36" cm="1">
        <f t="array" ref="H36">theta_call(E36,A36,0.3,B36,D36,C36)</f>
        <v>18.373929821847049</v>
      </c>
      <c r="I36" cm="1">
        <f t="array" ref="I36">theta_call(E36,A36,0.4,B36,D36,C36)</f>
        <v>15.036173777615796</v>
      </c>
      <c r="J36" cm="1">
        <f t="array" ref="J36">theta_call(E36,A36,0.5,B36,D36,C36)</f>
        <v>12.52233335031155</v>
      </c>
      <c r="K36" cm="1">
        <f t="array" ref="K36">theta_call(E36,A36,0.6,B36,D36,C36)</f>
        <v>10.58175028701862</v>
      </c>
      <c r="L36" cm="1">
        <f t="array" ref="L36">theta_call(E36,A36,0.7,B36,D36,C36)</f>
        <v>9.0449505547196623</v>
      </c>
      <c r="M36" cm="1">
        <f t="array" ref="M36">theta_call(E36,A36,0.8,B36,D36,C36)</f>
        <v>7.8012612631565448</v>
      </c>
      <c r="N36" cm="1">
        <f t="array" ref="N36">theta_call(E36,A36,0.9,B36,D36,C36)</f>
        <v>6.7769228499821148</v>
      </c>
      <c r="O36" cm="1">
        <f t="array" ref="O36">theta_call(E36,A36,1,B36,D36,C36)</f>
        <v>5.9212108019140386</v>
      </c>
      <c r="P36" cm="1">
        <f t="array" ref="P36">theta_call(E36,A36,2,B36,D36,C36)</f>
        <v>1.821569121890491</v>
      </c>
      <c r="Q36" cm="1">
        <f t="array" ref="Q36">theta_call(E36,A36,3,B36,D36,C36)</f>
        <v>0.64167593968275027</v>
      </c>
      <c r="R36" cm="1">
        <f t="array" ref="R36">theta_call(E36,A36,4,B36,D36,C36)</f>
        <v>0.23862206168448236</v>
      </c>
      <c r="S36" cm="1">
        <f t="array" ref="S36">theta_call(E36,A36,5,B36,D36,C36)</f>
        <v>9.1378711522749831E-2</v>
      </c>
    </row>
    <row r="37" spans="1:29" x14ac:dyDescent="0.3">
      <c r="A37">
        <v>100</v>
      </c>
      <c r="B37">
        <f t="shared" si="1"/>
        <v>0.01</v>
      </c>
      <c r="C37">
        <v>0.2</v>
      </c>
      <c r="D37">
        <v>0.25</v>
      </c>
      <c r="E37" s="5">
        <v>125</v>
      </c>
      <c r="F37" cm="1">
        <f t="array" ref="F37">theta_call(E37,A37,0.1,B37,D37,C37)</f>
        <v>29.358076538940004</v>
      </c>
      <c r="G37" cm="1">
        <f t="array" ref="G37">theta_call(E37,A37,0.2,B37,D37,C37)</f>
        <v>26.652941616322746</v>
      </c>
      <c r="H37" cm="1">
        <f t="array" ref="H37">theta_call(E37,A37,0.3,B37,D37,C37)</f>
        <v>22.868009212016208</v>
      </c>
      <c r="I37" cm="1">
        <f t="array" ref="I37">theta_call(E37,A37,0.4,B37,D37,C37)</f>
        <v>19.380116884031736</v>
      </c>
      <c r="J37" cm="1">
        <f t="array" ref="J37">theta_call(E37,A37,0.5,B37,D37,C37)</f>
        <v>16.46800940226014</v>
      </c>
      <c r="K37" cm="1">
        <f t="array" ref="K37">theta_call(E37,A37,0.6,B37,D37,C37)</f>
        <v>14.083308068874231</v>
      </c>
      <c r="L37" cm="1">
        <f t="array" ref="L37">theta_call(E37,A37,0.7,B37,D37,C37)</f>
        <v>12.12566828333283</v>
      </c>
      <c r="M37" cm="1">
        <f t="array" ref="M37">theta_call(E37,A37,0.8,B37,D37,C37)</f>
        <v>10.504865546728514</v>
      </c>
      <c r="N37" cm="1">
        <f t="array" ref="N37">theta_call(E37,A37,0.9,B37,D37,C37)</f>
        <v>9.1499641787755515</v>
      </c>
      <c r="O37" cm="1">
        <f t="array" ref="O37">theta_call(E37,A37,1,B37,D37,C37)</f>
        <v>8.0069501539411565</v>
      </c>
      <c r="P37" cm="1">
        <f t="array" ref="P37">theta_call(E37,A37,2,B37,D37,C37)</f>
        <v>2.4567570838653872</v>
      </c>
      <c r="Q37" cm="1">
        <f t="array" ref="Q37">theta_call(E37,A37,3,B37,D37,C37)</f>
        <v>0.86018101717969175</v>
      </c>
      <c r="R37" cm="1">
        <f t="array" ref="R37">theta_call(E37,A37,4,B37,D37,C37)</f>
        <v>0.31843298891569277</v>
      </c>
      <c r="S37" cm="1">
        <f t="array" ref="S37">theta_call(E37,A37,5,B37,D37,C37)</f>
        <v>0.12153909081608046</v>
      </c>
    </row>
    <row r="38" spans="1:29" x14ac:dyDescent="0.3">
      <c r="A38">
        <v>100</v>
      </c>
      <c r="B38">
        <f t="shared" si="1"/>
        <v>0.01</v>
      </c>
      <c r="C38">
        <v>0.2</v>
      </c>
      <c r="D38">
        <v>0.25</v>
      </c>
      <c r="E38" s="5">
        <v>130</v>
      </c>
      <c r="F38" cm="1">
        <f t="array" ref="F38">theta_call(E38,A38,0.1,B38,D38,C38)</f>
        <v>30.682692454308036</v>
      </c>
      <c r="G38" cm="1">
        <f t="array" ref="G38">theta_call(E38,A38,0.2,B38,D38,C38)</f>
        <v>29.135948997816197</v>
      </c>
      <c r="H38" cm="1">
        <f t="array" ref="H38">theta_call(E38,A38,0.3,B38,D38,C38)</f>
        <v>26.33190779569037</v>
      </c>
      <c r="I38" cm="1">
        <f t="array" ref="I38">theta_call(E38,A38,0.4,B38,D38,C38)</f>
        <v>23.16856594429294</v>
      </c>
      <c r="J38" cm="1">
        <f t="array" ref="J38">theta_call(E38,A38,0.5,B38,D38,C38)</f>
        <v>20.194817789870424</v>
      </c>
      <c r="K38" cm="1">
        <f t="array" ref="K38">theta_call(E38,A38,0.6,B38,D38,C38)</f>
        <v>17.574551333367054</v>
      </c>
      <c r="L38" cm="1">
        <f t="array" ref="L38">theta_call(E38,A38,0.7,B38,D38,C38)</f>
        <v>15.31801298970079</v>
      </c>
      <c r="M38" cm="1">
        <f t="array" ref="M38">theta_call(E38,A38,0.8,B38,D38,C38)</f>
        <v>13.387590013295313</v>
      </c>
      <c r="N38" cm="1">
        <f t="array" ref="N38">theta_call(E38,A38,0.9,B38,D38,C38)</f>
        <v>11.736096379180042</v>
      </c>
      <c r="O38" cm="1">
        <f t="array" ref="O38">theta_call(E38,A38,1,B38,D38,C38)</f>
        <v>10.319280311429322</v>
      </c>
      <c r="P38" cm="1">
        <f t="array" ref="P38">theta_call(E38,A38,2,B38,D38,C38)</f>
        <v>3.212532921364609</v>
      </c>
      <c r="Q38" cm="1">
        <f t="array" ref="Q38">theta_call(E38,A38,3,B38,D38,C38)</f>
        <v>1.1253055121557751</v>
      </c>
      <c r="R38" cm="1">
        <f t="array" ref="R38">theta_call(E38,A38,4,B38,D38,C38)</f>
        <v>0.41610406156310287</v>
      </c>
      <c r="S38" cm="1">
        <f t="array" ref="S38">theta_call(E38,A38,5,B38,D38,C38)</f>
        <v>0.15862046584601719</v>
      </c>
    </row>
    <row r="39" spans="1:29" x14ac:dyDescent="0.3">
      <c r="A39">
        <v>100</v>
      </c>
      <c r="B39">
        <f t="shared" si="1"/>
        <v>0.01</v>
      </c>
      <c r="C39">
        <v>0.2</v>
      </c>
      <c r="D39">
        <v>0.25</v>
      </c>
      <c r="E39" s="5">
        <v>135</v>
      </c>
      <c r="F39" cm="1">
        <f t="array" ref="F39">theta_call(E39,A39,0.1,B39,D39,C39)</f>
        <v>31.914484599348683</v>
      </c>
      <c r="G39" cm="1">
        <f t="array" ref="G39">theta_call(E39,A39,0.2,B39,D39,C39)</f>
        <v>30.847503097363266</v>
      </c>
      <c r="H39" cm="1">
        <f t="array" ref="H39">theta_call(E39,A39,0.3,B39,D39,C39)</f>
        <v>28.889671099662802</v>
      </c>
      <c r="I39" cm="1">
        <f t="array" ref="I39">theta_call(E39,A39,0.4,B39,D39,C39)</f>
        <v>26.277289393458226</v>
      </c>
      <c r="J39" cm="1">
        <f t="array" ref="J39">theta_call(E39,A39,0.5,B39,D39,C39)</f>
        <v>23.507335498681872</v>
      </c>
      <c r="K39" cm="1">
        <f t="array" ref="K39">theta_call(E39,A39,0.6,B39,D39,C39)</f>
        <v>20.862574341969196</v>
      </c>
      <c r="L39" cm="1">
        <f t="array" ref="L39">theta_call(E39,A39,0.7,B39,D39,C39)</f>
        <v>18.45583284859902</v>
      </c>
      <c r="M39" cm="1">
        <f t="array" ref="M39">theta_call(E39,A39,0.8,B39,D39,C39)</f>
        <v>16.314526619284202</v>
      </c>
      <c r="N39" cm="1">
        <f t="array" ref="N39">theta_call(E39,A39,0.9,B39,D39,C39)</f>
        <v>14.429094681781816</v>
      </c>
      <c r="O39" cm="1">
        <f t="array" ref="O39">theta_call(E39,A39,1,B39,D39,C39)</f>
        <v>12.77611171964795</v>
      </c>
      <c r="P39" cm="1">
        <f t="array" ref="P39">theta_call(E39,A39,2,B39,D39,C39)</f>
        <v>4.0880619215297198</v>
      </c>
      <c r="Q39" cm="1">
        <f t="array" ref="Q39">theta_call(E39,A39,3,B39,D39,C39)</f>
        <v>1.4403828941569228</v>
      </c>
      <c r="R39" cm="1">
        <f t="array" ref="R39">theta_call(E39,A39,4,B39,D39,C39)</f>
        <v>0.53353489211831173</v>
      </c>
      <c r="S39" cm="1">
        <f t="array" ref="S39">theta_call(E39,A39,5,B39,D39,C39)</f>
        <v>0.20349441689857628</v>
      </c>
    </row>
    <row r="40" spans="1:29" x14ac:dyDescent="0.3">
      <c r="A40">
        <v>100</v>
      </c>
      <c r="B40">
        <f t="shared" si="1"/>
        <v>0.01</v>
      </c>
      <c r="C40">
        <v>0.2</v>
      </c>
      <c r="D40">
        <v>0.25</v>
      </c>
      <c r="E40" s="5">
        <v>140</v>
      </c>
      <c r="F40" cm="1">
        <f t="array" ref="F40">theta_call(E40,A40,0.1,B40,D40,C40)</f>
        <v>33.134761859334589</v>
      </c>
      <c r="G40" cm="1">
        <f t="array" ref="G40">theta_call(E40,A40,0.2,B40,D40,C40)</f>
        <v>32.217238797103015</v>
      </c>
      <c r="H40" cm="1">
        <f t="array" ref="H40">theta_call(E40,A40,0.3,B40,D40,C40)</f>
        <v>30.80838915137679</v>
      </c>
      <c r="I40" cm="1">
        <f t="array" ref="I40">theta_call(E40,A40,0.4,B40,D40,C40)</f>
        <v>28.754217842750098</v>
      </c>
      <c r="J40" cm="1">
        <f t="array" ref="J40">theta_call(E40,A40,0.5,B40,D40,C40)</f>
        <v>26.333344859784443</v>
      </c>
      <c r="K40" cm="1">
        <f t="array" ref="K40">theta_call(E40,A40,0.6,B40,D40,C40)</f>
        <v>23.829238422634187</v>
      </c>
      <c r="L40" cm="1">
        <f t="array" ref="L40">theta_call(E40,A40,0.7,B40,D40,C40)</f>
        <v>21.413729705569349</v>
      </c>
      <c r="M40" cm="1">
        <f t="array" ref="M40">theta_call(E40,A40,0.8,B40,D40,C40)</f>
        <v>19.170099471325209</v>
      </c>
      <c r="N40" cm="1">
        <f t="array" ref="N40">theta_call(E40,A40,0.9,B40,D40,C40)</f>
        <v>17.129297564170869</v>
      </c>
      <c r="O40" cm="1">
        <f t="array" ref="O40">theta_call(E40,A40,1,B40,D40,C40)</f>
        <v>15.294644395388348</v>
      </c>
      <c r="P40" cm="1">
        <f t="array" ref="P40">theta_call(E40,A40,2,B40,D40,C40)</f>
        <v>5.078659106676465</v>
      </c>
      <c r="Q40" cm="1">
        <f t="array" ref="Q40">theta_call(E40,A40,3,B40,D40,C40)</f>
        <v>1.8079296193046159</v>
      </c>
      <c r="R40" cm="1">
        <f t="array" ref="R40">theta_call(E40,A40,4,B40,D40,C40)</f>
        <v>0.67248897282974629</v>
      </c>
      <c r="S40" cm="1">
        <f t="array" ref="S40">theta_call(E40,A40,5,B40,D40,C40)</f>
        <v>0.25702546007141458</v>
      </c>
    </row>
    <row r="42" spans="1:29" x14ac:dyDescent="0.3">
      <c r="A42" s="2" t="s">
        <v>29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 x14ac:dyDescent="0.3">
      <c r="A43" t="s">
        <v>13</v>
      </c>
      <c r="B43" t="s">
        <v>14</v>
      </c>
      <c r="C43" t="s">
        <v>15</v>
      </c>
      <c r="D43" t="s">
        <v>26</v>
      </c>
      <c r="F43" s="7">
        <v>0.1</v>
      </c>
      <c r="G43" s="7">
        <v>0.2</v>
      </c>
      <c r="H43" s="7">
        <v>0.3</v>
      </c>
      <c r="I43" s="7">
        <v>0.4</v>
      </c>
      <c r="J43" s="7">
        <v>0.5</v>
      </c>
      <c r="K43" s="7">
        <v>0.6</v>
      </c>
      <c r="L43" s="7">
        <v>0.7</v>
      </c>
      <c r="M43" s="7">
        <v>0.8</v>
      </c>
      <c r="N43" s="7">
        <v>0.9</v>
      </c>
      <c r="O43" s="7">
        <v>1</v>
      </c>
      <c r="P43" s="7">
        <v>2</v>
      </c>
      <c r="Q43" s="7">
        <v>3</v>
      </c>
      <c r="R43" s="7">
        <v>4</v>
      </c>
      <c r="S43" s="7">
        <v>5</v>
      </c>
    </row>
    <row r="44" spans="1:29" x14ac:dyDescent="0.3">
      <c r="A44">
        <v>100</v>
      </c>
      <c r="B44">
        <f>1/100</f>
        <v>0.01</v>
      </c>
      <c r="C44">
        <v>0.2</v>
      </c>
      <c r="D44">
        <v>0.25</v>
      </c>
      <c r="E44" s="5">
        <v>60</v>
      </c>
      <c r="F44" cm="1">
        <f t="array" ref="F44">gamma_new(E44,A44,0.1,B44,D44,C44)</f>
        <v>3.968946827266569E-17</v>
      </c>
      <c r="G44" cm="1">
        <f t="array" ref="G44">gamma_new(E44,A44,0.2,B44,D44,C44)</f>
        <v>3.1182054309642287E-10</v>
      </c>
      <c r="H44" cm="1">
        <f t="array" ref="H44">gamma_new(E44,A44,0.3,B44,D44,C44)</f>
        <v>5.366433955645121E-8</v>
      </c>
      <c r="I44" cm="1">
        <f t="array" ref="I44">gamma_new(E44,A44,0.4,B44,D44,C44)</f>
        <v>6.4649277974643437E-7</v>
      </c>
      <c r="J44" cm="1">
        <f t="array" ref="J44">gamma_new(E44,A44,0.5,B44,D44,C44)</f>
        <v>2.711840585359362E-6</v>
      </c>
      <c r="K44" cm="1">
        <f t="array" ref="K44">gamma_new(E44,A44,0.6,B44,D44,C44)</f>
        <v>6.741136628683681E-6</v>
      </c>
      <c r="L44" cm="1">
        <f t="array" ref="L44">gamma_new(E44,A44,0.7,B44,D44,C44)</f>
        <v>1.2456825922256613E-5</v>
      </c>
      <c r="M44" cm="1">
        <f t="array" ref="M44">gamma_new(E44,A44,0.8,B44,D44,C44)</f>
        <v>1.9153102066064735E-5</v>
      </c>
      <c r="N44" cm="1">
        <f t="array" ref="N44">gamma_new(E44,A44,0.9,B44,D44,C44)</f>
        <v>2.6078178660373954E-5</v>
      </c>
      <c r="O44" cm="1">
        <f t="array" ref="O44">gamma_new(E44,A44,1,B44,D44,C44)</f>
        <v>3.2633495184996683E-5</v>
      </c>
      <c r="P44" cm="1">
        <f t="array" ref="P44">gamma_new(E44,A44,2,B44,D44,C44)</f>
        <v>5.0131935599468889E-5</v>
      </c>
      <c r="Q44" cm="1">
        <f t="array" ref="Q44">gamma_new(E44,A44,3,B44,D44,C44)</f>
        <v>2.9980781469379697E-5</v>
      </c>
      <c r="R44" cm="1">
        <f t="array" ref="R44">gamma_new(E44,A44,4,B44,D44,C44)</f>
        <v>1.4491046236655149E-5</v>
      </c>
      <c r="S44" cm="1">
        <f t="array" ref="S44">gamma_new(E44,A44,5,B44,D44,C44)</f>
        <v>6.4886107214008179E-6</v>
      </c>
    </row>
    <row r="45" spans="1:29" x14ac:dyDescent="0.3">
      <c r="A45">
        <v>100</v>
      </c>
      <c r="B45">
        <f t="shared" ref="B45:B60" si="2">1/100</f>
        <v>0.01</v>
      </c>
      <c r="C45">
        <v>0.2</v>
      </c>
      <c r="D45">
        <v>0.25</v>
      </c>
      <c r="E45" s="5">
        <v>65</v>
      </c>
      <c r="F45" cm="1">
        <f t="array" ref="F45">gamma_new(E45,A45,0.1,B45,D45,C45)</f>
        <v>7.0249263178681343E-13</v>
      </c>
      <c r="G45" cm="1">
        <f t="array" ref="G45">gamma_new(E45,A45,0.2,B45,D45,C45)</f>
        <v>4.9670977766036743E-8</v>
      </c>
      <c r="H45" cm="1">
        <f t="array" ref="H45">gamma_new(E45,A45,0.3,B45,D45,C45)</f>
        <v>1.778119474911967E-6</v>
      </c>
      <c r="I45" cm="1">
        <f t="array" ref="I45">gamma_new(E45,A45,0.4,B45,D45,C45)</f>
        <v>9.7696141293750386E-6</v>
      </c>
      <c r="J45" cm="1">
        <f t="array" ref="J45">gamma_new(E45,A45,0.5,B45,D45,C45)</f>
        <v>2.5585919973430196E-5</v>
      </c>
      <c r="K45" cm="1">
        <f t="array" ref="K45">gamma_new(E45,A45,0.6,B45,D45,C45)</f>
        <v>4.6460667327907417E-5</v>
      </c>
      <c r="L45" cm="1">
        <f t="array" ref="L45">gamma_new(E45,A45,0.7,B45,D45,C45)</f>
        <v>6.8602850512210144E-5</v>
      </c>
      <c r="M45" cm="1">
        <f t="array" ref="M45">gamma_new(E45,A45,0.8,B45,D45,C45)</f>
        <v>8.9147820102550803E-5</v>
      </c>
      <c r="N45" cm="1">
        <f t="array" ref="N45">gamma_new(E45,A45,0.9,B45,D45,C45)</f>
        <v>1.0649321987654199E-4</v>
      </c>
      <c r="O45" cm="1">
        <f t="array" ref="O45">gamma_new(E45,A45,1,B45,D45,C45)</f>
        <v>1.2001810649110855E-4</v>
      </c>
      <c r="P45" cm="1">
        <f t="array" ref="P45">gamma_new(E45,A45,2,B45,D45,C45)</f>
        <v>1.1511205364985823E-4</v>
      </c>
      <c r="Q45" cm="1">
        <f t="array" ref="Q45">gamma_new(E45,A45,3,B45,D45,C45)</f>
        <v>5.8837877016625303E-5</v>
      </c>
      <c r="R45" cm="1">
        <f t="array" ref="R45">gamma_new(E45,A45,4,B45,D45,C45)</f>
        <v>2.629163810197895E-5</v>
      </c>
      <c r="S45" cm="1">
        <f t="array" ref="S45">gamma_new(E45,A45,5,B45,D45,C45)</f>
        <v>1.1230832194377014E-5</v>
      </c>
    </row>
    <row r="46" spans="1:29" x14ac:dyDescent="0.3">
      <c r="A46">
        <v>100</v>
      </c>
      <c r="B46">
        <f t="shared" si="2"/>
        <v>0.01</v>
      </c>
      <c r="C46">
        <v>0.2</v>
      </c>
      <c r="D46">
        <v>0.25</v>
      </c>
      <c r="E46" s="5">
        <v>70</v>
      </c>
      <c r="F46" cm="1">
        <f t="array" ref="F46">gamma_new(E46,A46,0.1,B46,D46,C46)</f>
        <v>1.4437203737747399E-9</v>
      </c>
      <c r="G46" cm="1">
        <f t="array" ref="G46">gamma_new(E46,A46,0.2,B46,D46,C46)</f>
        <v>2.6603507701901088E-6</v>
      </c>
      <c r="H46" cm="1">
        <f t="array" ref="H46">gamma_new(E46,A46,0.3,B46,D46,C46)</f>
        <v>2.8235496313038712E-5</v>
      </c>
      <c r="I46" cm="1">
        <f t="array" ref="I46">gamma_new(E46,A46,0.4,B46,D46,C46)</f>
        <v>8.4471663156840163E-5</v>
      </c>
      <c r="J46" cm="1">
        <f t="array" ref="J46">gamma_new(E46,A46,0.5,B46,D46,C46)</f>
        <v>1.5361518905768076E-4</v>
      </c>
      <c r="K46" cm="1">
        <f t="array" ref="K46">gamma_new(E46,A46,0.6,B46,D46,C46)</f>
        <v>2.187349719007744E-4</v>
      </c>
      <c r="L46" cm="1">
        <f t="array" ref="L46">gamma_new(E46,A46,0.7,B46,D46,C46)</f>
        <v>2.7148518031806708E-4</v>
      </c>
      <c r="M46" cm="1">
        <f t="array" ref="M46">gamma_new(E46,A46,0.8,B46,D46,C46)</f>
        <v>3.0970133879967615E-4</v>
      </c>
      <c r="N46" cm="1">
        <f t="array" ref="N46">gamma_new(E46,A46,0.9,B46,D46,C46)</f>
        <v>3.3431369754505338E-4</v>
      </c>
      <c r="O46" cm="1">
        <f t="array" ref="O46">gamma_new(E46,A46,1,B46,D46,C46)</f>
        <v>3.4743924252378562E-4</v>
      </c>
      <c r="P46" cm="1">
        <f t="array" ref="P46">gamma_new(E46,A46,2,B46,D46,C46)</f>
        <v>2.3139415739295056E-4</v>
      </c>
      <c r="Q46" cm="1">
        <f t="array" ref="Q46">gamma_new(E46,A46,3,B46,D46,C46)</f>
        <v>1.0473417366671057E-4</v>
      </c>
      <c r="R46" cm="1">
        <f t="array" ref="R46">gamma_new(E46,A46,4,B46,D46,C46)</f>
        <v>4.4040168991122425E-5</v>
      </c>
      <c r="S46" cm="1">
        <f t="array" ref="S46">gamma_new(E46,A46,5,B46,D46,C46)</f>
        <v>1.813857721756336E-5</v>
      </c>
    </row>
    <row r="47" spans="1:29" x14ac:dyDescent="0.3">
      <c r="A47">
        <v>100</v>
      </c>
      <c r="B47">
        <f t="shared" si="2"/>
        <v>0.01</v>
      </c>
      <c r="C47">
        <v>0.2</v>
      </c>
      <c r="D47">
        <v>0.25</v>
      </c>
      <c r="E47" s="5">
        <v>75</v>
      </c>
      <c r="F47" cm="1">
        <f t="array" ref="F47">gamma_new(E47,A47,0.1,B47,D47,C47)</f>
        <v>5.1014571438124393E-7</v>
      </c>
      <c r="G47" cm="1">
        <f t="array" ref="G47">gamma_new(E47,A47,0.2,B47,D47,C47)</f>
        <v>5.8406574219795041E-5</v>
      </c>
      <c r="H47" cm="1">
        <f t="array" ref="H47">gamma_new(E47,A47,0.3,B47,D47,C47)</f>
        <v>2.4552109664235017E-4</v>
      </c>
      <c r="I47" cm="1">
        <f t="array" ref="I47">gamma_new(E47,A47,0.4,B47,D47,C47)</f>
        <v>4.6226361717271558E-4</v>
      </c>
      <c r="J47" cm="1">
        <f t="array" ref="J47">gamma_new(E47,A47,0.5,B47,D47,C47)</f>
        <v>6.3671340788170325E-4</v>
      </c>
      <c r="K47" cm="1">
        <f t="array" ref="K47">gamma_new(E47,A47,0.6,B47,D47,C47)</f>
        <v>7.5332463859540311E-4</v>
      </c>
      <c r="L47" cm="1">
        <f t="array" ref="L47">gamma_new(E47,A47,0.7,B47,D47,C47)</f>
        <v>8.1912225560903538E-4</v>
      </c>
      <c r="M47" cm="1">
        <f t="array" ref="M47">gamma_new(E47,A47,0.8,B47,D47,C47)</f>
        <v>8.4615450200973131E-4</v>
      </c>
      <c r="N47" cm="1">
        <f t="array" ref="N47">gamma_new(E47,A47,0.9,B47,D47,C47)</f>
        <v>8.4555456288040113E-4</v>
      </c>
      <c r="O47" cm="1">
        <f t="array" ref="O47">gamma_new(E47,A47,1,B47,D47,C47)</f>
        <v>8.2613503438592139E-4</v>
      </c>
      <c r="P47" cm="1">
        <f t="array" ref="P47">gamma_new(E47,A47,2,B47,D47,C47)</f>
        <v>4.1673092191269964E-4</v>
      </c>
      <c r="Q47" cm="1">
        <f t="array" ref="Q47">gamma_new(E47,A47,3,B47,D47,C47)</f>
        <v>1.7193678596420751E-4</v>
      </c>
      <c r="R47" cm="1">
        <f t="array" ref="R47">gamma_new(E47,A47,4,B47,D47,C47)</f>
        <v>6.9026825080655788E-5</v>
      </c>
      <c r="S47" cm="1">
        <f t="array" ref="S47">gamma_new(E47,A47,5,B47,D47,C47)</f>
        <v>2.7650644362052523E-5</v>
      </c>
    </row>
    <row r="48" spans="1:29" x14ac:dyDescent="0.3">
      <c r="A48">
        <v>100</v>
      </c>
      <c r="B48">
        <f t="shared" si="2"/>
        <v>0.01</v>
      </c>
      <c r="C48">
        <v>0.2</v>
      </c>
      <c r="D48">
        <v>0.25</v>
      </c>
      <c r="E48" s="5">
        <v>80</v>
      </c>
      <c r="F48" cm="1">
        <f t="array" ref="F48">gamma_new(E48,A48,0.1,B48,D48,C48)</f>
        <v>4.2028827637078911E-5</v>
      </c>
      <c r="G48" cm="1">
        <f t="array" ref="G48">gamma_new(E48,A48,0.2,B48,D48,C48)</f>
        <v>6.1298927857214905E-4</v>
      </c>
      <c r="H48" cm="1">
        <f t="array" ref="H48">gamma_new(E48,A48,0.3,B48,D48,C48)</f>
        <v>1.2965601334050732E-3</v>
      </c>
      <c r="I48" cm="1">
        <f t="array" ref="I48">gamma_new(E48,A48,0.4,B48,D48,C48)</f>
        <v>1.7316093164677E-3</v>
      </c>
      <c r="J48" cm="1">
        <f t="array" ref="J48">gamma_new(E48,A48,0.5,B48,D48,C48)</f>
        <v>1.9409663532016198E-3</v>
      </c>
      <c r="K48" cm="1">
        <f t="array" ref="K48">gamma_new(E48,A48,0.6,B48,D48,C48)</f>
        <v>2.0016987791062757E-3</v>
      </c>
      <c r="L48" cm="1">
        <f t="array" ref="L48">gamma_new(E48,A48,0.7,B48,D48,C48)</f>
        <v>1.9731168591854194E-3</v>
      </c>
      <c r="M48" cm="1">
        <f t="array" ref="M48">gamma_new(E48,A48,0.8,B48,D48,C48)</f>
        <v>1.8936268278514348E-3</v>
      </c>
      <c r="N48" cm="1">
        <f t="array" ref="N48">gamma_new(E48,A48,0.9,B48,D48,C48)</f>
        <v>1.7870186752424876E-3</v>
      </c>
      <c r="O48" cm="1">
        <f t="array" ref="O48">gamma_new(E48,A48,1,B48,D48,C48)</f>
        <v>1.6678334271744788E-3</v>
      </c>
      <c r="P48" cm="1">
        <f t="array" ref="P48">gamma_new(E48,A48,2,B48,D48,C48)</f>
        <v>6.8465403475804262E-4</v>
      </c>
      <c r="Q48" cm="1">
        <f t="array" ref="Q48">gamma_new(E48,A48,3,B48,D48,C48)</f>
        <v>2.6372756174964561E-4</v>
      </c>
      <c r="R48" cm="1">
        <f t="array" ref="R48">gamma_new(E48,A48,4,B48,D48,C48)</f>
        <v>1.0230344273252959E-4</v>
      </c>
      <c r="S48" cm="1">
        <f t="array" ref="S48">gamma_new(E48,A48,5,B48,D48,C48)</f>
        <v>4.0144771302823301E-5</v>
      </c>
    </row>
    <row r="49" spans="1:29" x14ac:dyDescent="0.3">
      <c r="A49">
        <v>100</v>
      </c>
      <c r="B49">
        <f t="shared" si="2"/>
        <v>0.01</v>
      </c>
      <c r="C49">
        <v>0.2</v>
      </c>
      <c r="D49">
        <v>0.25</v>
      </c>
      <c r="E49" s="5">
        <v>85</v>
      </c>
      <c r="F49" cm="1">
        <f t="array" ref="F49">gamma_new(E49,A49,0.1,B49,D49,C49)</f>
        <v>1.0263322557541152E-3</v>
      </c>
      <c r="G49" cm="1">
        <f t="array" ref="G49">gamma_new(E49,A49,0.2,B49,D49,C49)</f>
        <v>3.4718690944697912E-3</v>
      </c>
      <c r="H49" cm="1">
        <f t="array" ref="H49">gamma_new(E49,A49,0.3,B49,D49,C49)</f>
        <v>4.5119025820299129E-3</v>
      </c>
      <c r="I49" cm="1">
        <f t="array" ref="I49">gamma_new(E49,A49,0.4,B49,D49,C49)</f>
        <v>4.7232970298224366E-3</v>
      </c>
      <c r="J49" cm="1">
        <f t="array" ref="J49">gamma_new(E49,A49,0.5,B49,D49,C49)</f>
        <v>4.5745705187411464E-3</v>
      </c>
      <c r="K49" cm="1">
        <f t="array" ref="K49">gamma_new(E49,A49,0.6,B49,D49,C49)</f>
        <v>4.2797890332987396E-3</v>
      </c>
      <c r="L49" cm="1">
        <f t="array" ref="L49">gamma_new(E49,A49,0.7,B49,D49,C49)</f>
        <v>3.9351016656621962E-3</v>
      </c>
      <c r="M49" cm="1">
        <f t="array" ref="M49">gamma_new(E49,A49,0.8,B49,D49,C49)</f>
        <v>3.5845296891925177E-3</v>
      </c>
      <c r="N49" cm="1">
        <f t="array" ref="N49">gamma_new(E49,A49,0.9,B49,D49,C49)</f>
        <v>3.2481663088873591E-3</v>
      </c>
      <c r="O49" cm="1">
        <f t="array" ref="O49">gamma_new(E49,A49,1,B49,D49,C49)</f>
        <v>2.9346677933546656E-3</v>
      </c>
      <c r="P49" cm="1">
        <f t="array" ref="P49">gamma_new(E49,A49,2,B49,D49,C49)</f>
        <v>1.040912970092781E-3</v>
      </c>
      <c r="Q49" cm="1">
        <f t="array" ref="Q49">gamma_new(E49,A49,3,B49,D49,C49)</f>
        <v>3.8189539929579016E-4</v>
      </c>
      <c r="R49" cm="1">
        <f t="array" ref="R49">gamma_new(E49,A49,4,B49,D49,C49)</f>
        <v>1.4457792423539482E-4</v>
      </c>
      <c r="S49" cm="1">
        <f t="array" ref="S49">gamma_new(E49,A49,5,B49,D49,C49)</f>
        <v>5.591063464344998E-5</v>
      </c>
    </row>
    <row r="50" spans="1:29" x14ac:dyDescent="0.3">
      <c r="A50">
        <v>100</v>
      </c>
      <c r="B50">
        <f t="shared" si="2"/>
        <v>0.01</v>
      </c>
      <c r="C50">
        <v>0.2</v>
      </c>
      <c r="D50">
        <v>0.25</v>
      </c>
      <c r="E50" s="5">
        <v>90</v>
      </c>
      <c r="F50" cm="1">
        <f t="array" ref="F50">gamma_new(E50,A50,0.1,B50,D50,C50)</f>
        <v>8.999328071257022E-3</v>
      </c>
      <c r="G50" cm="1">
        <f t="array" ref="G50">gamma_new(E50,A50,0.2,B50,D50,C50)</f>
        <v>1.1691694486198672E-2</v>
      </c>
      <c r="H50" cm="1">
        <f t="array" ref="H50">gamma_new(E50,A50,0.3,B50,D50,C50)</f>
        <v>1.1044290818540036E-2</v>
      </c>
      <c r="I50" cm="1">
        <f t="array" ref="I50">gamma_new(E50,A50,0.4,B50,D50,C50)</f>
        <v>9.8572410992734394E-3</v>
      </c>
      <c r="J50" cm="1">
        <f t="array" ref="J50">gamma_new(E50,A50,0.5,B50,D50,C50)</f>
        <v>8.6756025839830504E-3</v>
      </c>
      <c r="K50" cm="1">
        <f t="array" ref="K50">gamma_new(E50,A50,0.6,B50,D50,C50)</f>
        <v>7.6149049163205069E-3</v>
      </c>
      <c r="L50" cm="1">
        <f t="array" ref="L50">gamma_new(E50,A50,0.7,B50,D50,C50)</f>
        <v>6.6897089575818237E-3</v>
      </c>
      <c r="M50" cm="1">
        <f t="array" ref="M50">gamma_new(E50,A50,0.8,B50,D50,C50)</f>
        <v>5.8889830729794059E-3</v>
      </c>
      <c r="N50" cm="1">
        <f t="array" ref="N50">gamma_new(E50,A50,0.9,B50,D50,C50)</f>
        <v>5.1963897230403264E-3</v>
      </c>
      <c r="O50" cm="1">
        <f t="array" ref="O50">gamma_new(E50,A50,1,B50,D50,C50)</f>
        <v>4.5960703815260285E-3</v>
      </c>
      <c r="P50" cm="1">
        <f t="array" ref="P50">gamma_new(E50,A50,2,B50,D50,C50)</f>
        <v>1.4814307182781049E-3</v>
      </c>
      <c r="Q50" cm="1">
        <f t="array" ref="Q50">gamma_new(E50,A50,3,B50,D50,C50)</f>
        <v>5.2645075459285459E-4</v>
      </c>
      <c r="R50" cm="1">
        <f t="array" ref="R50">gamma_new(E50,A50,4,B50,D50,C50)</f>
        <v>1.9615008983051767E-4</v>
      </c>
      <c r="S50" cm="1">
        <f t="array" ref="S50">gamma_new(E50,A50,5,B50,D50,C50)</f>
        <v>7.513198589982575E-5</v>
      </c>
    </row>
    <row r="51" spans="1:29" x14ac:dyDescent="0.3">
      <c r="A51">
        <v>100</v>
      </c>
      <c r="B51">
        <f t="shared" si="2"/>
        <v>0.01</v>
      </c>
      <c r="C51">
        <v>0.2</v>
      </c>
      <c r="D51">
        <v>0.25</v>
      </c>
      <c r="E51" s="5">
        <v>95</v>
      </c>
      <c r="F51" cm="1">
        <f t="array" ref="F51">gamma_new(E51,A51,0.1,B51,D51,C51)</f>
        <v>3.3088372538220355E-2</v>
      </c>
      <c r="G51" cm="1">
        <f t="array" ref="G51">gamma_new(E51,A51,0.2,B51,D51,C51)</f>
        <v>2.5318768929752482E-2</v>
      </c>
      <c r="H51" cm="1">
        <f t="array" ref="H51">gamma_new(E51,A51,0.3,B51,D51,C51)</f>
        <v>2.0047931157459828E-2</v>
      </c>
      <c r="I51" cm="1">
        <f t="array" ref="I51">gamma_new(E51,A51,0.4,B51,D51,C51)</f>
        <v>1.6382131519940571E-2</v>
      </c>
      <c r="J51" cm="1">
        <f t="array" ref="J51">gamma_new(E51,A51,0.5,B51,D51,C51)</f>
        <v>1.3674915737962215E-2</v>
      </c>
      <c r="K51" cm="1">
        <f t="array" ref="K51">gamma_new(E51,A51,0.6,B51,D51,C51)</f>
        <v>1.1586781432510768E-2</v>
      </c>
      <c r="L51" cm="1">
        <f t="array" ref="L51">gamma_new(E51,A51,0.7,B51,D51,C51)</f>
        <v>9.9256264205295017E-3</v>
      </c>
      <c r="M51" cm="1">
        <f t="array" ref="M51">gamma_new(E51,A51,0.8,B51,D51,C51)</f>
        <v>8.5739369636966458E-3</v>
      </c>
      <c r="N51" cm="1">
        <f t="array" ref="N51">gamma_new(E51,A51,0.9,B51,D51,C51)</f>
        <v>7.4551361441916849E-3</v>
      </c>
      <c r="O51" cm="1">
        <f t="array" ref="O51">gamma_new(E51,A51,1,B51,D51,C51)</f>
        <v>6.5167587093822336E-3</v>
      </c>
      <c r="P51" cm="1">
        <f t="array" ref="P51">gamma_new(E51,A51,2,B51,D51,C51)</f>
        <v>1.9922154170251703E-3</v>
      </c>
      <c r="Q51" cm="1">
        <f t="array" ref="Q51">gamma_new(E51,A51,3,B51,D51,C51)</f>
        <v>6.9558364740792745E-4</v>
      </c>
      <c r="R51" cm="1">
        <f t="array" ref="R51">gamma_new(E51,A51,4,B51,D51,C51)</f>
        <v>2.5689074158905542E-4</v>
      </c>
      <c r="S51" cm="1">
        <f t="array" ref="S51">gamma_new(E51,A51,5,B51,D51,C51)</f>
        <v>9.7878162471697487E-5</v>
      </c>
    </row>
    <row r="52" spans="1:29" x14ac:dyDescent="0.3">
      <c r="A52">
        <v>100</v>
      </c>
      <c r="B52">
        <f t="shared" si="2"/>
        <v>0.01</v>
      </c>
      <c r="C52">
        <v>0.2</v>
      </c>
      <c r="D52">
        <v>0.25</v>
      </c>
      <c r="E52" s="5">
        <v>100</v>
      </c>
      <c r="F52" cm="1">
        <f t="array" ref="F52">gamma_new(E52,A52,0.1,B52,D52,C52)</f>
        <v>5.7909243554569369E-2</v>
      </c>
      <c r="G52" cm="1">
        <f t="array" ref="G52">gamma_new(E52,A52,0.2,B52,D52,C52)</f>
        <v>3.7592457371113545E-2</v>
      </c>
      <c r="H52" cm="1">
        <f t="array" ref="H52">gamma_new(E52,A52,0.3,B52,D52,C52)</f>
        <v>2.8178826832291146E-2</v>
      </c>
      <c r="I52" cm="1">
        <f t="array" ref="I52">gamma_new(E52,A52,0.4,B52,D52,C52)</f>
        <v>2.2403783215754491E-2</v>
      </c>
      <c r="J52" cm="1">
        <f t="array" ref="J52">gamma_new(E52,A52,0.5,B52,D52,C52)</f>
        <v>1.8396456462405883E-2</v>
      </c>
      <c r="K52" cm="1">
        <f t="array" ref="K52">gamma_new(E52,A52,0.6,B52,D52,C52)</f>
        <v>1.5417408362089793E-2</v>
      </c>
      <c r="L52" cm="1">
        <f t="array" ref="L52">gamma_new(E52,A52,0.7,B52,D52,C52)</f>
        <v>1.3104057881572017E-2</v>
      </c>
      <c r="M52" cm="1">
        <f t="array" ref="M52">gamma_new(E52,A52,0.8,B52,D52,C52)</f>
        <v>1.1253241808330412E-2</v>
      </c>
      <c r="N52" cm="1">
        <f t="array" ref="N52">gamma_new(E52,A52,0.9,B52,D52,C52)</f>
        <v>9.7402299874712328E-3</v>
      </c>
      <c r="O52" cm="1">
        <f t="array" ref="O52">gamma_new(E52,A52,1,B52,D52,C52)</f>
        <v>8.4831723033380359E-3</v>
      </c>
      <c r="P52" cm="1">
        <f t="array" ref="P52">gamma_new(E52,A52,2,B52,D52,C52)</f>
        <v>2.5510649053672261E-3</v>
      </c>
      <c r="Q52" cm="1">
        <f t="array" ref="Q52">gamma_new(E52,A52,3,B52,D52,C52)</f>
        <v>8.8583757234259844E-4</v>
      </c>
      <c r="R52" cm="1">
        <f t="array" ref="R52">gamma_new(E52,A52,4,B52,D52,C52)</f>
        <v>3.262593348014019E-4</v>
      </c>
      <c r="S52" cm="1">
        <f t="array" ref="S52">gamma_new(E52,A52,5,B52,D52,C52)</f>
        <v>1.2410410812274458E-4</v>
      </c>
    </row>
    <row r="53" spans="1:29" x14ac:dyDescent="0.3">
      <c r="A53">
        <v>100</v>
      </c>
      <c r="B53">
        <f t="shared" si="2"/>
        <v>0.01</v>
      </c>
      <c r="C53">
        <v>0.2</v>
      </c>
      <c r="D53">
        <v>0.25</v>
      </c>
      <c r="E53" s="5">
        <v>105</v>
      </c>
      <c r="F53" cm="1">
        <f t="array" ref="F53">gamma_new(E53,A53,0.1,B53,D53,C53)</f>
        <v>5.3563761206307056E-2</v>
      </c>
      <c r="G53" cm="1">
        <f t="array" ref="G53">gamma_new(E53,A53,0.2,B53,D53,C53)</f>
        <v>4.0349506321052615E-2</v>
      </c>
      <c r="H53" cm="1">
        <f t="array" ref="H53">gamma_new(E53,A53,0.3,B53,D53,C53)</f>
        <v>3.1783266528562781E-2</v>
      </c>
      <c r="I53" cm="1">
        <f t="array" ref="I53">gamma_new(E53,A53,0.4,B53,D53,C53)</f>
        <v>2.5903952757563804E-2</v>
      </c>
      <c r="J53" cm="1">
        <f t="array" ref="J53">gamma_new(E53,A53,0.5,B53,D53,C53)</f>
        <v>2.1589385854136535E-2</v>
      </c>
      <c r="K53" cm="1">
        <f t="array" ref="K53">gamma_new(E53,A53,0.6,B53,D53,C53)</f>
        <v>1.8273641878169468E-2</v>
      </c>
      <c r="L53" cm="1">
        <f t="array" ref="L53">gamma_new(E53,A53,0.7,B53,D53,C53)</f>
        <v>1.5642148681203751E-2</v>
      </c>
      <c r="M53" cm="1">
        <f t="array" ref="M53">gamma_new(E53,A53,0.8,B53,D53,C53)</f>
        <v>1.3504419264108235E-2</v>
      </c>
      <c r="N53" cm="1">
        <f t="array" ref="N53">gamma_new(E53,A53,0.9,B53,D53,C53)</f>
        <v>1.1737140842643155E-2</v>
      </c>
      <c r="O53" cm="1">
        <f t="array" ref="O53">gamma_new(E53,A53,1,B53,D53,C53)</f>
        <v>1.0256218550628363E-2</v>
      </c>
      <c r="P53" cm="1">
        <f t="array" ref="P53">gamma_new(E53,A53,2,B53,D53,C53)</f>
        <v>3.1304871141206621E-3</v>
      </c>
      <c r="Q53" cm="1">
        <f t="array" ref="Q53">gamma_new(E53,A53,3,B53,D53,C53)</f>
        <v>1.0924418275613827E-3</v>
      </c>
      <c r="R53" cm="1">
        <f t="array" ref="R53">gamma_new(E53,A53,4,B53,D53,C53)</f>
        <v>4.0335187060091952E-4</v>
      </c>
      <c r="S53" cm="1">
        <f t="array" ref="S53">gamma_new(E53,A53,5,B53,D53,C53)</f>
        <v>1.5365738227243031E-4</v>
      </c>
    </row>
    <row r="54" spans="1:29" x14ac:dyDescent="0.3">
      <c r="A54">
        <v>100</v>
      </c>
      <c r="B54">
        <f t="shared" si="2"/>
        <v>0.01</v>
      </c>
      <c r="C54">
        <v>0.2</v>
      </c>
      <c r="D54">
        <v>0.25</v>
      </c>
      <c r="E54" s="5">
        <v>110</v>
      </c>
      <c r="F54" cm="1">
        <f t="array" ref="F54">gamma_new(E54,A54,0.1,B54,D54,C54)</f>
        <v>2.8567480660084243E-2</v>
      </c>
      <c r="G54" cm="1">
        <f t="array" ref="G54">gamma_new(E54,A54,0.2,B54,D54,C54)</f>
        <v>3.2718718298601845E-2</v>
      </c>
      <c r="H54" cm="1">
        <f t="array" ref="H54">gamma_new(E54,A54,0.3,B54,D54,C54)</f>
        <v>2.9635276278580803E-2</v>
      </c>
      <c r="I54" cm="1">
        <f t="array" ref="I54">gamma_new(E54,A54,0.4,B54,D54,C54)</f>
        <v>2.5900174291440963E-2</v>
      </c>
      <c r="J54" cm="1">
        <f t="array" ref="J54">gamma_new(E54,A54,0.5,B54,D54,C54)</f>
        <v>2.2509852725339091E-2</v>
      </c>
      <c r="K54" cm="1">
        <f t="array" ref="K54">gamma_new(E54,A54,0.6,B54,D54,C54)</f>
        <v>1.9592414194490284E-2</v>
      </c>
      <c r="L54" cm="1">
        <f t="array" ref="L54">gamma_new(E54,A54,0.7,B54,D54,C54)</f>
        <v>1.7108970647084058E-2</v>
      </c>
      <c r="M54" cm="1">
        <f t="array" ref="M54">gamma_new(E54,A54,0.8,B54,D54,C54)</f>
        <v>1.4993459645772282E-2</v>
      </c>
      <c r="N54" cm="1">
        <f t="array" ref="N54">gamma_new(E54,A54,0.9,B54,D54,C54)</f>
        <v>1.3183861271725139E-2</v>
      </c>
      <c r="O54" cm="1">
        <f t="array" ref="O54">gamma_new(E54,A54,1,B54,D54,C54)</f>
        <v>1.1628161850876379E-2</v>
      </c>
      <c r="P54" cm="1">
        <f t="array" ref="P54">gamma_new(E54,A54,2,B54,D54,C54)</f>
        <v>3.7011052868770535E-3</v>
      </c>
      <c r="Q54" cm="1">
        <f t="array" ref="Q54">gamma_new(E54,A54,3,B54,D54,C54)</f>
        <v>1.309733930963079E-3</v>
      </c>
      <c r="R54" cm="1">
        <f t="array" ref="R54">gamma_new(E54,A54,4,B54,D54,C54)</f>
        <v>4.8696915525529486E-4</v>
      </c>
      <c r="S54" cm="1">
        <f t="array" ref="S54">gamma_new(E54,A54,5,B54,D54,C54)</f>
        <v>1.8629035932964599E-4</v>
      </c>
    </row>
    <row r="55" spans="1:29" x14ac:dyDescent="0.3">
      <c r="A55">
        <v>100</v>
      </c>
      <c r="B55">
        <f t="shared" si="2"/>
        <v>0.01</v>
      </c>
      <c r="C55">
        <v>0.2</v>
      </c>
      <c r="D55">
        <v>0.25</v>
      </c>
      <c r="E55" s="5">
        <v>115</v>
      </c>
      <c r="F55" cm="1">
        <f t="array" ref="F55">gamma_new(E55,A55,0.1,B55,D55,C55)</f>
        <v>9.4510957989984417E-3</v>
      </c>
      <c r="G55" cm="1">
        <f t="array" ref="G55">gamma_new(E55,A55,0.2,B55,D55,C55)</f>
        <v>2.0798786332355938E-2</v>
      </c>
      <c r="H55" cm="1">
        <f t="array" ref="H55">gamma_new(E55,A55,0.3,B55,D55,C55)</f>
        <v>2.3420411443485521E-2</v>
      </c>
      <c r="I55" cm="1">
        <f t="array" ref="I55">gamma_new(E55,A55,0.4,B55,D55,C55)</f>
        <v>2.2822338431576009E-2</v>
      </c>
      <c r="J55" cm="1">
        <f t="array" ref="J55">gamma_new(E55,A55,0.5,B55,D55,C55)</f>
        <v>2.11735294312578E-2</v>
      </c>
      <c r="K55" cm="1">
        <f t="array" ref="K55">gamma_new(E55,A55,0.6,B55,D55,C55)</f>
        <v>1.9249405560534082E-2</v>
      </c>
      <c r="L55" cm="1">
        <f t="array" ref="L55">gamma_new(E55,A55,0.7,B55,D55,C55)</f>
        <v>1.7340415985745976E-2</v>
      </c>
      <c r="M55" cm="1">
        <f t="array" ref="M55">gamma_new(E55,A55,0.8,B55,D55,C55)</f>
        <v>1.5554898501416578E-2</v>
      </c>
      <c r="N55" cm="1">
        <f t="array" ref="N55">gamma_new(E55,A55,0.9,B55,D55,C55)</f>
        <v>1.3927930897811979E-2</v>
      </c>
      <c r="O55" cm="1">
        <f t="array" ref="O55">gamma_new(E55,A55,1,B55,D55,C55)</f>
        <v>1.2464015169661075E-2</v>
      </c>
      <c r="P55" cm="1">
        <f t="array" ref="P55">gamma_new(E55,A55,2,B55,D55,C55)</f>
        <v>4.2348837134714703E-3</v>
      </c>
      <c r="Q55" cm="1">
        <f t="array" ref="Q55">gamma_new(E55,A55,3,B55,D55,C55)</f>
        <v>1.5316075953069224E-3</v>
      </c>
      <c r="R55" cm="1">
        <f t="array" ref="R55">gamma_new(E55,A55,4,B55,D55,C55)</f>
        <v>5.7569582214622641E-4</v>
      </c>
      <c r="S55" cm="1">
        <f t="array" ref="S55">gamma_new(E55,A55,5,B55,D55,C55)</f>
        <v>2.2167581777599228E-4</v>
      </c>
    </row>
    <row r="56" spans="1:29" x14ac:dyDescent="0.3">
      <c r="A56">
        <v>100</v>
      </c>
      <c r="B56">
        <f t="shared" si="2"/>
        <v>0.01</v>
      </c>
      <c r="C56">
        <v>0.2</v>
      </c>
      <c r="D56">
        <v>0.25</v>
      </c>
      <c r="E56" s="5">
        <v>120</v>
      </c>
      <c r="F56" cm="1">
        <f t="array" ref="F56">gamma_new(E56,A56,0.1,B56,D56,C56)</f>
        <v>2.0630392618068171E-3</v>
      </c>
      <c r="G56" cm="1">
        <f t="array" ref="G56">gamma_new(E56,A56,0.2,B56,D56,C56)</f>
        <v>1.0693954208401579E-2</v>
      </c>
      <c r="H56" cm="1">
        <f t="array" ref="H56">gamma_new(E56,A56,0.3,B56,D56,C56)</f>
        <v>1.602211507857533E-2</v>
      </c>
      <c r="I56" cm="1">
        <f t="array" ref="I56">gamma_new(E56,A56,0.4,B56,D56,C56)</f>
        <v>1.8009347055731775E-2</v>
      </c>
      <c r="J56" cm="1">
        <f t="array" ref="J56">gamma_new(E56,A56,0.5,B56,D56,C56)</f>
        <v>1.8202816161881415E-2</v>
      </c>
      <c r="K56" cm="1">
        <f t="array" ref="K56">gamma_new(E56,A56,0.6,B56,D56,C56)</f>
        <v>1.7521353373149296E-2</v>
      </c>
      <c r="L56" cm="1">
        <f t="array" ref="L56">gamma_new(E56,A56,0.7,B56,D56,C56)</f>
        <v>1.6440979763929064E-2</v>
      </c>
      <c r="M56" cm="1">
        <f t="array" ref="M56">gamma_new(E56,A56,0.8,B56,D56,C56)</f>
        <v>1.5206307115272712E-2</v>
      </c>
      <c r="N56" cm="1">
        <f t="array" ref="N56">gamma_new(E56,A56,0.9,B56,D56,C56)</f>
        <v>1.3943718160051653E-2</v>
      </c>
      <c r="O56" cm="1">
        <f t="array" ref="O56">gamma_new(E56,A56,1,B56,D56,C56)</f>
        <v>1.2717984599196991E-2</v>
      </c>
      <c r="P56" cm="1">
        <f t="array" ref="P56">gamma_new(E56,A56,2,B56,D56,C56)</f>
        <v>4.707705807071058E-3</v>
      </c>
      <c r="Q56" cm="1">
        <f t="array" ref="Q56">gamma_new(E56,A56,3,B56,D56,C56)</f>
        <v>1.7519343870456353E-3</v>
      </c>
      <c r="R56" cm="1">
        <f t="array" ref="R56">gamma_new(E56,A56,4,B56,D56,C56)</f>
        <v>6.6798183646357657E-4</v>
      </c>
      <c r="S56" cm="1">
        <f t="array" ref="S56">gamma_new(E56,A56,5,B56,D56,C56)</f>
        <v>2.5942429485542378E-4</v>
      </c>
    </row>
    <row r="57" spans="1:29" x14ac:dyDescent="0.3">
      <c r="A57">
        <v>100</v>
      </c>
      <c r="B57">
        <f t="shared" si="2"/>
        <v>0.01</v>
      </c>
      <c r="C57">
        <v>0.2</v>
      </c>
      <c r="D57">
        <v>0.25</v>
      </c>
      <c r="E57" s="5">
        <v>125</v>
      </c>
      <c r="F57" cm="1">
        <f t="array" ref="F57">gamma_new(E57,A57,0.1,B57,D57,C57)</f>
        <v>3.1313916770427428E-4</v>
      </c>
      <c r="G57" cm="1">
        <f t="array" ref="G57">gamma_new(E57,A57,0.2,B57,D57,C57)</f>
        <v>4.5671260250519747E-3</v>
      </c>
      <c r="H57" cm="1">
        <f t="array" ref="H57">gamma_new(E57,A57,0.3,B57,D57,C57)</f>
        <v>9.6601257726927937E-3</v>
      </c>
      <c r="I57" cm="1">
        <f t="array" ref="I57">gamma_new(E57,A57,0.4,B57,D57,C57)</f>
        <v>1.2901494774726749E-2</v>
      </c>
      <c r="J57" cm="1">
        <f t="array" ref="J57">gamma_new(E57,A57,0.5,B57,D57,C57)</f>
        <v>1.4461326250445963E-2</v>
      </c>
      <c r="K57" cm="1">
        <f t="array" ref="K57">gamma_new(E57,A57,0.6,B57,D57,C57)</f>
        <v>1.4913818084495318E-2</v>
      </c>
      <c r="L57" cm="1">
        <f t="array" ref="L57">gamma_new(E57,A57,0.7,B57,D57,C57)</f>
        <v>1.4700866186510151E-2</v>
      </c>
      <c r="M57" cm="1">
        <f t="array" ref="M57">gamma_new(E57,A57,0.8,B57,D57,C57)</f>
        <v>1.4108619301404305E-2</v>
      </c>
      <c r="N57" cm="1">
        <f t="array" ref="N57">gamma_new(E57,A57,0.9,B57,D57,C57)</f>
        <v>1.3314326668102179E-2</v>
      </c>
      <c r="O57" cm="1">
        <f t="array" ref="O57">gamma_new(E57,A57,1,B57,D57,C57)</f>
        <v>1.2426327371407125E-2</v>
      </c>
      <c r="P57" cm="1">
        <f t="array" ref="P57">gamma_new(E57,A57,2,B57,D57,C57)</f>
        <v>5.1010700669738744E-3</v>
      </c>
      <c r="Q57" cm="1">
        <f t="array" ref="Q57">gamma_new(E57,A57,3,B57,D57,C57)</f>
        <v>1.9649234544459378E-3</v>
      </c>
      <c r="R57" cm="1">
        <f t="array" ref="R57">gamma_new(E57,A57,4,B57,D57,C57)</f>
        <v>7.622200454214925E-4</v>
      </c>
      <c r="S57" cm="1">
        <f t="array" ref="S57">gamma_new(E57,A57,5,B57,D57,C57)</f>
        <v>2.9910185413675923E-4</v>
      </c>
    </row>
    <row r="58" spans="1:29" x14ac:dyDescent="0.3">
      <c r="A58">
        <v>100</v>
      </c>
      <c r="B58">
        <f t="shared" si="2"/>
        <v>0.01</v>
      </c>
      <c r="C58">
        <v>0.2</v>
      </c>
      <c r="D58">
        <v>0.25</v>
      </c>
      <c r="E58" s="5">
        <v>130</v>
      </c>
      <c r="F58" cm="1">
        <f t="array" ref="F58">gamma_new(E58,A58,0.1,B58,D58,C58)</f>
        <v>3.4566865513475811E-5</v>
      </c>
      <c r="G58" cm="1">
        <f t="array" ref="G58">gamma_new(E58,A58,0.2,B58,D58,C58)</f>
        <v>1.6574075490821407E-3</v>
      </c>
      <c r="H58" cm="1">
        <f t="array" ref="H58">gamma_new(E58,A58,0.3,B58,D58,C58)</f>
        <v>5.2126312235587936E-3</v>
      </c>
      <c r="I58" cm="1">
        <f t="array" ref="I58">gamma_new(E58,A58,0.4,B58,D58,C58)</f>
        <v>8.4890326261287848E-3</v>
      </c>
      <c r="J58" cm="1">
        <f t="array" ref="J58">gamma_new(E58,A58,0.5,B58,D58,C58)</f>
        <v>1.0717973202839605E-2</v>
      </c>
      <c r="K58" cm="1">
        <f t="array" ref="K58">gamma_new(E58,A58,0.6,B58,D58,C58)</f>
        <v>1.1966054179693859E-2</v>
      </c>
      <c r="L58" cm="1">
        <f t="array" ref="L58">gamma_new(E58,A58,0.7,B58,D58,C58)</f>
        <v>1.2482960769019773E-2</v>
      </c>
      <c r="M58" cm="1">
        <f t="array" ref="M58">gamma_new(E58,A58,0.8,B58,D58,C58)</f>
        <v>1.2500247566064515E-2</v>
      </c>
      <c r="N58" cm="1">
        <f t="array" ref="N58">gamma_new(E58,A58,0.9,B58,D58,C58)</f>
        <v>1.219300165757854E-2</v>
      </c>
      <c r="O58" cm="1">
        <f t="array" ref="O58">gamma_new(E58,A58,1,B58,D58,C58)</f>
        <v>1.1684767511322041E-2</v>
      </c>
      <c r="P58" cm="1">
        <f t="array" ref="P58">gamma_new(E58,A58,2,B58,D58,C58)</f>
        <v>5.4028753096566897E-3</v>
      </c>
      <c r="Q58" cm="1">
        <f t="array" ref="Q58">gamma_new(E58,A58,3,B58,D58,C58)</f>
        <v>2.1653997527299627E-3</v>
      </c>
      <c r="R58" cm="1">
        <f t="array" ref="R58">gamma_new(E58,A58,4,B58,D58,C58)</f>
        <v>8.5681528878858704E-4</v>
      </c>
      <c r="S58" cm="1">
        <f t="array" ref="S58">gamma_new(E58,A58,5,B58,D58,C58)</f>
        <v>3.4024721859921914E-4</v>
      </c>
    </row>
    <row r="59" spans="1:29" x14ac:dyDescent="0.3">
      <c r="A59">
        <v>100</v>
      </c>
      <c r="B59">
        <f t="shared" si="2"/>
        <v>0.01</v>
      </c>
      <c r="C59">
        <v>0.2</v>
      </c>
      <c r="D59">
        <v>0.25</v>
      </c>
      <c r="E59" s="5">
        <v>135</v>
      </c>
      <c r="F59" cm="1">
        <f t="array" ref="F59">gamma_new(E59,A59,0.1,B59,D59,C59)</f>
        <v>2.884227680839645E-6</v>
      </c>
      <c r="G59" cm="1">
        <f t="array" ref="G59">gamma_new(E59,A59,0.2,B59,D59,C59)</f>
        <v>5.2118573369360714E-4</v>
      </c>
      <c r="H59" cm="1">
        <f t="array" ref="H59">gamma_new(E59,A59,0.3,B59,D59,C59)</f>
        <v>2.5508490724554839E-3</v>
      </c>
      <c r="I59" cm="1">
        <f t="array" ref="I59">gamma_new(E59,A59,0.4,B59,D59,C59)</f>
        <v>5.182248595526762E-3</v>
      </c>
      <c r="J59" cm="1">
        <f t="array" ref="J59">gamma_new(E59,A59,0.5,B59,D59,C59)</f>
        <v>7.4712294326412399E-3</v>
      </c>
      <c r="K59" cm="1">
        <f t="array" ref="K59">gamma_new(E59,A59,0.6,B59,D59,C59)</f>
        <v>9.1126204613125802E-3</v>
      </c>
      <c r="L59" cm="1">
        <f t="array" ref="L59">gamma_new(E59,A59,0.7,B59,D59,C59)</f>
        <v>1.0126228351799877E-2</v>
      </c>
      <c r="M59" cm="1">
        <f t="array" ref="M59">gamma_new(E59,A59,0.8,B59,D59,C59)</f>
        <v>1.0632296289722218E-2</v>
      </c>
      <c r="N59" cm="1">
        <f t="array" ref="N59">gamma_new(E59,A59,0.9,B59,D59,C59)</f>
        <v>1.0760302205879032E-2</v>
      </c>
      <c r="O59" cm="1">
        <f t="array" ref="O59">gamma_new(E59,A59,1,B59,D59,C59)</f>
        <v>1.062033498465677E-2</v>
      </c>
      <c r="P59" cm="1">
        <f t="array" ref="P59">gamma_new(E59,A59,2,B59,D59,C59)</f>
        <v>5.6074117975036513E-3</v>
      </c>
      <c r="Q59" cm="1">
        <f t="array" ref="Q59">gamma_new(E59,A59,3,B59,D59,C59)</f>
        <v>2.3489947418439271E-3</v>
      </c>
      <c r="R59" cm="1">
        <f t="array" ref="R59">gamma_new(E59,A59,4,B59,D59,C59)</f>
        <v>9.5024238261011743E-4</v>
      </c>
      <c r="S59" cm="1">
        <f t="array" ref="S59">gamma_new(E59,A59,5,B59,D59,C59)</f>
        <v>3.8238752012588446E-4</v>
      </c>
    </row>
    <row r="60" spans="1:29" x14ac:dyDescent="0.3">
      <c r="A60">
        <v>100</v>
      </c>
      <c r="B60">
        <f t="shared" si="2"/>
        <v>0.01</v>
      </c>
      <c r="C60">
        <v>0.2</v>
      </c>
      <c r="D60">
        <v>0.25</v>
      </c>
      <c r="E60" s="5">
        <v>140</v>
      </c>
      <c r="F60" cm="1">
        <f t="array" ref="F60">gamma_new(E60,A60,0.1,B60,D60,C60)</f>
        <v>1.8807049940476224E-7</v>
      </c>
      <c r="G60" cm="1">
        <f t="array" ref="G60">gamma_new(E60,A60,0.2,B60,D60,C60)</f>
        <v>1.44435912370275E-4</v>
      </c>
      <c r="H60" cm="1">
        <f t="array" ref="H60">gamma_new(E60,A60,0.3,B60,D60,C60)</f>
        <v>1.1450679976214445E-3</v>
      </c>
      <c r="I60" cm="1">
        <f t="array" ref="I60">gamma_new(E60,A60,0.4,B60,D60,C60)</f>
        <v>2.9607155083782683E-3</v>
      </c>
      <c r="J60" cm="1">
        <f t="array" ref="J60">gamma_new(E60,A60,0.5,B60,D60,C60)</f>
        <v>4.9329834972940412E-3</v>
      </c>
      <c r="K60" cm="1">
        <f t="array" ref="K60">gamma_new(E60,A60,0.6,B60,D60,C60)</f>
        <v>6.6260337021691968E-3</v>
      </c>
      <c r="L60" cm="1">
        <f t="array" ref="L60">gamma_new(E60,A60,0.7,B60,D60,C60)</f>
        <v>7.8882648042729146E-3</v>
      </c>
      <c r="M60" cm="1">
        <f t="array" ref="M60">gamma_new(E60,A60,0.8,B60,D60,C60)</f>
        <v>8.7217450966608958E-3</v>
      </c>
      <c r="N60" cm="1">
        <f t="array" ref="N60">gamma_new(E60,A60,0.9,B60,D60,C60)</f>
        <v>9.1887430718535466E-3</v>
      </c>
      <c r="O60" cm="1">
        <f t="array" ref="O60">gamma_new(E60,A60,1,B60,D60,C60)</f>
        <v>9.3655677788754606E-3</v>
      </c>
      <c r="P60" cm="1">
        <f t="array" ref="P60">gamma_new(E60,A60,2,B60,D60,C60)</f>
        <v>5.7147534709997873E-3</v>
      </c>
      <c r="Q60" cm="1">
        <f t="array" ref="Q60">gamma_new(E60,A60,3,B60,D60,C60)</f>
        <v>2.512253605083697E-3</v>
      </c>
      <c r="R60" cm="1">
        <f t="array" ref="R60">gamma_new(E60,A60,4,B60,D60,C60)</f>
        <v>1.0410917921640965E-3</v>
      </c>
      <c r="S60" cm="1">
        <f t="array" ref="S60">gamma_new(E60,A60,5,B60,D60,C60)</f>
        <v>4.2505218292572967E-4</v>
      </c>
    </row>
    <row r="61" spans="1:29" ht="15" customHeight="1" x14ac:dyDescent="0.3"/>
    <row r="62" spans="1:29" x14ac:dyDescent="0.3">
      <c r="A62" s="6" t="s">
        <v>30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</row>
    <row r="63" spans="1:29" x14ac:dyDescent="0.3">
      <c r="A63" t="s">
        <v>13</v>
      </c>
      <c r="B63" t="s">
        <v>14</v>
      </c>
      <c r="C63" t="s">
        <v>15</v>
      </c>
      <c r="D63" t="s">
        <v>26</v>
      </c>
      <c r="F63" s="7">
        <v>0.1</v>
      </c>
      <c r="G63" s="7">
        <v>0.2</v>
      </c>
      <c r="H63" s="7">
        <v>0.3</v>
      </c>
      <c r="I63" s="7">
        <v>0.4</v>
      </c>
      <c r="J63" s="7">
        <v>0.5</v>
      </c>
      <c r="K63" s="7">
        <v>0.6</v>
      </c>
      <c r="L63" s="7">
        <v>0.7</v>
      </c>
      <c r="M63" s="7">
        <v>0.8</v>
      </c>
      <c r="N63" s="7">
        <v>0.9</v>
      </c>
      <c r="O63" s="7">
        <v>1</v>
      </c>
      <c r="P63" s="7">
        <v>2</v>
      </c>
      <c r="Q63" s="7">
        <v>3</v>
      </c>
      <c r="R63" s="7">
        <v>4</v>
      </c>
      <c r="S63" s="7">
        <v>5</v>
      </c>
    </row>
    <row r="64" spans="1:29" x14ac:dyDescent="0.3">
      <c r="A64">
        <v>100</v>
      </c>
      <c r="B64">
        <f>1/100</f>
        <v>0.01</v>
      </c>
      <c r="C64">
        <v>0.2</v>
      </c>
      <c r="D64">
        <v>0.25</v>
      </c>
      <c r="E64" s="5">
        <v>60</v>
      </c>
      <c r="F64" cm="1">
        <f t="array" ref="F64">vega_new(E64,A64,0.1,B64,D64,C64)</f>
        <v>2.8576417156319294E-15</v>
      </c>
      <c r="G64" cm="1">
        <f t="array" ref="G64">vega_new(E64,A64,0.2,B64,D64,C64)</f>
        <v>4.4902158205884895E-8</v>
      </c>
      <c r="H64" cm="1">
        <f t="array" ref="H64">vega_new(E64,A64,0.3,B64,D64,C64)</f>
        <v>1.1591497344193462E-5</v>
      </c>
      <c r="I64" cm="1">
        <f t="array" ref="I64">vega_new(E64,A64,0.4,B64,D64,C64)</f>
        <v>1.8618992056697312E-4</v>
      </c>
      <c r="J64" cm="1">
        <f t="array" ref="J64">vega_new(E64,A64,0.5,B64,D64,C64)</f>
        <v>9.7626261072937038E-4</v>
      </c>
      <c r="K64" cm="1">
        <f t="array" ref="K64">vega_new(E64,A64,0.6,B64,D64,C64)</f>
        <v>2.9121710235913501E-3</v>
      </c>
      <c r="L64" cm="1">
        <f t="array" ref="L64">vega_new(E64,A64,0.7,B64,D64,C64)</f>
        <v>6.2782402648173322E-3</v>
      </c>
      <c r="M64" cm="1">
        <f t="array" ref="M64">vega_new(E64,A64,0.8,B64,D64,C64)</f>
        <v>1.1032186790053286E-2</v>
      </c>
      <c r="N64" cm="1">
        <f t="array" ref="N64">vega_new(E64,A64,0.9,B64,D64,C64)</f>
        <v>1.6898659771922318E-2</v>
      </c>
      <c r="O64" cm="1">
        <f t="array" ref="O64">vega_new(E64,A64,1,B64,D64,C64)</f>
        <v>2.3496116533197612E-2</v>
      </c>
      <c r="P64" cm="1">
        <f t="array" ref="P64">vega_new(E64,A64,2,B64,D64,C64)</f>
        <v>7.2189987263235209E-2</v>
      </c>
      <c r="Q64" cm="1">
        <f t="array" ref="Q64">vega_new(E64,A64,3,B64,D64,C64)</f>
        <v>6.4758487973860135E-2</v>
      </c>
      <c r="R64" cm="1">
        <f t="array" ref="R64">vega_new(E64,A64,4,B64,D64,C64)</f>
        <v>4.1734213161566822E-2</v>
      </c>
      <c r="S64" cm="1">
        <f t="array" ref="S64">vega_new(E64,A64,5,B64,D64,C64)</f>
        <v>2.3358998597042945E-2</v>
      </c>
    </row>
    <row r="65" spans="1:19" x14ac:dyDescent="0.3">
      <c r="A65">
        <v>100</v>
      </c>
      <c r="B65">
        <f t="shared" ref="B65:B80" si="3">1/100</f>
        <v>0.01</v>
      </c>
      <c r="C65">
        <v>0.2</v>
      </c>
      <c r="D65">
        <v>0.25</v>
      </c>
      <c r="E65" s="5">
        <v>65</v>
      </c>
      <c r="F65" cm="1">
        <f t="array" ref="F65">vega_new(E65,A65,0.1,B65,D65,C65)</f>
        <v>5.9360627385985734E-11</v>
      </c>
      <c r="G65" cm="1">
        <f t="array" ref="G65">vega_new(E65,A65,0.2,B65,D65,C65)</f>
        <v>8.3943952424602099E-6</v>
      </c>
      <c r="H65" cm="1">
        <f t="array" ref="H65">vega_new(E65,A65,0.3,B65,D65,C65)</f>
        <v>4.5075328689018351E-4</v>
      </c>
      <c r="I65" cm="1">
        <f t="array" ref="I65">vega_new(E65,A65,0.4,B65,D65,C65)</f>
        <v>3.3021295757287633E-3</v>
      </c>
      <c r="J65" cm="1">
        <f t="array" ref="J65">vega_new(E65,A65,0.5,B65,D65,C65)</f>
        <v>1.0810051188774261E-2</v>
      </c>
      <c r="K65" cm="1">
        <f t="array" ref="K65">vega_new(E65,A65,0.6,B65,D65,C65)</f>
        <v>2.3555558335249058E-2</v>
      </c>
      <c r="L65" cm="1">
        <f t="array" ref="L65">vega_new(E65,A65,0.7,B65,D65,C65)</f>
        <v>4.0578586077972302E-2</v>
      </c>
      <c r="M65" cm="1">
        <f t="array" ref="M65">vega_new(E65,A65,0.8,B65,D65,C65)</f>
        <v>6.0263926389324339E-2</v>
      </c>
      <c r="N65" cm="1">
        <f t="array" ref="N65">vega_new(E65,A65,0.9,B65,D65,C65)</f>
        <v>8.0988093716110168E-2</v>
      </c>
      <c r="O65" cm="1">
        <f t="array" ref="O65">vega_new(E65,A65,1,B65,D65,C65)</f>
        <v>0.10141529998498672</v>
      </c>
      <c r="P65" cm="1">
        <f t="array" ref="P65">vega_new(E65,A65,2,B65,D65,C65)</f>
        <v>0.19453937066826044</v>
      </c>
      <c r="Q65" cm="1">
        <f t="array" ref="Q65">vega_new(E65,A65,3,B65,D65,C65)</f>
        <v>0.14915401823714514</v>
      </c>
      <c r="R65" cm="1">
        <f t="array" ref="R65">vega_new(E65,A65,4,B65,D65,C65)</f>
        <v>8.8865736784688856E-2</v>
      </c>
      <c r="S65" cm="1">
        <f t="array" ref="S65">vega_new(E65,A65,5,B65,D65,C65)</f>
        <v>4.7450266021242887E-2</v>
      </c>
    </row>
    <row r="66" spans="1:19" x14ac:dyDescent="0.3">
      <c r="A66">
        <v>100</v>
      </c>
      <c r="B66">
        <f t="shared" si="3"/>
        <v>0.01</v>
      </c>
      <c r="C66">
        <v>0.2</v>
      </c>
      <c r="D66">
        <v>0.25</v>
      </c>
      <c r="E66" s="5">
        <v>70</v>
      </c>
      <c r="F66" cm="1">
        <f t="array" ref="F66">vega_new(E66,A66,0.1,B66,D66,C66)</f>
        <v>1.414845966299245E-7</v>
      </c>
      <c r="G66" cm="1">
        <f t="array" ref="G66">vega_new(E66,A66,0.2,B66,D66,C66)</f>
        <v>5.2142875095726121E-4</v>
      </c>
      <c r="H66" cm="1">
        <f t="array" ref="H66">vega_new(E66,A66,0.3,B66,D66,C66)</f>
        <v>8.3012359160333799E-3</v>
      </c>
      <c r="I66" cm="1">
        <f t="array" ref="I66">vega_new(E66,A66,0.4,B66,D66,C66)</f>
        <v>3.3112891957481343E-2</v>
      </c>
      <c r="J66" cm="1">
        <f t="array" ref="J66">vega_new(E66,A66,0.5,B66,D66,C66)</f>
        <v>7.5271442638263575E-2</v>
      </c>
      <c r="K66" cm="1">
        <f t="array" ref="K66">vega_new(E66,A66,0.6,B66,D66,C66)</f>
        <v>0.12861616347765537</v>
      </c>
      <c r="L66" cm="1">
        <f t="array" ref="L66">vega_new(E66,A66,0.7,B66,D66,C66)</f>
        <v>0.18623883369819405</v>
      </c>
      <c r="M66" cm="1">
        <f t="array" ref="M66">vega_new(E66,A66,0.8,B66,D66,C66)</f>
        <v>0.24280584961894611</v>
      </c>
      <c r="N66" cm="1">
        <f t="array" ref="N66">vega_new(E66,A66,0.9,B66,D66,C66)</f>
        <v>0.29486468123473708</v>
      </c>
      <c r="O66" cm="1">
        <f t="array" ref="O66">vega_new(E66,A66,1,B66,D66,C66)</f>
        <v>0.34049045767330993</v>
      </c>
      <c r="P66" cm="1">
        <f t="array" ref="P66">vega_new(E66,A66,2,B66,D66,C66)</f>
        <v>0.4535325484901831</v>
      </c>
      <c r="Q66" cm="1">
        <f t="array" ref="Q66">vega_new(E66,A66,3,B66,D66,C66)</f>
        <v>0.30791847058012906</v>
      </c>
      <c r="R66" cm="1">
        <f t="array" ref="R66">vega_new(E66,A66,4,B66,D66,C66)</f>
        <v>0.17263746244519987</v>
      </c>
      <c r="S66" cm="1">
        <f t="array" ref="S66">vega_new(E66,A66,5,B66,D66,C66)</f>
        <v>8.8879028366060486E-2</v>
      </c>
    </row>
    <row r="67" spans="1:19" x14ac:dyDescent="0.3">
      <c r="A67">
        <v>100</v>
      </c>
      <c r="B67">
        <f t="shared" si="3"/>
        <v>0.01</v>
      </c>
      <c r="C67">
        <v>0.2</v>
      </c>
      <c r="D67">
        <v>0.25</v>
      </c>
      <c r="E67" s="5">
        <v>75</v>
      </c>
      <c r="F67" cm="1">
        <f t="array" ref="F67">vega_new(E67,A67,0.1,B67,D67,C67)</f>
        <v>5.7391392867889953E-5</v>
      </c>
      <c r="G67" cm="1">
        <f t="array" ref="G67">vega_new(E67,A67,0.2,B67,D67,C67)</f>
        <v>1.3141479199453882E-2</v>
      </c>
      <c r="H67" cm="1">
        <f t="array" ref="H67">vega_new(E67,A67,0.3,B67,D67,C67)</f>
        <v>8.2863370116793164E-2</v>
      </c>
      <c r="I67" cm="1">
        <f t="array" ref="I67">vega_new(E67,A67,0.4,B67,D67,C67)</f>
        <v>0.20801862772772201</v>
      </c>
      <c r="J67" cm="1">
        <f t="array" ref="J67">vega_new(E67,A67,0.5,B67,D67,C67)</f>
        <v>0.35815129193345807</v>
      </c>
      <c r="K67" cm="1">
        <f t="array" ref="K67">vega_new(E67,A67,0.6,B67,D67,C67)</f>
        <v>0.50849413105189711</v>
      </c>
      <c r="L67" cm="1">
        <f t="array" ref="L67">vega_new(E67,A67,0.7,B67,D67,C67)</f>
        <v>0.64505877629211539</v>
      </c>
      <c r="M67" cm="1">
        <f t="array" ref="M67">vega_new(E67,A67,0.8,B67,D67,C67)</f>
        <v>0.76153905180875814</v>
      </c>
      <c r="N67" cm="1">
        <f t="array" ref="N67">vega_new(E67,A67,0.9,B67,D67,C67)</f>
        <v>0.85612399491640623</v>
      </c>
      <c r="O67" cm="1">
        <f t="array" ref="O67">vega_new(E67,A67,1,B67,D67,C67)</f>
        <v>0.92940191368416158</v>
      </c>
      <c r="P67" cm="1">
        <f t="array" ref="P67">vega_new(E67,A67,2,B67,D67,C67)</f>
        <v>0.93764457430357451</v>
      </c>
      <c r="Q67" cm="1">
        <f t="array" ref="Q67">vega_new(E67,A67,3,B67,D67,C67)</f>
        <v>0.58028665262920021</v>
      </c>
      <c r="R67" cm="1">
        <f t="array" ref="R67">vega_new(E67,A67,4,B67,D67,C67)</f>
        <v>0.31062071286295106</v>
      </c>
      <c r="S67" cm="1">
        <f t="array" ref="S67">vega_new(E67,A67,5,B67,D67,C67)</f>
        <v>0.15553487453654546</v>
      </c>
    </row>
    <row r="68" spans="1:19" x14ac:dyDescent="0.3">
      <c r="A68">
        <v>100</v>
      </c>
      <c r="B68">
        <f t="shared" si="3"/>
        <v>0.01</v>
      </c>
      <c r="C68">
        <v>0.2</v>
      </c>
      <c r="D68">
        <v>0.25</v>
      </c>
      <c r="E68" s="5">
        <v>80</v>
      </c>
      <c r="F68" cm="1">
        <f t="array" ref="F68">vega_new(E68,A68,0.1,B68,D68,C68)</f>
        <v>5.3796899375461024E-3</v>
      </c>
      <c r="G68" cm="1">
        <f t="array" ref="G68">vega_new(E68,A68,0.2,B68,D68,C68)</f>
        <v>0.15692525531447016</v>
      </c>
      <c r="H68" cm="1">
        <f t="array" ref="H68">vega_new(E68,A68,0.3,B68,D68,C68)</f>
        <v>0.49787909122754803</v>
      </c>
      <c r="I68" cm="1">
        <f t="array" ref="I68">vega_new(E68,A68,0.4,B68,D68,C68)</f>
        <v>0.88658397003146239</v>
      </c>
      <c r="J68" cm="1">
        <f t="array" ref="J68">vega_new(E68,A68,0.5,B68,D68,C68)</f>
        <v>1.2422184660490367</v>
      </c>
      <c r="K68" cm="1">
        <f t="array" ref="K68">vega_new(E68,A68,0.6,B68,D68,C68)</f>
        <v>1.53730466235362</v>
      </c>
      <c r="L68" cm="1">
        <f t="array" ref="L68">vega_new(E68,A68,0.7,B68,D68,C68)</f>
        <v>1.767912705830136</v>
      </c>
      <c r="M68" cm="1">
        <f t="array" ref="M68">vega_new(E68,A68,0.8,B68,D68,C68)</f>
        <v>1.9390738717198692</v>
      </c>
      <c r="N68" cm="1">
        <f t="array" ref="N68">vega_new(E68,A68,0.9,B68,D68,C68)</f>
        <v>2.0586455138793456</v>
      </c>
      <c r="O68" cm="1">
        <f t="array" ref="O68">vega_new(E68,A68,1,B68,D68,C68)</f>
        <v>2.134826786783333</v>
      </c>
      <c r="P68" cm="1">
        <f t="array" ref="P68">vega_new(E68,A68,2,B68,D68,C68)</f>
        <v>1.7527143289805891</v>
      </c>
      <c r="Q68" cm="1">
        <f t="array" ref="Q68">vega_new(E68,A68,3,B68,D68,C68)</f>
        <v>1.012713837118639</v>
      </c>
      <c r="R68" cm="1">
        <f t="array" ref="R68">vega_new(E68,A68,4,B68,D68,C68)</f>
        <v>0.52379362679055153</v>
      </c>
      <c r="S68" cm="1">
        <f t="array" ref="S68">vega_new(E68,A68,5,B68,D68,C68)</f>
        <v>0.25692653633806922</v>
      </c>
    </row>
    <row r="69" spans="1:19" x14ac:dyDescent="0.3">
      <c r="A69">
        <v>100</v>
      </c>
      <c r="B69">
        <f t="shared" si="3"/>
        <v>0.01</v>
      </c>
      <c r="C69">
        <v>0.2</v>
      </c>
      <c r="D69">
        <v>0.25</v>
      </c>
      <c r="E69" s="5">
        <v>85</v>
      </c>
      <c r="F69" cm="1">
        <f t="array" ref="F69">vega_new(E69,A69,0.1,B69,D69,C69)</f>
        <v>0.14830501095646967</v>
      </c>
      <c r="G69" cm="1">
        <f t="array" ref="G69">vega_new(E69,A69,0.2,B69,D69,C69)</f>
        <v>1.0033701683017697</v>
      </c>
      <c r="H69" cm="1">
        <f t="array" ref="H69">vega_new(E69,A69,0.3,B69,D69,C69)</f>
        <v>1.9559097693099672</v>
      </c>
      <c r="I69" cm="1">
        <f t="array" ref="I69">vega_new(E69,A69,0.4,B69,D69,C69)</f>
        <v>2.7300656832373691</v>
      </c>
      <c r="J69" cm="1">
        <f t="array" ref="J69">vega_new(E69,A69,0.5,B69,D69,C69)</f>
        <v>3.305127199790479</v>
      </c>
      <c r="K69" cm="1">
        <f t="array" ref="K69">vega_new(E69,A69,0.6,B69,D69,C69)</f>
        <v>3.7105770918700074</v>
      </c>
      <c r="L69" cm="1">
        <f t="array" ref="L69">vega_new(E69,A69,0.7,B69,D69,C69)</f>
        <v>3.9803553348173115</v>
      </c>
      <c r="M69" cm="1">
        <f t="array" ref="M69">vega_new(E69,A69,0.8,B69,D69,C69)</f>
        <v>4.1437163207065506</v>
      </c>
      <c r="N69" cm="1">
        <f t="array" ref="N69">vega_new(E69,A69,0.9,B69,D69,C69)</f>
        <v>4.2242402847080101</v>
      </c>
      <c r="O69" cm="1">
        <f t="array" ref="O69">vega_new(E69,A69,1,B69,D69,C69)</f>
        <v>4.240594961397492</v>
      </c>
      <c r="P69" cm="1">
        <f t="array" ref="P69">vega_new(E69,A69,2,B69,D69,C69)</f>
        <v>3.0082384835681379</v>
      </c>
      <c r="Q69" cm="1">
        <f t="array" ref="Q69">vega_new(E69,A69,3,B69,D69,C69)</f>
        <v>1.6555165559472502</v>
      </c>
      <c r="R69" cm="1">
        <f t="array" ref="R69">vega_new(E69,A69,4,B69,D69,C69)</f>
        <v>0.8356604020805819</v>
      </c>
      <c r="S69" cm="1">
        <f t="array" ref="S69">vega_new(E69,A69,5,B69,D69,C69)</f>
        <v>0.4039543352989261</v>
      </c>
    </row>
    <row r="70" spans="1:19" x14ac:dyDescent="0.3">
      <c r="A70">
        <v>100</v>
      </c>
      <c r="B70">
        <f t="shared" si="3"/>
        <v>0.01</v>
      </c>
      <c r="C70">
        <v>0.2</v>
      </c>
      <c r="D70">
        <v>0.25</v>
      </c>
      <c r="E70" s="5">
        <v>90</v>
      </c>
      <c r="F70" cm="1">
        <f t="array" ref="F70">vega_new(E70,A70,0.1,B70,D70,C70)</f>
        <v>1.4578911475436378</v>
      </c>
      <c r="G70" cm="1">
        <f t="array" ref="G70">vega_new(E70,A70,0.2,B70,D70,C70)</f>
        <v>3.7881090135283699</v>
      </c>
      <c r="H70" cm="1">
        <f t="array" ref="H70">vega_new(E70,A70,0.3,B70,D70,C70)</f>
        <v>5.3675253378104566</v>
      </c>
      <c r="I70" cm="1">
        <f t="array" ref="I70">vega_new(E70,A70,0.4,B70,D70,C70)</f>
        <v>6.3874922323291887</v>
      </c>
      <c r="J70" cm="1">
        <f t="array" ref="J70">vega_new(E70,A70,0.5,B70,D70,C70)</f>
        <v>7.0272380930262726</v>
      </c>
      <c r="K70" cm="1">
        <f t="array" ref="K70">vega_new(E70,A70,0.6,B70,D70,C70)</f>
        <v>7.4016875786635339</v>
      </c>
      <c r="L70" cm="1">
        <f t="array" ref="L70">vega_new(E70,A70,0.7,B70,D70,C70)</f>
        <v>7.5861299578977892</v>
      </c>
      <c r="M70" cm="1">
        <f t="array" ref="M70">vega_new(E70,A70,0.8,B70,D70,C70)</f>
        <v>7.6321220625813098</v>
      </c>
      <c r="N70" cm="1">
        <f t="array" ref="N70">vega_new(E70,A70,0.9,B70,D70,C70)</f>
        <v>7.5763362161927947</v>
      </c>
      <c r="O70" cm="1">
        <f t="array" ref="O70">vega_new(E70,A70,1,B70,D70,C70)</f>
        <v>7.445634018072167</v>
      </c>
      <c r="P70" cm="1">
        <f t="array" ref="P70">vega_new(E70,A70,2,B70,D70,C70)</f>
        <v>4.7998355272210613</v>
      </c>
      <c r="Q70" cm="1">
        <f t="array" ref="Q70">vega_new(E70,A70,3,B70,D70,C70)</f>
        <v>2.5585506673212728</v>
      </c>
      <c r="R70" cm="1">
        <f t="array" ref="R70">vega_new(E70,A70,4,B70,D70,C70)</f>
        <v>1.2710525821017544</v>
      </c>
      <c r="S70" cm="1">
        <f t="array" ref="S70">vega_new(E70,A70,5,B70,D70,C70)</f>
        <v>0.6085690857885887</v>
      </c>
    </row>
    <row r="71" spans="1:19" x14ac:dyDescent="0.3">
      <c r="A71">
        <v>100</v>
      </c>
      <c r="B71">
        <f t="shared" si="3"/>
        <v>0.01</v>
      </c>
      <c r="C71">
        <v>0.2</v>
      </c>
      <c r="D71">
        <v>0.25</v>
      </c>
      <c r="E71" s="5">
        <v>95</v>
      </c>
      <c r="F71" cm="1">
        <f t="array" ref="F71">vega_new(E71,A71,0.1,B71,D71,C71)</f>
        <v>5.9724512431487735</v>
      </c>
      <c r="G71" cm="1">
        <f t="array" ref="G71">vega_new(E71,A71,0.2,B71,D71,C71)</f>
        <v>9.1400755836406447</v>
      </c>
      <c r="H71" cm="1">
        <f t="array" ref="H71">vega_new(E71,A71,0.3,B71,D71,C71)</f>
        <v>10.855954721764494</v>
      </c>
      <c r="I71" cm="1">
        <f t="array" ref="I71">vega_new(E71,A71,0.4,B71,D71,C71)</f>
        <v>11.827898957397094</v>
      </c>
      <c r="J71" cm="1">
        <f t="array" ref="J71">vega_new(E71,A71,0.5,B71,D71,C71)</f>
        <v>12.3416114535109</v>
      </c>
      <c r="K71" cm="1">
        <f t="array" ref="K71">vega_new(E71,A71,0.6,B71,D71,C71)</f>
        <v>12.548484291409164</v>
      </c>
      <c r="L71" cm="1">
        <f t="array" ref="L71">vega_new(E71,A71,0.7,B71,D71,C71)</f>
        <v>12.541028982339025</v>
      </c>
      <c r="M71" cm="1">
        <f t="array" ref="M71">vega_new(E71,A71,0.8,B71,D71,C71)</f>
        <v>12.380764975577957</v>
      </c>
      <c r="N71" cm="1">
        <f t="array" ref="N71">vega_new(E71,A71,0.9,B71,D71,C71)</f>
        <v>12.110868666239393</v>
      </c>
      <c r="O71" cm="1">
        <f t="array" ref="O71">vega_new(E71,A71,1,B71,D71,C71)</f>
        <v>11.76274947043493</v>
      </c>
      <c r="P71" cm="1">
        <f t="array" ref="P71">vega_new(E71,A71,2,B71,D71,C71)</f>
        <v>7.1918976554608651</v>
      </c>
      <c r="Q71" cm="1">
        <f t="array" ref="Q71">vega_new(E71,A71,3,B71,D71,C71)</f>
        <v>3.7665854507139276</v>
      </c>
      <c r="R71" cm="1">
        <f t="array" ref="R71">vega_new(E71,A71,4,B71,D71,C71)</f>
        <v>1.85475115427298</v>
      </c>
      <c r="S71" cm="1">
        <f t="array" ref="S71">vega_new(E71,A71,5,B71,D71,C71)</f>
        <v>0.88335041630706979</v>
      </c>
    </row>
    <row r="72" spans="1:19" x14ac:dyDescent="0.3">
      <c r="A72">
        <v>100</v>
      </c>
      <c r="B72">
        <f t="shared" si="3"/>
        <v>0.01</v>
      </c>
      <c r="C72">
        <v>0.2</v>
      </c>
      <c r="D72">
        <v>0.25</v>
      </c>
      <c r="E72" s="5">
        <v>100</v>
      </c>
      <c r="F72" cm="1">
        <f t="array" ref="F72">vega_new(E72,A72,0.1,B72,D72,C72)</f>
        <v>11.581848710913876</v>
      </c>
      <c r="G72" cm="1">
        <f t="array" ref="G72">vega_new(E72,A72,0.2,B72,D72,C72)</f>
        <v>15.03698294844542</v>
      </c>
      <c r="H72" cm="1">
        <f t="array" ref="H72">vega_new(E72,A72,0.3,B72,D72,C72)</f>
        <v>16.907296099374683</v>
      </c>
      <c r="I72" cm="1">
        <f t="array" ref="I72">vega_new(E72,A72,0.4,B72,D72,C72)</f>
        <v>17.923026572603597</v>
      </c>
      <c r="J72" cm="1">
        <f t="array" ref="J72">vega_new(E72,A72,0.5,B72,D72,C72)</f>
        <v>18.396456462405883</v>
      </c>
      <c r="K72" cm="1">
        <f t="array" ref="K72">vega_new(E72,A72,0.6,B72,D72,C72)</f>
        <v>18.500890034507755</v>
      </c>
      <c r="L72" cm="1">
        <f t="array" ref="L72">vega_new(E72,A72,0.7,B72,D72,C72)</f>
        <v>18.345681034200826</v>
      </c>
      <c r="M72" cm="1">
        <f t="array" ref="M72">vega_new(E72,A72,0.8,B72,D72,C72)</f>
        <v>18.005186893328659</v>
      </c>
      <c r="N72" cm="1">
        <f t="array" ref="N72">vega_new(E72,A72,0.9,B72,D72,C72)</f>
        <v>17.532413977448218</v>
      </c>
      <c r="O72" cm="1">
        <f t="array" ref="O72">vega_new(E72,A72,1,B72,D72,C72)</f>
        <v>16.966344606676074</v>
      </c>
      <c r="P72" cm="1">
        <f t="array" ref="P72">vega_new(E72,A72,2,B72,D72,C72)</f>
        <v>10.204259621468907</v>
      </c>
      <c r="Q72" cm="1">
        <f t="array" ref="Q72">vega_new(E72,A72,3,B72,D72,C72)</f>
        <v>5.3150254340555891</v>
      </c>
      <c r="R72" cm="1">
        <f t="array" ref="R72">vega_new(E72,A72,4,B72,D72,C72)</f>
        <v>2.6100746784112152</v>
      </c>
      <c r="S72" cm="1">
        <f t="array" ref="S72">vega_new(E72,A72,5,B72,D72,C72)</f>
        <v>1.2410410812274459</v>
      </c>
    </row>
    <row r="73" spans="1:19" x14ac:dyDescent="0.3">
      <c r="A73">
        <v>100</v>
      </c>
      <c r="B73">
        <f t="shared" si="3"/>
        <v>0.01</v>
      </c>
      <c r="C73">
        <v>0.2</v>
      </c>
      <c r="D73">
        <v>0.25</v>
      </c>
      <c r="E73" s="5">
        <v>105</v>
      </c>
      <c r="F73" cm="1">
        <f t="array" ref="F73">vega_new(E73,A73,0.1,B73,D73,C73)</f>
        <v>11.810809345990707</v>
      </c>
      <c r="G73" cm="1">
        <f t="array" ref="G73">vega_new(E73,A73,0.2,B73,D73,C73)</f>
        <v>17.794132287584201</v>
      </c>
      <c r="H73" cm="1">
        <f t="array" ref="H73">vega_new(E73,A73,0.3,B73,D73,C73)</f>
        <v>21.024630808644282</v>
      </c>
      <c r="I73" cm="1">
        <f t="array" ref="I73">vega_new(E73,A73,0.4,B73,D73,C73)</f>
        <v>22.847286332171279</v>
      </c>
      <c r="J73" cm="1">
        <f t="array" ref="J73">vega_new(E73,A73,0.5,B73,D73,C73)</f>
        <v>23.802297904185536</v>
      </c>
      <c r="K73" cm="1">
        <f t="array" ref="K73">vega_new(E73,A73,0.6,B73,D73,C73)</f>
        <v>24.176028204818206</v>
      </c>
      <c r="L73" cm="1">
        <f t="array" ref="L73">vega_new(E73,A73,0.7,B73,D73,C73)</f>
        <v>24.143656489437994</v>
      </c>
      <c r="M73" cm="1">
        <f t="array" ref="M73">vega_new(E73,A73,0.8,B73,D73,C73)</f>
        <v>23.821795581886924</v>
      </c>
      <c r="N73" cm="1">
        <f t="array" ref="N73">vega_new(E73,A73,0.9,B73,D73,C73)</f>
        <v>23.292356002225343</v>
      </c>
      <c r="O73" cm="1">
        <f t="array" ref="O73">vega_new(E73,A73,1,B73,D73,C73)</f>
        <v>22.614961904135541</v>
      </c>
      <c r="P73" cm="1">
        <f t="array" ref="P73">vega_new(E73,A73,2,B73,D73,C73)</f>
        <v>13.80544817327212</v>
      </c>
      <c r="Q73" cm="1">
        <f t="array" ref="Q73">vega_new(E73,A73,3,B73,D73,C73)</f>
        <v>7.2265026893185444</v>
      </c>
      <c r="R73" cm="1">
        <f t="array" ref="R73">vega_new(E73,A73,4,B73,D73,C73)</f>
        <v>3.5575634987001101</v>
      </c>
      <c r="S73" cm="1">
        <f t="array" ref="S73">vega_new(E73,A73,5,B73,D73,C73)</f>
        <v>1.6940726395535441</v>
      </c>
    </row>
    <row r="74" spans="1:19" x14ac:dyDescent="0.3">
      <c r="A74">
        <v>100</v>
      </c>
      <c r="B74">
        <f t="shared" si="3"/>
        <v>0.01</v>
      </c>
      <c r="C74">
        <v>0.2</v>
      </c>
      <c r="D74">
        <v>0.25</v>
      </c>
      <c r="E74" s="5">
        <v>110</v>
      </c>
      <c r="F74" cm="1">
        <f t="array" ref="F74">vega_new(E74,A74,0.1,B74,D74,C74)</f>
        <v>6.9133303197403864</v>
      </c>
      <c r="G74" cm="1">
        <f t="array" ref="G74">vega_new(E74,A74,0.2,B74,D74,C74)</f>
        <v>15.835859656523292</v>
      </c>
      <c r="H74" cm="1">
        <f t="array" ref="H74">vega_new(E74,A74,0.3,B74,D74,C74)</f>
        <v>21.515210578249661</v>
      </c>
      <c r="I74" cm="1">
        <f t="array" ref="I74">vega_new(E74,A74,0.4,B74,D74,C74)</f>
        <v>25.071368714114854</v>
      </c>
      <c r="J74" cm="1">
        <f t="array" ref="J74">vega_new(E74,A74,0.5,B74,D74,C74)</f>
        <v>27.236921797660305</v>
      </c>
      <c r="K74" cm="1">
        <f t="array" ref="K74">vega_new(E74,A74,0.6,B74,D74,C74)</f>
        <v>28.448185410399898</v>
      </c>
      <c r="L74" cm="1">
        <f t="array" ref="L74">vega_new(E74,A74,0.7,B74,D74,C74)</f>
        <v>28.982596276160397</v>
      </c>
      <c r="M74" cm="1">
        <f t="array" ref="M74">vega_new(E74,A74,0.8,B74,D74,C74)</f>
        <v>29.027337874215132</v>
      </c>
      <c r="N74" cm="1">
        <f t="array" ref="N74">vega_new(E74,A74,0.9,B74,D74,C74)</f>
        <v>28.714449849817349</v>
      </c>
      <c r="O74" cm="1">
        <f t="array" ref="O74">vega_new(E74,A74,1,B74,D74,C74)</f>
        <v>28.140151679120837</v>
      </c>
      <c r="P74" cm="1">
        <f t="array" ref="P74">vega_new(E74,A74,2,B74,D74,C74)</f>
        <v>17.913349588484945</v>
      </c>
      <c r="Q74" cm="1">
        <f t="array" ref="Q74">vega_new(E74,A74,3,B74,D74,C74)</f>
        <v>9.5086683387919528</v>
      </c>
      <c r="R74" cm="1">
        <f t="array" ref="R74">vega_new(E74,A74,4,B74,D74,C74)</f>
        <v>4.7138614228712541</v>
      </c>
      <c r="S74" cm="1">
        <f t="array" ref="S74">vega_new(E74,A74,5,B74,D74,C74)</f>
        <v>2.2541133478887168</v>
      </c>
    </row>
    <row r="75" spans="1:19" x14ac:dyDescent="0.3">
      <c r="A75">
        <v>100</v>
      </c>
      <c r="B75">
        <f t="shared" si="3"/>
        <v>0.01</v>
      </c>
      <c r="C75">
        <v>0.2</v>
      </c>
      <c r="D75">
        <v>0.25</v>
      </c>
      <c r="E75" s="5">
        <v>115</v>
      </c>
      <c r="F75" cm="1">
        <f t="array" ref="F75">vega_new(E75,A75,0.1,B75,D75,C75)</f>
        <v>2.4998148388350883</v>
      </c>
      <c r="G75" cm="1">
        <f t="array" ref="G75">vega_new(E75,A75,0.2,B75,D75,C75)</f>
        <v>11.002557969816289</v>
      </c>
      <c r="H75" cm="1">
        <f t="array" ref="H75">vega_new(E75,A75,0.3,B75,D75,C75)</f>
        <v>18.584096480405755</v>
      </c>
      <c r="I75" cm="1">
        <f t="array" ref="I75">vega_new(E75,A75,0.4,B75,D75,C75)</f>
        <v>24.14603406060742</v>
      </c>
      <c r="J75" cm="1">
        <f t="array" ref="J75">vega_new(E75,A75,0.5,B75,D75,C75)</f>
        <v>28.001992672838441</v>
      </c>
      <c r="K75" cm="1">
        <f t="array" ref="K75">vega_new(E75,A75,0.6,B75,D75,C75)</f>
        <v>30.54880662456759</v>
      </c>
      <c r="L75" cm="1">
        <f t="array" ref="L75">vega_new(E75,A75,0.7,B75,D75,C75)</f>
        <v>32.105780197608674</v>
      </c>
      <c r="M75" cm="1">
        <f t="array" ref="M75">vega_new(E75,A75,0.8,B75,D75,C75)</f>
        <v>32.914165228997476</v>
      </c>
      <c r="N75" cm="1">
        <f t="array" ref="N75">vega_new(E75,A75,0.9,B75,D75,C75)</f>
        <v>33.155439502241414</v>
      </c>
      <c r="O75" cm="1">
        <f t="array" ref="O75">vega_new(E75,A75,1,B75,D75,C75)</f>
        <v>32.967320123753545</v>
      </c>
      <c r="P75" cm="1">
        <f t="array" ref="P75">vega_new(E75,A75,2,B75,D75,C75)</f>
        <v>22.402534844264082</v>
      </c>
      <c r="Q75" cm="1">
        <f t="array" ref="Q75">vega_new(E75,A75,3,B75,D75,C75)</f>
        <v>12.153306268760428</v>
      </c>
      <c r="R75" cm="1">
        <f t="array" ref="R75">vega_new(E75,A75,4,B75,D75,C75)</f>
        <v>6.090861798307075</v>
      </c>
      <c r="S75" cm="1">
        <f t="array" ref="S75">vega_new(E75,A75,5,B75,D75,C75)</f>
        <v>2.931662690087498</v>
      </c>
    </row>
    <row r="76" spans="1:19" x14ac:dyDescent="0.3">
      <c r="A76">
        <v>100</v>
      </c>
      <c r="B76">
        <f t="shared" si="3"/>
        <v>0.01</v>
      </c>
      <c r="C76">
        <v>0.2</v>
      </c>
      <c r="D76">
        <v>0.25</v>
      </c>
      <c r="E76" s="5">
        <v>120</v>
      </c>
      <c r="F76" cm="1">
        <f t="array" ref="F76">vega_new(E76,A76,0.1,B76,D76,C76)</f>
        <v>0.59415530740036326</v>
      </c>
      <c r="G76" cm="1">
        <f t="array" ref="G76">vega_new(E76,A76,0.2,B76,D76,C76)</f>
        <v>6.1597176240393097</v>
      </c>
      <c r="H76" cm="1">
        <f t="array" ref="H76">vega_new(E76,A76,0.3,B76,D76,C76)</f>
        <v>13.843107427889084</v>
      </c>
      <c r="I76" cm="1">
        <f t="array" ref="I76">vega_new(E76,A76,0.4,B76,D76,C76)</f>
        <v>20.746767808203003</v>
      </c>
      <c r="J76" cm="1">
        <f t="array" ref="J76">vega_new(E76,A76,0.5,B76,D76,C76)</f>
        <v>26.212055273109243</v>
      </c>
      <c r="K76" cm="1">
        <f t="array" ref="K76">vega_new(E76,A76,0.6,B76,D76,C76)</f>
        <v>30.276898628801984</v>
      </c>
      <c r="L76" cm="1">
        <f t="array" ref="L76">vega_new(E76,A76,0.7,B76,D76,C76)</f>
        <v>33.145015204080991</v>
      </c>
      <c r="M76" cm="1">
        <f t="array" ref="M76">vega_new(E76,A76,0.8,B76,D76,C76)</f>
        <v>35.035331593588324</v>
      </c>
      <c r="N76" cm="1">
        <f t="array" ref="N76">vega_new(E76,A76,0.9,B76,D76,C76)</f>
        <v>36.142117470853876</v>
      </c>
      <c r="O76" cm="1">
        <f t="array" ref="O76">vega_new(E76,A76,1,B76,D76,C76)</f>
        <v>36.627795645687328</v>
      </c>
      <c r="P76" cm="1">
        <f t="array" ref="P76">vega_new(E76,A76,2,B76,D76,C76)</f>
        <v>27.1163854487293</v>
      </c>
      <c r="Q76" cm="1">
        <f t="array" ref="Q76">vega_new(E76,A76,3,B76,D76,C76)</f>
        <v>15.136713104074285</v>
      </c>
      <c r="R76" cm="1">
        <f t="array" ref="R76">vega_new(E76,A76,4,B76,D76,C76)</f>
        <v>7.6951507560604018</v>
      </c>
      <c r="S76" cm="1">
        <f t="array" ref="S76">vega_new(E76,A76,5,B76,D76,C76)</f>
        <v>3.7357098459181026</v>
      </c>
    </row>
    <row r="77" spans="1:19" x14ac:dyDescent="0.3">
      <c r="A77">
        <v>100</v>
      </c>
      <c r="B77">
        <f t="shared" si="3"/>
        <v>0.01</v>
      </c>
      <c r="C77">
        <v>0.2</v>
      </c>
      <c r="D77">
        <v>0.25</v>
      </c>
      <c r="E77" s="5">
        <v>125</v>
      </c>
      <c r="F77" cm="1">
        <f t="array" ref="F77">vega_new(E77,A77,0.1,B77,D77,C77)</f>
        <v>9.7855989907585705E-2</v>
      </c>
      <c r="G77" cm="1">
        <f t="array" ref="G77">vega_new(E77,A77,0.2,B77,D77,C77)</f>
        <v>2.8544537656574844</v>
      </c>
      <c r="H77" cm="1">
        <f t="array" ref="H77">vega_new(E77,A77,0.3,B77,D77,C77)</f>
        <v>9.0563679118994926</v>
      </c>
      <c r="I77" cm="1">
        <f t="array" ref="I77">vega_new(E77,A77,0.4,B77,D77,C77)</f>
        <v>16.126868468408439</v>
      </c>
      <c r="J77" cm="1">
        <f t="array" ref="J77">vega_new(E77,A77,0.5,B77,D77,C77)</f>
        <v>22.595822266321822</v>
      </c>
      <c r="K77" cm="1">
        <f t="array" ref="K77">vega_new(E77,A77,0.6,B77,D77,C77)</f>
        <v>27.963408908428718</v>
      </c>
      <c r="L77" cm="1">
        <f t="array" ref="L77">vega_new(E77,A77,0.7,B77,D77,C77)</f>
        <v>32.158144782990952</v>
      </c>
      <c r="M77" cm="1">
        <f t="array" ref="M77">vega_new(E77,A77,0.8,B77,D77,C77)</f>
        <v>35.271548253510765</v>
      </c>
      <c r="N77" cm="1">
        <f t="array" ref="N77">vega_new(E77,A77,0.9,B77,D77,C77)</f>
        <v>37.446543754037371</v>
      </c>
      <c r="O77" cm="1">
        <f t="array" ref="O77">vega_new(E77,A77,1,B77,D77,C77)</f>
        <v>38.832273035647262</v>
      </c>
      <c r="P77" cm="1">
        <f t="array" ref="P77">vega_new(E77,A77,2,B77,D77,C77)</f>
        <v>31.881687918586721</v>
      </c>
      <c r="Q77" cm="1">
        <f t="array" ref="Q77">vega_new(E77,A77,3,B77,D77,C77)</f>
        <v>18.421157385430668</v>
      </c>
      <c r="R77" cm="1">
        <f t="array" ref="R77">vega_new(E77,A77,4,B77,D77,C77)</f>
        <v>9.5277505677686563</v>
      </c>
      <c r="S77" cm="1">
        <f t="array" ref="S77">vega_new(E77,A77,5,B77,D77,C77)</f>
        <v>4.6734664708868641</v>
      </c>
    </row>
    <row r="78" spans="1:19" x14ac:dyDescent="0.3">
      <c r="A78">
        <v>100</v>
      </c>
      <c r="B78">
        <f t="shared" si="3"/>
        <v>0.01</v>
      </c>
      <c r="C78">
        <v>0.2</v>
      </c>
      <c r="D78">
        <v>0.25</v>
      </c>
      <c r="E78" s="5">
        <v>130</v>
      </c>
      <c r="F78" cm="1">
        <f t="array" ref="F78">vega_new(E78,A78,0.1,B78,D78,C78)</f>
        <v>1.1683600543554823E-2</v>
      </c>
      <c r="G78" cm="1">
        <f t="array" ref="G78">vega_new(E78,A78,0.2,B78,D78,C78)</f>
        <v>1.1204075031795271</v>
      </c>
      <c r="H78" cm="1">
        <f t="array" ref="H78">vega_new(E78,A78,0.3,B78,D78,C78)</f>
        <v>5.2856080606886149</v>
      </c>
      <c r="I78" cm="1">
        <f t="array" ref="I78">vega_new(E78,A78,0.4,B78,D78,C78)</f>
        <v>11.477172110526116</v>
      </c>
      <c r="J78" cm="1">
        <f t="array" ref="J78">vega_new(E78,A78,0.5,B78,D78,C78)</f>
        <v>18.11337471279894</v>
      </c>
      <c r="K78" cm="1">
        <f t="array" ref="K78">vega_new(E78,A78,0.6,B78,D78,C78)</f>
        <v>24.267157876419148</v>
      </c>
      <c r="L78" cm="1">
        <f t="array" ref="L78">vega_new(E78,A78,0.7,B78,D78,C78)</f>
        <v>29.534685179500784</v>
      </c>
      <c r="M78" cm="1">
        <f t="array" ref="M78">vega_new(E78,A78,0.8,B78,D78,C78)</f>
        <v>33.800669418638442</v>
      </c>
      <c r="N78" cm="1">
        <f t="array" ref="N78">vega_new(E78,A78,0.9,B78,D78,C78)</f>
        <v>37.091111042353909</v>
      </c>
      <c r="O78" cm="1">
        <f t="array" ref="O78">vega_new(E78,A78,1,B78,D78,C78)</f>
        <v>39.494514188268496</v>
      </c>
      <c r="P78" cm="1">
        <f t="array" ref="P78">vega_new(E78,A78,2,B78,D78,C78)</f>
        <v>36.523437093279227</v>
      </c>
      <c r="Q78" cm="1">
        <f t="array" ref="Q78">vega_new(E78,A78,3,B78,D78,C78)</f>
        <v>21.957153492681819</v>
      </c>
      <c r="R78" cm="1">
        <f t="array" ref="R78">vega_new(E78,A78,4,B78,D78,C78)</f>
        <v>11.584142704421696</v>
      </c>
      <c r="S78" cm="1">
        <f t="array" ref="S78">vega_new(E78,A78,5,B78,D78,C78)</f>
        <v>5.7501779943268039</v>
      </c>
    </row>
    <row r="79" spans="1:19" x14ac:dyDescent="0.3">
      <c r="A79">
        <v>100</v>
      </c>
      <c r="B79">
        <f t="shared" si="3"/>
        <v>0.01</v>
      </c>
      <c r="C79">
        <v>0.2</v>
      </c>
      <c r="D79">
        <v>0.25</v>
      </c>
      <c r="E79" s="5">
        <v>135</v>
      </c>
      <c r="F79" cm="1">
        <f t="array" ref="F79">vega_new(E79,A79,0.1,B79,D79,C79)</f>
        <v>1.0513009896660507E-3</v>
      </c>
      <c r="G79" cm="1">
        <f t="array" ref="G79">vega_new(E79,A79,0.2,B79,D79,C79)</f>
        <v>0.37994439986263961</v>
      </c>
      <c r="H79" cm="1">
        <f t="array" ref="H79">vega_new(E79,A79,0.3,B79,D79,C79)</f>
        <v>2.7893534607300707</v>
      </c>
      <c r="I79" cm="1">
        <f t="array" ref="I79">vega_new(E79,A79,0.4,B79,D79,C79)</f>
        <v>7.5557184522780192</v>
      </c>
      <c r="J79" cm="1">
        <f t="array" ref="J79">vega_new(E79,A79,0.5,B79,D79,C79)</f>
        <v>13.616315640988663</v>
      </c>
      <c r="K79" cm="1">
        <f t="array" ref="K79">vega_new(E79,A79,0.6,B79,D79,C79)</f>
        <v>19.929300948890614</v>
      </c>
      <c r="L79" cm="1">
        <f t="array" ref="L79">vega_new(E79,A79,0.7,B79,D79,C79)</f>
        <v>25.837071639617385</v>
      </c>
      <c r="M79" cm="1">
        <f t="array" ref="M79">vega_new(E79,A79,0.8,B79,D79,C79)</f>
        <v>31.003775980829985</v>
      </c>
      <c r="N79" cm="1">
        <f t="array" ref="N79">vega_new(E79,A79,0.9,B79,D79,C79)</f>
        <v>35.299171386386163</v>
      </c>
      <c r="O79" cm="1">
        <f t="array" ref="O79">vega_new(E79,A79,1,B79,D79,C79)</f>
        <v>38.711121019073929</v>
      </c>
      <c r="P79" cm="1">
        <f t="array" ref="P79">vega_new(E79,A79,2,B79,D79,C79)</f>
        <v>40.878032003801628</v>
      </c>
      <c r="Q79" cm="1">
        <f t="array" ref="Q79">vega_new(E79,A79,3,B79,D79,C79)</f>
        <v>25.686257502063338</v>
      </c>
      <c r="R79" cm="1">
        <f t="array" ref="R79">vega_new(E79,A79,4,B79,D79,C79)</f>
        <v>13.854533938455511</v>
      </c>
      <c r="S79" cm="1">
        <f t="array" ref="S79">vega_new(E79,A79,5,B79,D79,C79)</f>
        <v>6.9690125542942445</v>
      </c>
    </row>
    <row r="80" spans="1:19" x14ac:dyDescent="0.3">
      <c r="A80">
        <v>100</v>
      </c>
      <c r="B80">
        <f t="shared" si="3"/>
        <v>0.01</v>
      </c>
      <c r="C80">
        <v>0.2</v>
      </c>
      <c r="D80">
        <v>0.25</v>
      </c>
      <c r="E80" s="5">
        <v>140</v>
      </c>
      <c r="F80" cm="1">
        <f t="array" ref="F80">vega_new(E80,A80,0.1,B80,D80,C80)</f>
        <v>7.3723635766666796E-5</v>
      </c>
      <c r="G80" cm="1">
        <f t="array" ref="G80">vega_new(E80,A80,0.2,B80,D80,C80)</f>
        <v>0.11323775529829561</v>
      </c>
      <c r="H80" cm="1">
        <f t="array" ref="H80">vega_new(E80,A80,0.3,B80,D80,C80)</f>
        <v>1.3465999652028189</v>
      </c>
      <c r="I80" cm="1">
        <f t="array" ref="I80">vega_new(E80,A80,0.4,B80,D80,C80)</f>
        <v>4.6424019171371249</v>
      </c>
      <c r="J80" cm="1">
        <f t="array" ref="J80">vega_new(E80,A80,0.5,B80,D80,C80)</f>
        <v>9.6686476546963203</v>
      </c>
      <c r="K80" cm="1">
        <f t="array" ref="K80">vega_new(E80,A80,0.6,B80,D80,C80)</f>
        <v>15.584431267501952</v>
      </c>
      <c r="L80" cm="1">
        <f t="array" ref="L80">vega_new(E80,A80,0.7,B80,D80,C80)</f>
        <v>21.64539862292488</v>
      </c>
      <c r="M80" cm="1">
        <f t="array" ref="M80">vega_new(E80,A80,0.8,B80,D80,C80)</f>
        <v>27.351392623128568</v>
      </c>
      <c r="N80" cm="1">
        <f t="array" ref="N80">vega_new(E80,A80,0.9,B80,D80,C80)</f>
        <v>32.417885557499311</v>
      </c>
      <c r="O80" cm="1">
        <f t="array" ref="O80">vega_new(E80,A80,1,B80,D80,C80)</f>
        <v>36.71302569319181</v>
      </c>
      <c r="P80" cm="1">
        <f t="array" ref="P80">vega_new(E80,A80,2,B80,D80,C80)</f>
        <v>44.803667212638338</v>
      </c>
      <c r="Q80" cm="1">
        <f t="array" ref="Q80">vega_new(E80,A80,3,B80,D80,C80)</f>
        <v>29.544102395784275</v>
      </c>
      <c r="R80" cm="1">
        <f t="array" ref="R80">vega_new(E80,A80,4,B80,D80,C80)</f>
        <v>16.324319301133034</v>
      </c>
      <c r="S80" cm="1">
        <f t="array" ref="S80">vega_new(E80,A80,5,B80,D80,C80)</f>
        <v>8.3310227853443006</v>
      </c>
    </row>
    <row r="82" spans="1:29" x14ac:dyDescent="0.3">
      <c r="A82" s="11" t="s">
        <v>31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x14ac:dyDescent="0.3">
      <c r="A83" t="s">
        <v>13</v>
      </c>
      <c r="B83" t="s">
        <v>14</v>
      </c>
      <c r="C83" t="s">
        <v>15</v>
      </c>
      <c r="D83" t="s">
        <v>26</v>
      </c>
      <c r="F83" s="7">
        <v>0.1</v>
      </c>
      <c r="G83" s="7">
        <v>0.2</v>
      </c>
      <c r="H83" s="7">
        <v>0.3</v>
      </c>
      <c r="I83" s="7">
        <v>0.4</v>
      </c>
      <c r="J83" s="7">
        <v>0.5</v>
      </c>
      <c r="K83" s="7">
        <v>0.6</v>
      </c>
      <c r="L83" s="7">
        <v>0.7</v>
      </c>
      <c r="M83" s="7">
        <v>0.8</v>
      </c>
      <c r="N83" s="7">
        <v>0.9</v>
      </c>
      <c r="O83" s="7">
        <v>1</v>
      </c>
      <c r="P83" s="7">
        <v>2</v>
      </c>
      <c r="Q83" s="7">
        <v>3</v>
      </c>
      <c r="R83" s="7">
        <v>4</v>
      </c>
      <c r="S83" s="7">
        <v>5</v>
      </c>
    </row>
    <row r="84" spans="1:29" x14ac:dyDescent="0.3">
      <c r="A84">
        <v>100</v>
      </c>
      <c r="B84">
        <f>1/100</f>
        <v>0.01</v>
      </c>
      <c r="C84">
        <v>0.2</v>
      </c>
      <c r="D84">
        <v>0.25</v>
      </c>
      <c r="E84" s="5">
        <v>60</v>
      </c>
      <c r="F84" cm="1">
        <f t="array" ref="F84">rho_call(E84,A84,0.1,B84,D84,C84)</f>
        <v>1.0504432343605057E-16</v>
      </c>
      <c r="G84" cm="1">
        <f t="array" ref="G84">rho_call(E84,A84,0.2,B84,D84,C84)</f>
        <v>3.1160492026458327E-9</v>
      </c>
      <c r="H84" cm="1">
        <f t="array" ref="H84">rho_call(E84,A84,0.3,B84,D84,C84)</f>
        <v>1.1439146615049899E-6</v>
      </c>
      <c r="I84" cm="1">
        <f t="array" ref="I84">rho_call(E84,A84,0.4,B84,D84,C84)</f>
        <v>2.3309916000223063E-5</v>
      </c>
      <c r="J84" cm="1">
        <f t="array" ref="J84">rho_call(E84,A84,0.5,B84,D84,C84)</f>
        <v>1.4580880407689205E-4</v>
      </c>
      <c r="K84" cm="1">
        <f t="array" ref="K84">rho_call(E84,A84,0.6,B84,D84,C84)</f>
        <v>4.9944514197171753E-4</v>
      </c>
      <c r="L84" cm="1">
        <f t="array" ref="L84">rho_call(E84,A84,0.7,B84,D84,C84)</f>
        <v>1.2048565304488875E-3</v>
      </c>
      <c r="M84" cm="1">
        <f t="array" ref="M84">rho_call(E84,A84,0.8,B84,D84,C84)</f>
        <v>2.3255315324715109E-3</v>
      </c>
      <c r="N84" cm="1">
        <f t="array" ref="N84">rho_call(E84,A84,0.9,B84,D84,C84)</f>
        <v>3.8586302109777631E-3</v>
      </c>
      <c r="O84" cm="1">
        <f t="array" ref="O84">rho_call(E84,A84,1,B84,D84,C84)</f>
        <v>5.7493564435618033E-3</v>
      </c>
      <c r="P84" cm="1">
        <f t="array" ref="P84">rho_call(E84,A84,2,B84,D84,C84)</f>
        <v>2.6258777895130155E-2</v>
      </c>
      <c r="Q84" cm="1">
        <f t="array" ref="Q84">rho_call(E84,A84,3,B84,D84,C84)</f>
        <v>2.8286082800725997E-2</v>
      </c>
      <c r="R84" cm="1">
        <f t="array" ref="R84">rho_call(E84,A84,4,B84,D84,C84)</f>
        <v>2.0315802186531087E-2</v>
      </c>
      <c r="S84" cm="1">
        <f t="array" ref="S84">rho_call(E84,A84,5,B84,D84,C84)</f>
        <v>1.2225334186811742E-2</v>
      </c>
    </row>
    <row r="85" spans="1:29" x14ac:dyDescent="0.3">
      <c r="A85">
        <v>100</v>
      </c>
      <c r="B85">
        <f t="shared" ref="B85:B100" si="4">1/100</f>
        <v>0.01</v>
      </c>
      <c r="C85">
        <v>0.2</v>
      </c>
      <c r="D85">
        <v>0.25</v>
      </c>
      <c r="E85" s="5">
        <v>65</v>
      </c>
      <c r="F85" cm="1">
        <f t="array" ref="F85">rho_call(E85,A85,0.1,B85,D85,C85)</f>
        <v>2.5518700834147615E-12</v>
      </c>
      <c r="G85" cm="1">
        <f t="array" ref="G85">rho_call(E85,A85,0.2,B85,D85,C85)</f>
        <v>6.7374342783315271E-7</v>
      </c>
      <c r="H85" cm="1">
        <f t="array" ref="H85">rho_call(E85,A85,0.3,B85,D85,C85)</f>
        <v>5.0974245298225034E-5</v>
      </c>
      <c r="I85" cm="1">
        <f t="array" ref="I85">rho_call(E85,A85,0.4,B85,D85,C85)</f>
        <v>4.7002768025359589E-4</v>
      </c>
      <c r="J85" cm="1">
        <f t="array" ref="J85">rho_call(E85,A85,0.5,B85,D85,C85)</f>
        <v>1.8231921312859784E-3</v>
      </c>
      <c r="K85" cm="1">
        <f t="array" ref="K85">rho_call(E85,A85,0.6,B85,D85,C85)</f>
        <v>4.5347558117163319E-3</v>
      </c>
      <c r="L85" cm="1">
        <f t="array" ref="L85">rho_call(E85,A85,0.7,B85,D85,C85)</f>
        <v>8.6951261395634936E-3</v>
      </c>
      <c r="M85" cm="1">
        <f t="array" ref="M85">rho_call(E85,A85,0.8,B85,D85,C85)</f>
        <v>1.4116607762642312E-2</v>
      </c>
      <c r="N85" cm="1">
        <f t="array" ref="N85">rho_call(E85,A85,0.9,B85,D85,C85)</f>
        <v>2.0461845230277016E-2</v>
      </c>
      <c r="O85" cm="1">
        <f t="array" ref="O85">rho_call(E85,A85,1,B85,D85,C85)</f>
        <v>2.7350737913731091E-2</v>
      </c>
      <c r="P85" cm="1">
        <f t="array" ref="P85">rho_call(E85,A85,2,B85,D85,C85)</f>
        <v>7.5978407205818943E-2</v>
      </c>
      <c r="Q85" cm="1">
        <f t="array" ref="Q85">rho_call(E85,A85,3,B85,D85,C85)</f>
        <v>6.8948427893069333E-2</v>
      </c>
      <c r="R85" cm="1">
        <f t="array" ref="R85">rho_call(E85,A85,4,B85,D85,C85)</f>
        <v>4.5355514483946223E-2</v>
      </c>
      <c r="S85" cm="1">
        <f t="array" ref="S85">rho_call(E85,A85,5,B85,D85,C85)</f>
        <v>2.5866112979077649E-2</v>
      </c>
    </row>
    <row r="86" spans="1:29" x14ac:dyDescent="0.3">
      <c r="A86">
        <v>100</v>
      </c>
      <c r="B86">
        <f t="shared" si="4"/>
        <v>0.01</v>
      </c>
      <c r="C86">
        <v>0.2</v>
      </c>
      <c r="D86">
        <v>0.25</v>
      </c>
      <c r="E86" s="5">
        <v>70</v>
      </c>
      <c r="F86" cm="1">
        <f t="array" ref="F86">rho_call(E86,A86,0.1,B86,D86,C86)</f>
        <v>7.2071655665333762E-9</v>
      </c>
      <c r="G86" cm="1">
        <f t="array" ref="G86">rho_call(E86,A86,0.2,B86,D86,C86)</f>
        <v>4.8878659880173353E-5</v>
      </c>
      <c r="H86" cm="1">
        <f t="array" ref="H86">rho_call(E86,A86,0.3,B86,D86,C86)</f>
        <v>1.0838219775710311E-3</v>
      </c>
      <c r="I86" cm="1">
        <f t="array" ref="I86">rho_call(E86,A86,0.4,B86,D86,C86)</f>
        <v>5.3899003889819469E-3</v>
      </c>
      <c r="J86" cm="1">
        <f t="array" ref="J86">rho_call(E86,A86,0.5,B86,D86,C86)</f>
        <v>1.440035796127382E-2</v>
      </c>
      <c r="K86" cm="1">
        <f t="array" ref="K86">rho_call(E86,A86,0.6,B86,D86,C86)</f>
        <v>2.7890766864752625E-2</v>
      </c>
      <c r="L86" cm="1">
        <f t="array" ref="L86">rho_call(E86,A86,0.7,B86,D86,C86)</f>
        <v>4.4678462966060602E-2</v>
      </c>
      <c r="M86" cm="1">
        <f t="array" ref="M86">rho_call(E86,A86,0.8,B86,D86,C86)</f>
        <v>6.3333034616172387E-2</v>
      </c>
      <c r="N86" cm="1">
        <f t="array" ref="N86">rho_call(E86,A86,0.9,B86,D86,C86)</f>
        <v>8.2555072748280819E-2</v>
      </c>
      <c r="O86" cm="1">
        <f t="array" ref="O86">rho_call(E86,A86,1,B86,D86,C86)</f>
        <v>0.10131539558294915</v>
      </c>
      <c r="P86" cm="1">
        <f t="array" ref="P86">rho_call(E86,A86,2,B86,D86,C86)</f>
        <v>0.19000016614484427</v>
      </c>
      <c r="Q86" cm="1">
        <f t="array" ref="Q86">rho_call(E86,A86,3,B86,D86,C86)</f>
        <v>0.15041498688441907</v>
      </c>
      <c r="R86" cm="1">
        <f t="array" ref="R86">rho_call(E86,A86,4,B86,D86,C86)</f>
        <v>9.2231885703236691E-2</v>
      </c>
      <c r="S86" cm="1">
        <f t="array" ref="S86">rho_call(E86,A86,5,B86,D86,C86)</f>
        <v>5.0381888084852208E-2</v>
      </c>
    </row>
    <row r="87" spans="1:29" x14ac:dyDescent="0.3">
      <c r="A87">
        <v>100</v>
      </c>
      <c r="B87">
        <f t="shared" si="4"/>
        <v>0.01</v>
      </c>
      <c r="C87">
        <v>0.2</v>
      </c>
      <c r="D87">
        <v>0.25</v>
      </c>
      <c r="E87" s="5">
        <v>75</v>
      </c>
      <c r="F87" cm="1">
        <f t="array" ref="F87">rho_call(E87,A87,0.1,B87,D87,C87)</f>
        <v>3.525687670690768E-6</v>
      </c>
      <c r="G87" cm="1">
        <f t="array" ref="G87">rho_call(E87,A87,0.2,B87,D87,C87)</f>
        <v>1.4571726232854635E-3</v>
      </c>
      <c r="H87" cm="1">
        <f t="array" ref="H87">rho_call(E87,A87,0.3,B87,D87,C87)</f>
        <v>1.2610324173406634E-2</v>
      </c>
      <c r="I87" cm="1">
        <f t="array" ref="I87">rho_call(E87,A87,0.4,B87,D87,C87)</f>
        <v>3.9005173194204865E-2</v>
      </c>
      <c r="J87" cm="1">
        <f t="array" ref="J87">rho_call(E87,A87,0.5,B87,D87,C87)</f>
        <v>7.8166962125663847E-2</v>
      </c>
      <c r="K87" cm="1">
        <f t="array" ref="K87">rho_call(E87,A87,0.6,B87,D87,C87)</f>
        <v>0.12476520865382947</v>
      </c>
      <c r="L87" cm="1">
        <f t="array" ref="L87">rho_call(E87,A87,0.7,B87,D87,C87)</f>
        <v>0.17385833568586623</v>
      </c>
      <c r="M87" cm="1">
        <f t="array" ref="M87">rho_call(E87,A87,0.8,B87,D87,C87)</f>
        <v>0.22179262189200424</v>
      </c>
      <c r="N87" cm="1">
        <f t="array" ref="N87">rho_call(E87,A87,0.9,B87,D87,C87)</f>
        <v>0.26617691085424261</v>
      </c>
      <c r="O87" cm="1">
        <f t="array" ref="O87">rho_call(E87,A87,1,B87,D87,C87)</f>
        <v>0.30561347212283785</v>
      </c>
      <c r="P87" cm="1">
        <f t="array" ref="P87">rho_call(E87,A87,2,B87,D87,C87)</f>
        <v>0.42106692607455837</v>
      </c>
      <c r="Q87" cm="1">
        <f t="array" ref="Q87">rho_call(E87,A87,3,B87,D87,C87)</f>
        <v>0.29917363929231056</v>
      </c>
      <c r="R87" cm="1">
        <f t="array" ref="R87">rho_call(E87,A87,4,B87,D87,C87)</f>
        <v>0.17346875058243494</v>
      </c>
      <c r="S87" cm="1">
        <f t="array" ref="S87">rho_call(E87,A87,5,B87,D87,C87)</f>
        <v>9.1553385840109497E-2</v>
      </c>
    </row>
    <row r="88" spans="1:29" x14ac:dyDescent="0.3">
      <c r="A88">
        <v>100</v>
      </c>
      <c r="B88">
        <f t="shared" si="4"/>
        <v>0.01</v>
      </c>
      <c r="C88">
        <v>0.2</v>
      </c>
      <c r="D88">
        <v>0.25</v>
      </c>
      <c r="E88" s="5">
        <v>80</v>
      </c>
      <c r="F88" cm="1">
        <f t="array" ref="F88">rho_call(E88,A88,0.1,B88,D88,C88)</f>
        <v>4.0818082941132278E-4</v>
      </c>
      <c r="G88" cm="1">
        <f t="array" ref="G88">rho_call(E88,A88,0.2,B88,D88,C88)</f>
        <v>2.0923937575578762E-2</v>
      </c>
      <c r="H88" cm="1">
        <f t="array" ref="H88">rho_call(E88,A88,0.3,B88,D88,C88)</f>
        <v>8.9383320516437423E-2</v>
      </c>
      <c r="I88" cm="1">
        <f t="array" ref="I88">rho_call(E88,A88,0.4,B88,D88,C88)</f>
        <v>0.19325211642955242</v>
      </c>
      <c r="J88" cm="1">
        <f t="array" ref="J88">rho_call(E88,A88,0.5,B88,D88,C88)</f>
        <v>0.3114710822061032</v>
      </c>
      <c r="K88" cm="1">
        <f t="array" ref="K88">rho_call(E88,A88,0.6,B88,D88,C88)</f>
        <v>0.42913718042091448</v>
      </c>
      <c r="L88" cm="1">
        <f t="array" ref="L88">rho_call(E88,A88,0.7,B88,D88,C88)</f>
        <v>0.53765715634534705</v>
      </c>
      <c r="M88" cm="1">
        <f t="array" ref="M88">rho_call(E88,A88,0.8,B88,D88,C88)</f>
        <v>0.63272890009831328</v>
      </c>
      <c r="N88" cm="1">
        <f t="array" ref="N88">rho_call(E88,A88,0.9,B88,D88,C88)</f>
        <v>0.71268436809215474</v>
      </c>
      <c r="O88" cm="1">
        <f t="array" ref="O88">rho_call(E88,A88,1,B88,D88,C88)</f>
        <v>0.77739847184295774</v>
      </c>
      <c r="P88" cm="1">
        <f t="array" ref="P88">rho_call(E88,A88,2,B88,D88,C88)</f>
        <v>0.84334132269814621</v>
      </c>
      <c r="Q88" cm="1">
        <f t="array" ref="Q88">rho_call(E88,A88,3,B88,D88,C88)</f>
        <v>0.55047846478583562</v>
      </c>
      <c r="R88" cm="1">
        <f t="array" ref="R88">rho_call(E88,A88,4,B88,D88,C88)</f>
        <v>0.3054012891780139</v>
      </c>
      <c r="S88" cm="1">
        <f t="array" ref="S88">rho_call(E88,A88,5,B88,D88,C88)</f>
        <v>0.15685249806080068</v>
      </c>
    </row>
    <row r="89" spans="1:29" x14ac:dyDescent="0.3">
      <c r="A89">
        <v>100</v>
      </c>
      <c r="B89">
        <f t="shared" si="4"/>
        <v>0.01</v>
      </c>
      <c r="C89">
        <v>0.2</v>
      </c>
      <c r="D89">
        <v>0.25</v>
      </c>
      <c r="E89" s="5">
        <v>85</v>
      </c>
      <c r="F89" cm="1">
        <f t="array" ref="F89">rho_call(E89,A89,0.1,B89,D89,C89)</f>
        <v>1.4362989176889558E-2</v>
      </c>
      <c r="G89" cm="1">
        <f t="array" ref="G89">rho_call(E89,A89,0.2,B89,D89,C89)</f>
        <v>0.16434216067912119</v>
      </c>
      <c r="H89" cm="1">
        <f t="array" ref="H89">rho_call(E89,A89,0.3,B89,D89,C89)</f>
        <v>0.42051592363768459</v>
      </c>
      <c r="I89" cm="1">
        <f t="array" ref="I89">rho_call(E89,A89,0.4,B89,D89,C89)</f>
        <v>0.69951819787494984</v>
      </c>
      <c r="J89" cm="1">
        <f t="array" ref="J89">rho_call(E89,A89,0.5,B89,D89,C89)</f>
        <v>0.96019785440782845</v>
      </c>
      <c r="K89" cm="1">
        <f t="array" ref="K89">rho_call(E89,A89,0.6,B89,D89,C89)</f>
        <v>1.1862474037890298</v>
      </c>
      <c r="L89" cm="1">
        <f t="array" ref="L89">rho_call(E89,A89,0.7,B89,D89,C89)</f>
        <v>1.3730076608583912</v>
      </c>
      <c r="M89" cm="1">
        <f t="array" ref="M89">rho_call(E89,A89,0.8,B89,D89,C89)</f>
        <v>1.5211480815687908</v>
      </c>
      <c r="N89" cm="1">
        <f t="array" ref="N89">rho_call(E89,A89,0.9,B89,D89,C89)</f>
        <v>1.6336853948045715</v>
      </c>
      <c r="O89" cm="1">
        <f t="array" ref="O89">rho_call(E89,A89,1,B89,D89,C89)</f>
        <v>1.7145424243905161</v>
      </c>
      <c r="P89" cm="1">
        <f t="array" ref="P89">rho_call(E89,A89,2,B89,D89,C89)</f>
        <v>1.5505598647019991</v>
      </c>
      <c r="Q89" cm="1">
        <f t="array" ref="Q89">rho_call(E89,A89,3,B89,D89,C89)</f>
        <v>0.94794059326167146</v>
      </c>
      <c r="R89" cm="1">
        <f t="array" ref="R89">rho_call(E89,A89,4,B89,D89,C89)</f>
        <v>0.50816207352666942</v>
      </c>
      <c r="S89" cm="1">
        <f t="array" ref="S89">rho_call(E89,A89,5,B89,D89,C89)</f>
        <v>0.25549217932042212</v>
      </c>
    </row>
    <row r="90" spans="1:29" x14ac:dyDescent="0.3">
      <c r="A90">
        <v>100</v>
      </c>
      <c r="B90">
        <f t="shared" si="4"/>
        <v>0.01</v>
      </c>
      <c r="C90">
        <v>0.2</v>
      </c>
      <c r="D90">
        <v>0.25</v>
      </c>
      <c r="E90" s="5">
        <v>90</v>
      </c>
      <c r="F90" cm="1">
        <f t="array" ref="F90">rho_call(E90,A90,0.1,B90,D90,C90)</f>
        <v>0.18882251541790451</v>
      </c>
      <c r="G90" cm="1">
        <f t="array" ref="G90">rho_call(E90,A90,0.2,B90,D90,C90)</f>
        <v>0.78362207667365891</v>
      </c>
      <c r="H90" cm="1">
        <f t="array" ref="H90">rho_call(E90,A90,0.3,B90,D90,C90)</f>
        <v>1.4081855498230358</v>
      </c>
      <c r="I90" cm="1">
        <f t="array" ref="I90">rho_call(E90,A90,0.4,B90,D90,C90)</f>
        <v>1.9501051829995901</v>
      </c>
      <c r="J90" cm="1">
        <f t="array" ref="J90">rho_call(E90,A90,0.5,B90,D90,C90)</f>
        <v>2.389583328437431</v>
      </c>
      <c r="K90" cm="1">
        <f t="array" ref="K90">rho_call(E90,A90,0.6,B90,D90,C90)</f>
        <v>2.731232017554841</v>
      </c>
      <c r="L90" cm="1">
        <f t="array" ref="L90">rho_call(E90,A90,0.7,B90,D90,C90)</f>
        <v>2.9863271545405747</v>
      </c>
      <c r="M90" cm="1">
        <f t="array" ref="M90">rho_call(E90,A90,0.8,B90,D90,C90)</f>
        <v>3.167310978929081</v>
      </c>
      <c r="N90" cm="1">
        <f t="array" ref="N90">rho_call(E90,A90,0.9,B90,D90,C90)</f>
        <v>3.2859540908531999</v>
      </c>
      <c r="O90" cm="1">
        <f t="array" ref="O90">rho_call(E90,A90,1,B90,D90,C90)</f>
        <v>3.3527769364758808</v>
      </c>
      <c r="P90" cm="1">
        <f t="array" ref="P90">rho_call(E90,A90,2,B90,D90,C90)</f>
        <v>2.6501624746972627</v>
      </c>
      <c r="Q90" cm="1">
        <f t="array" ref="Q90">rho_call(E90,A90,3,B90,D90,C90)</f>
        <v>1.5421237133772154</v>
      </c>
      <c r="R90" cm="1">
        <f t="array" ref="R90">rho_call(E90,A90,4,B90,D90,C90)</f>
        <v>0.80537095326333297</v>
      </c>
      <c r="S90" cm="1">
        <f t="array" ref="S90">rho_call(E90,A90,5,B90,D90,C90)</f>
        <v>0.39838015185215797</v>
      </c>
    </row>
    <row r="91" spans="1:29" x14ac:dyDescent="0.3">
      <c r="A91">
        <v>100</v>
      </c>
      <c r="B91">
        <f t="shared" si="4"/>
        <v>0.01</v>
      </c>
      <c r="C91">
        <v>0.2</v>
      </c>
      <c r="D91">
        <v>0.25</v>
      </c>
      <c r="E91" s="5">
        <v>95</v>
      </c>
      <c r="F91" cm="1">
        <f t="array" ref="F91">rho_call(E91,A91,0.1,B91,D91,C91)</f>
        <v>1.1072142802795846</v>
      </c>
      <c r="G91" cm="1">
        <f t="array" ref="G91">rho_call(E91,A91,0.2,B91,D91,C91)</f>
        <v>2.4765435794608672</v>
      </c>
      <c r="H91" cm="1">
        <f t="array" ref="H91">rho_call(E91,A91,0.3,B91,D91,C91)</f>
        <v>3.5576387531205937</v>
      </c>
      <c r="I91" cm="1">
        <f t="array" ref="I91">rho_call(E91,A91,0.4,B91,D91,C91)</f>
        <v>4.3736528003748107</v>
      </c>
      <c r="J91" cm="1">
        <f t="array" ref="J91">rho_call(E91,A91,0.5,B91,D91,C91)</f>
        <v>4.9716963831165453</v>
      </c>
      <c r="K91" cm="1">
        <f t="array" ref="K91">rho_call(E91,A91,0.6,B91,D91,C91)</f>
        <v>5.3937248724070415</v>
      </c>
      <c r="L91" cm="1">
        <f t="array" ref="L91">rho_call(E91,A91,0.7,B91,D91,C91)</f>
        <v>5.6742061927401863</v>
      </c>
      <c r="M91" cm="1">
        <f t="array" ref="M91">rho_call(E91,A91,0.8,B91,D91,C91)</f>
        <v>5.8410756481286512</v>
      </c>
      <c r="N91" cm="1">
        <f t="array" ref="N91">rho_call(E91,A91,0.9,B91,D91,C91)</f>
        <v>5.9169834184115295</v>
      </c>
      <c r="O91" cm="1">
        <f t="array" ref="O91">rho_call(E91,A91,1,B91,D91,C91)</f>
        <v>5.9203598626154292</v>
      </c>
      <c r="P91" cm="1">
        <f t="array" ref="P91">rho_call(E91,A91,2,B91,D91,C91)</f>
        <v>4.2541950512467412</v>
      </c>
      <c r="Q91" cm="1">
        <f t="array" ref="Q91">rho_call(E91,A91,3,B91,D91,C91)</f>
        <v>2.388293648504396</v>
      </c>
      <c r="R91" cm="1">
        <f t="array" ref="R91">rho_call(E91,A91,4,B91,D91,C91)</f>
        <v>1.223557064465691</v>
      </c>
      <c r="S91" cm="1">
        <f t="array" ref="S91">rho_call(E91,A91,5,B91,D91,C91)</f>
        <v>0.59798119899894486</v>
      </c>
    </row>
    <row r="92" spans="1:29" x14ac:dyDescent="0.3">
      <c r="A92">
        <v>100</v>
      </c>
      <c r="B92">
        <f t="shared" si="4"/>
        <v>0.01</v>
      </c>
      <c r="C92">
        <v>0.2</v>
      </c>
      <c r="D92">
        <v>0.25</v>
      </c>
      <c r="E92" s="5">
        <v>100</v>
      </c>
      <c r="F92" cm="1">
        <f t="array" ref="F92">rho_call(E92,A92,0.1,B92,D92,C92)</f>
        <v>3.4016070548449191</v>
      </c>
      <c r="G92" cm="1">
        <f t="array" ref="G92">rho_call(E92,A92,0.2,B92,D92,C92)</f>
        <v>5.5986509032777461</v>
      </c>
      <c r="H92" cm="1">
        <f t="array" ref="H92">rho_call(E92,A92,0.3,B92,D92,C92)</f>
        <v>7.125198682329895</v>
      </c>
      <c r="I92" cm="1">
        <f t="array" ref="I92">rho_call(E92,A92,0.4,B92,D92,C92)</f>
        <v>8.1865387072177178</v>
      </c>
      <c r="J92" cm="1">
        <f t="array" ref="J92">rho_call(E92,A92,0.5,B92,D92,C92)</f>
        <v>8.9046321616526285</v>
      </c>
      <c r="K92" cm="1">
        <f t="array" ref="K92">rho_call(E92,A92,0.6,B92,D92,C92)</f>
        <v>9.3620528146728308</v>
      </c>
      <c r="L92" cm="1">
        <f t="array" ref="L92">rho_call(E92,A92,0.7,B92,D92,C92)</f>
        <v>9.6185474761337488</v>
      </c>
      <c r="M92" cm="1">
        <f t="array" ref="M92">rho_call(E92,A92,0.8,B92,D92,C92)</f>
        <v>9.7190865948876421</v>
      </c>
      <c r="N92" cm="1">
        <f t="array" ref="N92">rho_call(E92,A92,0.9,B92,D92,C92)</f>
        <v>9.69839069437635</v>
      </c>
      <c r="O92" cm="1">
        <f t="array" ref="O92">rho_call(E92,A92,1,B92,D92,C92)</f>
        <v>9.5837303670822429</v>
      </c>
      <c r="P92" cm="1">
        <f t="array" ref="P92">rho_call(E92,A92,2,B92,D92,C92)</f>
        <v>6.4685324817958865</v>
      </c>
      <c r="Q92" cm="1">
        <f t="array" ref="Q92">rho_call(E92,A92,3,B92,D92,C92)</f>
        <v>3.5435891907346142</v>
      </c>
      <c r="R92" cm="1">
        <f t="array" ref="R92">rho_call(E92,A92,4,B92,D92,C92)</f>
        <v>1.7913680908369052</v>
      </c>
      <c r="S92" cm="1">
        <f t="array" ref="S92">rho_call(E92,A92,5,B92,D92,C92)</f>
        <v>0.86810015442871502</v>
      </c>
    </row>
    <row r="93" spans="1:29" x14ac:dyDescent="0.3">
      <c r="A93">
        <v>100</v>
      </c>
      <c r="B93">
        <f t="shared" si="4"/>
        <v>0.01</v>
      </c>
      <c r="C93">
        <v>0.2</v>
      </c>
      <c r="D93">
        <v>0.25</v>
      </c>
      <c r="E93" s="5">
        <v>105</v>
      </c>
      <c r="F93" cm="1">
        <f t="array" ref="F93">rho_call(E93,A93,0.1,B93,D93,C93)</f>
        <v>6.4006471616192853</v>
      </c>
      <c r="G93" cm="1">
        <f t="array" ref="G93">rho_call(E93,A93,0.2,B93,D93,C93)</f>
        <v>9.6943161399517184</v>
      </c>
      <c r="H93" cm="1">
        <f t="array" ref="H93">rho_call(E93,A93,0.3,B93,D93,C93)</f>
        <v>11.810616714978766</v>
      </c>
      <c r="I93" cm="1">
        <f t="array" ref="I93">rho_call(E93,A93,0.4,B93,D93,C93)</f>
        <v>13.196991413100671</v>
      </c>
      <c r="J93" cm="1">
        <f t="array" ref="J93">rho_call(E93,A93,0.5,B93,D93,C93)</f>
        <v>14.074581653224522</v>
      </c>
      <c r="K93" cm="1">
        <f t="array" ref="K93">rho_call(E93,A93,0.6,B93,D93,C93)</f>
        <v>14.579690845057753</v>
      </c>
      <c r="L93" cm="1">
        <f t="array" ref="L93">rho_call(E93,A93,0.7,B93,D93,C93)</f>
        <v>14.805470916830446</v>
      </c>
      <c r="M93" cm="1">
        <f t="array" ref="M93">rho_call(E93,A93,0.8,B93,D93,C93)</f>
        <v>14.819389222807064</v>
      </c>
      <c r="N93" cm="1">
        <f t="array" ref="N93">rho_call(E93,A93,0.9,B93,D93,C93)</f>
        <v>14.672099792240347</v>
      </c>
      <c r="O93" cm="1">
        <f t="array" ref="O93">rho_call(E93,A93,1,B93,D93,C93)</f>
        <v>14.402539424000253</v>
      </c>
      <c r="P93" cm="1">
        <f t="array" ref="P93">rho_call(E93,A93,2,B93,D93,C93)</f>
        <v>9.3822388413532654</v>
      </c>
      <c r="Q93" cm="1">
        <f t="array" ref="Q93">rho_call(E93,A93,3,B93,D93,C93)</f>
        <v>5.0639355496858229</v>
      </c>
      <c r="R93" cm="1">
        <f t="array" ref="R93">rho_call(E93,A93,4,B93,D93,C93)</f>
        <v>2.5386370578292006</v>
      </c>
      <c r="S93" cm="1">
        <f t="array" ref="S93">rho_call(E93,A93,5,B93,D93,C93)</f>
        <v>1.2236024280927658</v>
      </c>
    </row>
    <row r="94" spans="1:29" x14ac:dyDescent="0.3">
      <c r="A94">
        <v>100</v>
      </c>
      <c r="B94">
        <f t="shared" si="4"/>
        <v>0.01</v>
      </c>
      <c r="C94">
        <v>0.2</v>
      </c>
      <c r="D94">
        <v>0.25</v>
      </c>
      <c r="E94" s="5">
        <v>110</v>
      </c>
      <c r="F94" cm="1">
        <f t="array" ref="F94">rho_call(E94,A94,0.1,B94,D94,C94)</f>
        <v>8.6257357343444916</v>
      </c>
      <c r="G94" cm="1">
        <f t="array" ref="G94">rho_call(E94,A94,0.2,B94,D94,C94)</f>
        <v>13.690312490816012</v>
      </c>
      <c r="H94" cm="1">
        <f t="array" ref="H94">rho_call(E94,A94,0.3,B94,D94,C94)</f>
        <v>16.832805438220923</v>
      </c>
      <c r="I94" cm="1">
        <f t="array" ref="I94">rho_call(E94,A94,0.4,B94,D94,C94)</f>
        <v>18.829116019960004</v>
      </c>
      <c r="J94" cm="1">
        <f t="array" ref="J94">rho_call(E94,A94,0.5,B94,D94,C94)</f>
        <v>20.055191489702594</v>
      </c>
      <c r="K94" cm="1">
        <f t="array" ref="K94">rho_call(E94,A94,0.6,B94,D94,C94)</f>
        <v>20.732494871415359</v>
      </c>
      <c r="L94" cm="1">
        <f t="array" ref="L94">rho_call(E94,A94,0.7,B94,D94,C94)</f>
        <v>21.006748255441874</v>
      </c>
      <c r="M94" cm="1">
        <f t="array" ref="M94">rho_call(E94,A94,0.8,B94,D94,C94)</f>
        <v>20.980437959493873</v>
      </c>
      <c r="N94" cm="1">
        <f t="array" ref="N94">rho_call(E94,A94,0.9,B94,D94,C94)</f>
        <v>20.728773178227531</v>
      </c>
      <c r="O94" cm="1">
        <f t="array" ref="O94">rho_call(E94,A94,1,B94,D94,C94)</f>
        <v>20.308528425881274</v>
      </c>
      <c r="P94" cm="1">
        <f t="array" ref="P94">rho_call(E94,A94,2,B94,D94,C94)</f>
        <v>13.058689722898905</v>
      </c>
      <c r="Q94" cm="1">
        <f t="array" ref="Q94">rho_call(E94,A94,3,B94,D94,C94)</f>
        <v>7.0010170619658387</v>
      </c>
      <c r="R94" cm="1">
        <f t="array" ref="R94">rho_call(E94,A94,4,B94,D94,C94)</f>
        <v>3.4953811907286565</v>
      </c>
      <c r="S94" cm="1">
        <f t="array" ref="S94">rho_call(E94,A94,5,B94,D94,C94)</f>
        <v>1.6800911861748791</v>
      </c>
    </row>
    <row r="95" spans="1:29" x14ac:dyDescent="0.3">
      <c r="A95">
        <v>100</v>
      </c>
      <c r="B95">
        <f t="shared" si="4"/>
        <v>0.01</v>
      </c>
      <c r="C95">
        <v>0.2</v>
      </c>
      <c r="D95">
        <v>0.25</v>
      </c>
      <c r="E95" s="5">
        <v>115</v>
      </c>
      <c r="F95" cm="1">
        <f t="array" ref="F95">rho_call(E95,A95,0.1,B95,D95,C95)</f>
        <v>9.6300614759882937</v>
      </c>
      <c r="G95" cm="1">
        <f t="array" ref="G95">rho_call(E95,A95,0.2,B95,D95,C95)</f>
        <v>16.701663149885622</v>
      </c>
      <c r="H95" cm="1">
        <f t="array" ref="H95">rho_call(E95,A95,0.3,B95,D95,C95)</f>
        <v>21.342591910134463</v>
      </c>
      <c r="I95" cm="1">
        <f t="array" ref="I95">rho_call(E95,A95,0.4,B95,D95,C95)</f>
        <v>24.354602489453836</v>
      </c>
      <c r="J95" cm="1">
        <f t="array" ref="J95">rho_call(E95,A95,0.5,B95,D95,C95)</f>
        <v>26.244254027188095</v>
      </c>
      <c r="K95" cm="1">
        <f t="array" ref="K95">rho_call(E95,A95,0.6,B95,D95,C95)</f>
        <v>27.331169422541155</v>
      </c>
      <c r="L95" cm="1">
        <f t="array" ref="L95">rho_call(E95,A95,0.7,B95,D95,C95)</f>
        <v>27.829566868981289</v>
      </c>
      <c r="M95" cm="1">
        <f t="array" ref="M95">rho_call(E95,A95,0.8,B95,D95,C95)</f>
        <v>27.890390466265416</v>
      </c>
      <c r="N95" cm="1">
        <f t="array" ref="N95">rho_call(E95,A95,0.9,B95,D95,C95)</f>
        <v>27.623982749612107</v>
      </c>
      <c r="O95" cm="1">
        <f t="array" ref="O95">rho_call(E95,A95,1,B95,D95,C95)</f>
        <v>27.113170719568966</v>
      </c>
      <c r="P95" cm="1">
        <f t="array" ref="P95">rho_call(E95,A95,2,B95,D95,C95)</f>
        <v>17.5295787493082</v>
      </c>
      <c r="Q95" cm="1">
        <f t="array" ref="Q95">rho_call(E95,A95,3,B95,D95,C95)</f>
        <v>9.3995774169983566</v>
      </c>
      <c r="R95" cm="1">
        <f t="array" ref="R95">rho_call(E95,A95,4,B95,D95,C95)</f>
        <v>4.6908029529168367</v>
      </c>
      <c r="S95" cm="1">
        <f t="array" ref="S95">rho_call(E95,A95,5,B95,D95,C95)</f>
        <v>2.2535605254235835</v>
      </c>
    </row>
    <row r="96" spans="1:29" x14ac:dyDescent="0.3">
      <c r="A96">
        <v>100</v>
      </c>
      <c r="B96">
        <f t="shared" si="4"/>
        <v>0.01</v>
      </c>
      <c r="C96">
        <v>0.2</v>
      </c>
      <c r="D96">
        <v>0.25</v>
      </c>
      <c r="E96" s="5">
        <v>120</v>
      </c>
      <c r="F96" cm="1">
        <f t="array" ref="F96">rho_call(E96,A96,0.1,B96,D96,C96)</f>
        <v>9.922828687744687</v>
      </c>
      <c r="G96" cm="1">
        <f t="array" ref="G96">rho_call(E96,A96,0.2,B96,D96,C96)</f>
        <v>18.511883860512938</v>
      </c>
      <c r="H96" cm="1">
        <f t="array" ref="H96">rho_call(E96,A96,0.3,B96,D96,C96)</f>
        <v>24.811442002721254</v>
      </c>
      <c r="I96" cm="1">
        <f t="array" ref="I96">rho_call(E96,A96,0.4,B96,D96,C96)</f>
        <v>29.167224382558185</v>
      </c>
      <c r="J96" cm="1">
        <f t="array" ref="J96">rho_call(E96,A96,0.5,B96,D96,C96)</f>
        <v>32.054193118502688</v>
      </c>
      <c r="K96" cm="1">
        <f t="array" ref="K96">rho_call(E96,A96,0.6,B96,D96,C96)</f>
        <v>33.843779526120535</v>
      </c>
      <c r="L96" cm="1">
        <f t="array" ref="L96">rho_call(E96,A96,0.7,B96,D96,C96)</f>
        <v>34.80914559238299</v>
      </c>
      <c r="M96" cm="1">
        <f t="array" ref="M96">rho_call(E96,A96,0.8,B96,D96,C96)</f>
        <v>35.151988398460396</v>
      </c>
      <c r="N96" cm="1">
        <f t="array" ref="N96">rho_call(E96,A96,0.9,B96,D96,C96)</f>
        <v>35.023578111773851</v>
      </c>
      <c r="O96" cm="1">
        <f t="array" ref="O96">rho_call(E96,A96,1,B96,D96,C96)</f>
        <v>34.539165798647637</v>
      </c>
      <c r="P96" cm="1">
        <f t="array" ref="P96">rho_call(E96,A96,2,B96,D96,C96)</f>
        <v>22.792307018128593</v>
      </c>
      <c r="Q96" cm="1">
        <f t="array" ref="Q96">rho_call(E96,A96,3,B96,D96,C96)</f>
        <v>12.295242221161706</v>
      </c>
      <c r="R96" cm="1">
        <f t="array" ref="R96">rho_call(E96,A96,4,B96,D96,C96)</f>
        <v>6.1523530695684343</v>
      </c>
      <c r="S96" cm="1">
        <f t="array" ref="S96">rho_call(E96,A96,5,B96,D96,C96)</f>
        <v>2.9600426680344536</v>
      </c>
    </row>
    <row r="97" spans="1:19" x14ac:dyDescent="0.3">
      <c r="A97">
        <v>100</v>
      </c>
      <c r="B97">
        <f t="shared" si="4"/>
        <v>0.01</v>
      </c>
      <c r="C97">
        <v>0.2</v>
      </c>
      <c r="D97">
        <v>0.25</v>
      </c>
      <c r="E97" s="5">
        <v>125</v>
      </c>
      <c r="F97" cm="1">
        <f t="array" ref="F97">rho_call(E97,A97,0.1,B97,D97,C97)</f>
        <v>9.9808825550699414</v>
      </c>
      <c r="G97" cm="1">
        <f t="array" ref="G97">rho_call(E97,A97,0.2,B97,D97,C97)</f>
        <v>19.40423914085558</v>
      </c>
      <c r="H97" cm="1">
        <f t="array" ref="H97">rho_call(E97,A97,0.3,B97,D97,C97)</f>
        <v>27.140755299096742</v>
      </c>
      <c r="I97" cm="1">
        <f t="array" ref="I97">rho_call(E97,A97,0.4,B97,D97,C97)</f>
        <v>32.943214210067971</v>
      </c>
      <c r="J97" cm="1">
        <f t="array" ref="J97">rho_call(E97,A97,0.5,B97,D97,C97)</f>
        <v>37.06080665276474</v>
      </c>
      <c r="K97" cm="1">
        <f t="array" ref="K97">rho_call(E97,A97,0.6,B97,D97,C97)</f>
        <v>39.818855356262141</v>
      </c>
      <c r="L97" cm="1">
        <f t="array" ref="L97">rho_call(E97,A97,0.7,B97,D97,C97)</f>
        <v>41.506300369733076</v>
      </c>
      <c r="M97" cm="1">
        <f t="array" ref="M97">rho_call(E97,A97,0.8,B97,D97,C97)</f>
        <v>42.358348043159083</v>
      </c>
      <c r="N97" cm="1">
        <f t="array" ref="N97">rho_call(E97,A97,0.9,B97,D97,C97)</f>
        <v>42.561914882524334</v>
      </c>
      <c r="O97" cm="1">
        <f t="array" ref="O97">rho_call(E97,A97,1,B97,D97,C97)</f>
        <v>42.264833514471768</v>
      </c>
      <c r="P97" cm="1">
        <f t="array" ref="P97">rho_call(E97,A97,2,B97,D97,C97)</f>
        <v>28.810673518617239</v>
      </c>
      <c r="Q97" cm="1">
        <f t="array" ref="Q97">rho_call(E97,A97,3,B97,D97,C97)</f>
        <v>15.712977360100986</v>
      </c>
      <c r="R97" cm="1">
        <f t="array" ref="R97">rho_call(E97,A97,4,B97,D97,C97)</f>
        <v>7.9049018088910294</v>
      </c>
      <c r="S97" cm="1">
        <f t="array" ref="S97">rho_call(E97,A97,5,B97,D97,C97)</f>
        <v>3.8152648704434964</v>
      </c>
    </row>
    <row r="98" spans="1:19" x14ac:dyDescent="0.3">
      <c r="A98">
        <v>100</v>
      </c>
      <c r="B98">
        <f t="shared" si="4"/>
        <v>0.01</v>
      </c>
      <c r="C98">
        <v>0.2</v>
      </c>
      <c r="D98">
        <v>0.25</v>
      </c>
      <c r="E98" s="5">
        <v>130</v>
      </c>
      <c r="F98" cm="1">
        <f t="array" ref="F98">rho_call(E98,A98,0.1,B98,D98,C98)</f>
        <v>9.9890756980151547</v>
      </c>
      <c r="G98" cm="1">
        <f t="array" ref="G98">rho_call(E98,A98,0.2,B98,D98,C98)</f>
        <v>19.773657237112982</v>
      </c>
      <c r="H98" cm="1">
        <f t="array" ref="H98">rho_call(E98,A98,0.3,B98,D98,C98)</f>
        <v>28.52868165033718</v>
      </c>
      <c r="I98" cm="1">
        <f t="array" ref="I98">rho_call(E98,A98,0.4,B98,D98,C98)</f>
        <v>35.645584992741135</v>
      </c>
      <c r="J98" cm="1">
        <f t="array" ref="J98">rho_call(E98,A98,0.5,B98,D98,C98)</f>
        <v>41.06178974088651</v>
      </c>
      <c r="K98" cm="1">
        <f t="array" ref="K98">rho_call(E98,A98,0.6,B98,D98,C98)</f>
        <v>44.958981437526688</v>
      </c>
      <c r="L98" cm="1">
        <f t="array" ref="L98">rho_call(E98,A98,0.7,B98,D98,C98)</f>
        <v>47.579494191369648</v>
      </c>
      <c r="M98" cm="1">
        <f t="array" ref="M98">rho_call(E98,A98,0.8,B98,D98,C98)</f>
        <v>49.157169221453863</v>
      </c>
      <c r="N98" cm="1">
        <f t="array" ref="N98">rho_call(E98,A98,0.9,B98,D98,C98)</f>
        <v>49.896489142865299</v>
      </c>
      <c r="O98" cm="1">
        <f t="array" ref="O98">rho_call(E98,A98,1,B98,D98,C98)</f>
        <v>49.96939081856533</v>
      </c>
      <c r="P98" cm="1">
        <f t="array" ref="P98">rho_call(E98,A98,2,B98,D98,C98)</f>
        <v>35.518348638269167</v>
      </c>
      <c r="Q98" cm="1">
        <f t="array" ref="Q98">rho_call(E98,A98,3,B98,D98,C98)</f>
        <v>19.666220310769898</v>
      </c>
      <c r="R98" cm="1">
        <f t="array" ref="R98">rho_call(E98,A98,4,B98,D98,C98)</f>
        <v>9.9700502639975461</v>
      </c>
      <c r="S98" cm="1">
        <f t="array" ref="S98">rho_call(E98,A98,5,B98,D98,C98)</f>
        <v>4.8343288461751781</v>
      </c>
    </row>
    <row r="99" spans="1:19" x14ac:dyDescent="0.3">
      <c r="A99">
        <v>100</v>
      </c>
      <c r="B99">
        <f t="shared" si="4"/>
        <v>0.01</v>
      </c>
      <c r="C99">
        <v>0.2</v>
      </c>
      <c r="D99">
        <v>0.25</v>
      </c>
      <c r="E99" s="5">
        <v>135</v>
      </c>
      <c r="F99" cm="1">
        <f t="array" ref="F99">rho_call(E99,A99,0.1,B99,D99,C99)</f>
        <v>9.9899318508276309</v>
      </c>
      <c r="G99" cm="1">
        <f t="array" ref="G99">rho_call(E99,A99,0.2,B99,D99,C99)</f>
        <v>19.90476086350575</v>
      </c>
      <c r="H99" cm="1">
        <f t="array" ref="H99">rho_call(E99,A99,0.3,B99,D99,C99)</f>
        <v>29.27292310550795</v>
      </c>
      <c r="I99" cm="1">
        <f t="array" ref="I99">rho_call(E99,A99,0.4,B99,D99,C99)</f>
        <v>37.428800395440604</v>
      </c>
      <c r="J99" cm="1">
        <f t="array" ref="J99">rho_call(E99,A99,0.5,B99,D99,C99)</f>
        <v>44.05304433236072</v>
      </c>
      <c r="K99" cm="1">
        <f t="array" ref="K99">rho_call(E99,A99,0.6,B99,D99,C99)</f>
        <v>49.136133195103461</v>
      </c>
      <c r="L99" cm="1">
        <f t="array" ref="L99">rho_call(E99,A99,0.7,B99,D99,C99)</f>
        <v>52.818253241331078</v>
      </c>
      <c r="M99" cm="1">
        <f t="array" ref="M99">rho_call(E99,A99,0.8,B99,D99,C99)</f>
        <v>55.290436455118545</v>
      </c>
      <c r="N99" cm="1">
        <f t="array" ref="N99">rho_call(E99,A99,0.9,B99,D99,C99)</f>
        <v>56.747734674934009</v>
      </c>
      <c r="O99" cm="1">
        <f t="array" ref="O99">rho_call(E99,A99,1,B99,D99,C99)</f>
        <v>57.369843418382303</v>
      </c>
      <c r="P99" cm="1">
        <f t="array" ref="P99">rho_call(E99,A99,2,B99,D99,C99)</f>
        <v>42.824360293728077</v>
      </c>
      <c r="Q99" cm="1">
        <f t="array" ref="Q99">rho_call(E99,A99,3,B99,D99,C99)</f>
        <v>24.156658419749188</v>
      </c>
      <c r="R99" cm="1">
        <f t="array" ref="R99">rho_call(E99,A99,4,B99,D99,C99)</f>
        <v>12.365599494597532</v>
      </c>
      <c r="S99" cm="1">
        <f t="array" ref="S99">rho_call(E99,A99,5,B99,D99,C99)</f>
        <v>6.0314224173051354</v>
      </c>
    </row>
    <row r="100" spans="1:19" x14ac:dyDescent="0.3">
      <c r="A100">
        <v>100</v>
      </c>
      <c r="B100">
        <f t="shared" si="4"/>
        <v>0.01</v>
      </c>
      <c r="C100">
        <v>0.2</v>
      </c>
      <c r="D100">
        <v>0.25</v>
      </c>
      <c r="E100" s="5">
        <v>140</v>
      </c>
      <c r="F100" cm="1">
        <f t="array" ref="F100">rho_call(E100,A100,0.1,B100,D100,C100)</f>
        <v>9.9900004257418047</v>
      </c>
      <c r="G100" cm="1">
        <f t="array" ref="G100">rho_call(E100,A100,0.2,B100,D100,C100)</f>
        <v>19.945367046589521</v>
      </c>
      <c r="H100" cm="1">
        <f t="array" ref="H100">rho_call(E100,A100,0.3,B100,D100,C100)</f>
        <v>29.636476607876229</v>
      </c>
      <c r="I100" cm="1">
        <f t="array" ref="I100">rho_call(E100,A100,0.4,B100,D100,C100)</f>
        <v>38.523918466753472</v>
      </c>
      <c r="J100" cm="1">
        <f t="array" ref="J100">rho_call(E100,A100,0.5,B100,D100,C100)</f>
        <v>46.161221059542818</v>
      </c>
      <c r="K100" cm="1">
        <f t="array" ref="K100">rho_call(E100,A100,0.6,B100,D100,C100)</f>
        <v>52.363615266006491</v>
      </c>
      <c r="L100" cm="1">
        <f t="array" ref="L100">rho_call(E100,A100,0.7,B100,D100,C100)</f>
        <v>57.141059772554144</v>
      </c>
      <c r="M100" cm="1">
        <f t="array" ref="M100">rho_call(E100,A100,0.8,B100,D100,C100)</f>
        <v>60.607384323422181</v>
      </c>
      <c r="N100" cm="1">
        <f t="array" ref="N100">rho_call(E100,A100,0.9,B100,D100,C100)</f>
        <v>62.919662520313189</v>
      </c>
      <c r="O100" cm="1">
        <f t="array" ref="O100">rho_call(E100,A100,1,B100,D100,C100)</f>
        <v>64.244656551374959</v>
      </c>
      <c r="P100" cm="1">
        <f t="array" ref="P100">rho_call(E100,A100,2,B100,D100,C100)</f>
        <v>50.619742631338191</v>
      </c>
      <c r="Q100" cm="1">
        <f t="array" ref="Q100">rho_call(E100,A100,3,B100,D100,C100)</f>
        <v>29.174581924752154</v>
      </c>
      <c r="R100" cm="1">
        <f t="array" ref="R100">rho_call(E100,A100,4,B100,D100,C100)</f>
        <v>15.105183208533843</v>
      </c>
      <c r="S100" cm="1">
        <f t="array" ref="S100">rho_call(E100,A100,5,B100,D100,C100)</f>
        <v>7.4195701026546201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Sheet1</vt:lpstr>
      <vt:lpstr>data</vt:lpstr>
      <vt:lpstr>q=0</vt:lpstr>
      <vt:lpstr>q=0.001</vt:lpstr>
      <vt:lpstr>q=0.025</vt:lpstr>
      <vt:lpstr>q=0.07</vt:lpstr>
      <vt:lpstr>q=0.25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Elena Zoppellari</cp:lastModifiedBy>
  <dcterms:created xsi:type="dcterms:W3CDTF">2022-03-26T20:44:27Z</dcterms:created>
  <dcterms:modified xsi:type="dcterms:W3CDTF">2023-04-28T18:50:11Z</dcterms:modified>
</cp:coreProperties>
</file>